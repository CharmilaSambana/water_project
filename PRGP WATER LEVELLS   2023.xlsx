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0" yWindow="-120" windowWidth="20730" windowHeight="11160"/>
  </bookViews>
  <sheets>
    <sheet name="JANUARY 2023 " sheetId="12" r:id="rId1"/>
    <sheet name="FEBRUARY 2023" sheetId="11" r:id="rId2"/>
    <sheet name="MARCH 2023" sheetId="10" r:id="rId3"/>
    <sheet name="APRIL 2023" sheetId="9" r:id="rId4"/>
    <sheet name="MAY 2023" sheetId="8" r:id="rId5"/>
    <sheet name="JUNE 2023" sheetId="7" r:id="rId6"/>
    <sheet name="JULY 2023 " sheetId="6" r:id="rId7"/>
    <sheet name="AUGUST 2023" sheetId="5" r:id="rId8"/>
    <sheet name="SEPTEMBER 2023" sheetId="4" r:id="rId9"/>
    <sheet name="OCTOBER 2023" sheetId="3" r:id="rId10"/>
    <sheet name="NOVEMBER 2023 " sheetId="2" r:id="rId11"/>
    <sheet name="DECEMBER 2023" sheetId="1" r:id="rId12"/>
  </sheets>
  <calcPr calcId="124519"/>
</workbook>
</file>

<file path=xl/calcChain.xml><?xml version="1.0" encoding="utf-8"?>
<calcChain xmlns="http://schemas.openxmlformats.org/spreadsheetml/2006/main">
  <c r="I35" i="9"/>
  <c r="J35"/>
  <c r="J36" s="1"/>
  <c r="K35"/>
  <c r="K36" s="1"/>
  <c r="L35"/>
  <c r="L36" s="1"/>
  <c r="M35"/>
  <c r="M36" s="1"/>
  <c r="I36" i="10"/>
  <c r="J36"/>
  <c r="K36"/>
  <c r="L36"/>
  <c r="M36"/>
  <c r="I33" i="11"/>
  <c r="J33"/>
  <c r="K33"/>
  <c r="L33"/>
  <c r="M33"/>
  <c r="I36" i="12"/>
  <c r="J36"/>
  <c r="K36"/>
  <c r="L36"/>
  <c r="M36"/>
  <c r="M35" i="8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I36" i="9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35" i="10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35" i="12" l="1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I36" i="8"/>
  <c r="J36"/>
  <c r="K36"/>
  <c r="L36"/>
  <c r="I35" i="7" l="1"/>
  <c r="J35"/>
  <c r="K35"/>
  <c r="L35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L36" i="6" l="1"/>
  <c r="M35" l="1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35" i="5" l="1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34" i="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35" i="3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34" i="2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35" i="1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K37" i="12"/>
  <c r="J37"/>
  <c r="H36"/>
  <c r="H37" s="1"/>
  <c r="J34" i="11"/>
  <c r="H34"/>
  <c r="K34"/>
  <c r="H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K37" i="10"/>
  <c r="J37"/>
  <c r="H36"/>
  <c r="H37" s="1"/>
  <c r="H35" i="9"/>
  <c r="H36" s="1"/>
  <c r="K37" i="8"/>
  <c r="J37"/>
  <c r="H36"/>
  <c r="H37" s="1"/>
  <c r="K36" i="7"/>
  <c r="J36"/>
  <c r="H35"/>
  <c r="H36" s="1"/>
  <c r="K36" i="6"/>
  <c r="K37" s="1"/>
  <c r="J36"/>
  <c r="J37" s="1"/>
  <c r="H36"/>
  <c r="H37" s="1"/>
  <c r="K37" i="5"/>
  <c r="J37"/>
  <c r="K36"/>
  <c r="J36"/>
  <c r="H36"/>
  <c r="H37" s="1"/>
  <c r="K36" i="4"/>
  <c r="J36"/>
  <c r="K35"/>
  <c r="J35"/>
  <c r="H35"/>
  <c r="H36" s="1"/>
  <c r="K36" i="3"/>
  <c r="K37" s="1"/>
  <c r="J36"/>
  <c r="J37" s="1"/>
  <c r="H36"/>
  <c r="H37" s="1"/>
  <c r="K35" i="2"/>
  <c r="K36" s="1"/>
  <c r="J35"/>
  <c r="J36" s="1"/>
  <c r="H35"/>
  <c r="H36" s="1"/>
  <c r="H36" i="1"/>
  <c r="H37" s="1"/>
  <c r="J36"/>
  <c r="J37" s="1"/>
  <c r="K36"/>
  <c r="K37" s="1"/>
  <c r="M36" i="8" l="1"/>
</calcChain>
</file>

<file path=xl/sharedStrings.xml><?xml version="1.0" encoding="utf-8"?>
<sst xmlns="http://schemas.openxmlformats.org/spreadsheetml/2006/main" count="288" uniqueCount="33">
  <si>
    <t>Date</t>
  </si>
  <si>
    <t>Name of the Project</t>
  </si>
  <si>
    <t>Name of the River</t>
  </si>
  <si>
    <t>FRL (in mts)</t>
  </si>
  <si>
    <t>Present Water Level (in Mts)</t>
  </si>
  <si>
    <t>Inflows (in Cusecs)</t>
  </si>
  <si>
    <t>Outflows (in Cusecs)</t>
  </si>
  <si>
    <t>Total Out flows (in Cusecs)</t>
  </si>
  <si>
    <t>Rainfall</t>
  </si>
  <si>
    <t>Assistant Executive Engineer</t>
  </si>
  <si>
    <t>Deputy Executive Engineer</t>
  </si>
  <si>
    <t>PEDDAGEDDA RESERVOIR PROJECT</t>
  </si>
  <si>
    <t>VEGAVATHI RIVER</t>
  </si>
  <si>
    <t>RIVER SLUICE IN CUSECS</t>
  </si>
  <si>
    <t>LOSS</t>
  </si>
  <si>
    <t>SPILLWAY</t>
  </si>
  <si>
    <t>PP Sub Division 2</t>
  </si>
  <si>
    <t xml:space="preserve">Saluru </t>
  </si>
  <si>
    <t>RIGHT HEAD SLUICE IN CUSECS</t>
  </si>
  <si>
    <t>Present Capacity (in Mcft)</t>
  </si>
  <si>
    <t>Gross Capacity in Mcft</t>
  </si>
  <si>
    <t>RIVER DISCHARGE PARTICULARS OF PEDDAGEDDA RESERVOIR PROJECT FOR THE MONTH OF JANUARY, 2023</t>
  </si>
  <si>
    <t>RIVER DISCHARGE PARTICULARS OF PEDDAGEDDA RESERVOIR PROJECT FOR THE MONTH OF FEBRUARY , 2023</t>
  </si>
  <si>
    <t>RIVER DISCHARGE PARTICULARS OF PEDDAGEDDA RESERVOIR PROJECT FOR THE MONTH OF MARCH, 2023</t>
  </si>
  <si>
    <t>RIVER DISCHARGE PARTICULARS OF PEDDAGEDDA RESERVOIR PROJECT FOR THE MONTH OF APRIL , 2023</t>
  </si>
  <si>
    <t>RIVER DISCHARGE PARTICULARS OF PEDDAGEDDA RESERVOIR PROJECT FOR THE MONTH OF MAY, 2023</t>
  </si>
  <si>
    <t>RIVER DISCHARGE PARTICULARS OF PEDDAGEDDA RESERVOIR PROJECT FOR THE MONTH OF JUNE, 2023</t>
  </si>
  <si>
    <t>RIVER DISCHARGE PARTICULARS OF PEDDAGEDDA RESERVOIR PROJECT FOR THE MONTH OF JULY, 2023</t>
  </si>
  <si>
    <t>RIVER DISCHARGE PARTICULARS OF PEDDAGEDDA RESERVOIR PROJECT FOR THE MONTH OF  AUGUST , 2023</t>
  </si>
  <si>
    <t>RIVER DISCHARGE PARTICULARS OF PEDDAGEDDA RESERVOIR PROJECT FOR THE MONTH OF SEPTEMBER, 2023</t>
  </si>
  <si>
    <t>RIVER DISCHARGE PARTICULARS OF PEDDAGEDDA RESERVOIR PROJECT FOR THE MONTH OF OCTOBER, 2023</t>
  </si>
  <si>
    <t>RIVER DISCHARGE PARTICULARS OF PEDDAGEDDA RESERVOIR PROJECT FOR THE MONTH OF NOVEMBER, 2023</t>
  </si>
  <si>
    <t>RIVER DISCHARGE PARTICULARS OF PEDDAGEDDA RESERVOIR PROJECT FOR THE MONTH OF DECEMBER, 2023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</si>
</sst>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dd/mm/yyyy;@"/>
  </numFmts>
  <fonts count="9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2" fontId="6" fillId="0" borderId="11" xfId="0" quotePrefix="1" applyNumberFormat="1" applyFont="1" applyBorder="1" applyAlignment="1">
      <alignment horizontal="center" vertical="center" wrapText="1"/>
    </xf>
    <xf numFmtId="165" fontId="5" fillId="0" borderId="11" xfId="0" applyNumberFormat="1" applyFont="1" applyBorder="1" applyAlignment="1">
      <alignment horizontal="center"/>
    </xf>
    <xf numFmtId="1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166" fontId="5" fillId="0" borderId="11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164" fontId="6" fillId="0" borderId="11" xfId="0" quotePrefix="1" applyNumberFormat="1" applyFont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/>
    </xf>
    <xf numFmtId="0" fontId="2" fillId="0" borderId="0" xfId="0" applyFont="1"/>
    <xf numFmtId="164" fontId="6" fillId="0" borderId="0" xfId="0" quotePrefix="1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6" fillId="0" borderId="0" xfId="0" quotePrefix="1" applyNumberFormat="1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65" fontId="5" fillId="0" borderId="0" xfId="0" applyNumberFormat="1" applyFont="1" applyAlignment="1">
      <alignment horizontal="center"/>
    </xf>
    <xf numFmtId="164" fontId="0" fillId="0" borderId="0" xfId="0" applyNumberFormat="1"/>
    <xf numFmtId="2" fontId="0" fillId="0" borderId="0" xfId="0" applyNumberFormat="1"/>
    <xf numFmtId="0" fontId="3" fillId="0" borderId="11" xfId="0" applyFont="1" applyBorder="1" applyAlignment="1">
      <alignment horizontal="center" vertical="center" wrapText="1"/>
    </xf>
    <xf numFmtId="0" fontId="0" fillId="0" borderId="0" xfId="0"/>
    <xf numFmtId="164" fontId="6" fillId="0" borderId="17" xfId="0" quotePrefix="1" applyNumberFormat="1" applyFont="1" applyBorder="1" applyAlignment="1">
      <alignment horizontal="center" vertical="center" wrapText="1"/>
    </xf>
    <xf numFmtId="164" fontId="6" fillId="0" borderId="16" xfId="0" quotePrefix="1" applyNumberFormat="1" applyFont="1" applyBorder="1" applyAlignment="1">
      <alignment horizontal="center" vertical="center" wrapText="1"/>
    </xf>
    <xf numFmtId="2" fontId="6" fillId="0" borderId="11" xfId="0" applyNumberFormat="1" applyFont="1" applyBorder="1" applyAlignment="1">
      <alignment horizontal="center" vertical="center" wrapText="1"/>
    </xf>
    <xf numFmtId="0" fontId="0" fillId="0" borderId="0" xfId="0"/>
    <xf numFmtId="0" fontId="5" fillId="0" borderId="0" xfId="0" applyFont="1" applyAlignment="1">
      <alignment horizontal="center" vertical="center"/>
    </xf>
    <xf numFmtId="0" fontId="0" fillId="0" borderId="0" xfId="0"/>
    <xf numFmtId="164" fontId="6" fillId="0" borderId="13" xfId="0" quotePrefix="1" applyNumberFormat="1" applyFont="1" applyBorder="1" applyAlignment="1">
      <alignment horizontal="center" vertical="center" wrapText="1"/>
    </xf>
    <xf numFmtId="164" fontId="6" fillId="0" borderId="18" xfId="0" quotePrefix="1" applyNumberFormat="1" applyFont="1" applyBorder="1" applyAlignment="1">
      <alignment horizontal="center" vertical="center" wrapText="1"/>
    </xf>
    <xf numFmtId="164" fontId="6" fillId="0" borderId="0" xfId="0" quotePrefix="1" applyNumberFormat="1" applyFont="1" applyBorder="1" applyAlignment="1">
      <alignment horizontal="center" vertical="center" wrapText="1"/>
    </xf>
    <xf numFmtId="166" fontId="5" fillId="0" borderId="13" xfId="0" applyNumberFormat="1" applyFon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 wrapText="1"/>
    </xf>
    <xf numFmtId="2" fontId="0" fillId="0" borderId="14" xfId="0" applyNumberFormat="1" applyFill="1" applyBorder="1" applyAlignment="1">
      <alignment horizontal="center" vertical="center"/>
    </xf>
    <xf numFmtId="165" fontId="2" fillId="0" borderId="11" xfId="0" applyNumberFormat="1" applyFont="1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2" fontId="0" fillId="0" borderId="13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3" fillId="0" borderId="7" xfId="0" applyFont="1" applyBorder="1" applyAlignment="1">
      <alignment horizontal="center" vertical="center" wrapText="1"/>
    </xf>
    <xf numFmtId="0" fontId="2" fillId="0" borderId="10" xfId="0" applyFont="1" applyBorder="1"/>
    <xf numFmtId="0" fontId="4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wrapText="1"/>
    </xf>
    <xf numFmtId="0" fontId="2" fillId="0" borderId="9" xfId="0" applyFont="1" applyBorder="1"/>
    <xf numFmtId="0" fontId="1" fillId="0" borderId="7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0" borderId="0" xfId="0"/>
    <xf numFmtId="0" fontId="1" fillId="0" borderId="7" xfId="0" applyFont="1" applyBorder="1" applyAlignment="1">
      <alignment horizontal="center" vertical="center"/>
    </xf>
    <xf numFmtId="164" fontId="7" fillId="0" borderId="7" xfId="0" applyNumberFormat="1" applyFont="1" applyBorder="1" applyAlignment="1">
      <alignment horizontal="center" vertical="center" textRotation="90"/>
    </xf>
    <xf numFmtId="0" fontId="2" fillId="0" borderId="12" xfId="0" applyFont="1" applyBorder="1"/>
    <xf numFmtId="0" fontId="2" fillId="0" borderId="15" xfId="0" applyFont="1" applyBorder="1"/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13" xfId="0" applyNumberFormat="1" applyFont="1" applyBorder="1" applyAlignment="1">
      <alignment horizontal="center" vertical="center" textRotation="90"/>
    </xf>
    <xf numFmtId="0" fontId="2" fillId="0" borderId="13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2"/>
  <sheetViews>
    <sheetView tabSelected="1" topLeftCell="A25" workbookViewId="0">
      <selection activeCell="H36" sqref="H36:M37"/>
    </sheetView>
  </sheetViews>
  <sheetFormatPr defaultColWidth="14.42578125" defaultRowHeight="15" customHeight="1"/>
  <cols>
    <col min="1" max="1" width="12.42578125" style="26" customWidth="1"/>
    <col min="2" max="2" width="6.28515625" style="26" customWidth="1"/>
    <col min="3" max="3" width="5.140625" style="26" customWidth="1"/>
    <col min="4" max="4" width="10" style="26" customWidth="1"/>
    <col min="5" max="5" width="10" style="28" customWidth="1"/>
    <col min="6" max="7" width="8.7109375" style="26" customWidth="1"/>
    <col min="8" max="8" width="9.85546875" style="26" customWidth="1"/>
    <col min="9" max="9" width="8.7109375" style="26" customWidth="1"/>
    <col min="10" max="10" width="8.42578125" style="26" customWidth="1"/>
    <col min="11" max="11" width="8.7109375" style="26" customWidth="1"/>
    <col min="12" max="12" width="6.42578125" style="26" customWidth="1"/>
    <col min="13" max="13" width="8.5703125" style="26" customWidth="1"/>
    <col min="14" max="14" width="8.85546875" style="26" customWidth="1"/>
    <col min="15" max="16384" width="14.42578125" style="26"/>
  </cols>
  <sheetData>
    <row r="1" spans="1:14" ht="14.25" customHeight="1">
      <c r="A1" s="39" t="s">
        <v>21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1"/>
    </row>
    <row r="2" spans="1:14" ht="15.75" customHeight="1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4"/>
    </row>
    <row r="3" spans="1:14" ht="14.25" customHeight="1">
      <c r="A3" s="45" t="s">
        <v>0</v>
      </c>
      <c r="B3" s="47" t="s">
        <v>1</v>
      </c>
      <c r="C3" s="47" t="s">
        <v>2</v>
      </c>
      <c r="D3" s="45" t="s">
        <v>3</v>
      </c>
      <c r="E3" s="45" t="s">
        <v>20</v>
      </c>
      <c r="F3" s="45" t="s">
        <v>4</v>
      </c>
      <c r="G3" s="45" t="s">
        <v>19</v>
      </c>
      <c r="H3" s="45" t="s">
        <v>5</v>
      </c>
      <c r="I3" s="48" t="s">
        <v>6</v>
      </c>
      <c r="J3" s="49"/>
      <c r="K3" s="49"/>
      <c r="L3" s="49"/>
      <c r="M3" s="50" t="s">
        <v>7</v>
      </c>
      <c r="N3" s="54" t="s">
        <v>8</v>
      </c>
    </row>
    <row r="4" spans="1:14" ht="51.75" customHeight="1">
      <c r="A4" s="46"/>
      <c r="B4" s="46"/>
      <c r="C4" s="46"/>
      <c r="D4" s="46"/>
      <c r="E4" s="51"/>
      <c r="F4" s="46"/>
      <c r="G4" s="46"/>
      <c r="H4" s="46"/>
      <c r="I4" s="10" t="s">
        <v>15</v>
      </c>
      <c r="J4" s="10" t="s">
        <v>13</v>
      </c>
      <c r="K4" s="21" t="s">
        <v>18</v>
      </c>
      <c r="L4" s="10" t="s">
        <v>14</v>
      </c>
      <c r="M4" s="46"/>
      <c r="N4" s="46"/>
    </row>
    <row r="5" spans="1:14" ht="19.5" customHeight="1">
      <c r="A5" s="8">
        <v>44927</v>
      </c>
      <c r="B5" s="55" t="s">
        <v>11</v>
      </c>
      <c r="C5" s="55" t="s">
        <v>12</v>
      </c>
      <c r="D5" s="23">
        <v>213.8</v>
      </c>
      <c r="E5" s="29">
        <v>949</v>
      </c>
      <c r="F5" s="9">
        <v>212.96</v>
      </c>
      <c r="G5" s="9">
        <v>860.97900000000004</v>
      </c>
      <c r="H5" s="25">
        <v>0</v>
      </c>
      <c r="I5" s="25">
        <v>0</v>
      </c>
      <c r="J5" s="1">
        <v>0</v>
      </c>
      <c r="K5" s="1">
        <v>0</v>
      </c>
      <c r="L5" s="9">
        <v>25</v>
      </c>
      <c r="M5" s="25">
        <f>L5+K5+J5+I5</f>
        <v>25</v>
      </c>
      <c r="N5" s="2"/>
    </row>
    <row r="6" spans="1:14" ht="19.5" customHeight="1">
      <c r="A6" s="8">
        <v>44928</v>
      </c>
      <c r="B6" s="56"/>
      <c r="C6" s="56"/>
      <c r="D6" s="23">
        <v>213.8</v>
      </c>
      <c r="E6" s="29">
        <v>949</v>
      </c>
      <c r="F6" s="9">
        <v>212.94</v>
      </c>
      <c r="G6" s="9">
        <v>858.86</v>
      </c>
      <c r="H6" s="25">
        <v>0</v>
      </c>
      <c r="I6" s="25">
        <v>0</v>
      </c>
      <c r="J6" s="1">
        <v>0</v>
      </c>
      <c r="K6" s="1">
        <v>0</v>
      </c>
      <c r="L6" s="9">
        <v>25</v>
      </c>
      <c r="M6" s="25">
        <f t="shared" ref="M6:M35" si="0">L6+K6+J6+I6</f>
        <v>25</v>
      </c>
      <c r="N6" s="2"/>
    </row>
    <row r="7" spans="1:14" ht="19.5" customHeight="1">
      <c r="A7" s="8">
        <v>44929</v>
      </c>
      <c r="B7" s="56"/>
      <c r="C7" s="56"/>
      <c r="D7" s="23">
        <v>213.8</v>
      </c>
      <c r="E7" s="29">
        <v>949</v>
      </c>
      <c r="F7" s="9">
        <v>212.92</v>
      </c>
      <c r="G7" s="9">
        <v>856.74099999999999</v>
      </c>
      <c r="H7" s="25">
        <v>0</v>
      </c>
      <c r="I7" s="25">
        <v>0</v>
      </c>
      <c r="J7" s="1">
        <v>0</v>
      </c>
      <c r="K7" s="1">
        <v>0</v>
      </c>
      <c r="L7" s="9">
        <v>25</v>
      </c>
      <c r="M7" s="25">
        <f t="shared" si="0"/>
        <v>25</v>
      </c>
      <c r="N7" s="2"/>
    </row>
    <row r="8" spans="1:14" ht="19.5" customHeight="1">
      <c r="A8" s="8">
        <v>44930</v>
      </c>
      <c r="B8" s="56"/>
      <c r="C8" s="56"/>
      <c r="D8" s="23">
        <v>213.8</v>
      </c>
      <c r="E8" s="29">
        <v>949</v>
      </c>
      <c r="F8" s="9">
        <v>212.9</v>
      </c>
      <c r="G8" s="9">
        <v>854.62199999999996</v>
      </c>
      <c r="H8" s="25">
        <v>0</v>
      </c>
      <c r="I8" s="25">
        <v>0</v>
      </c>
      <c r="J8" s="1">
        <v>0</v>
      </c>
      <c r="K8" s="1">
        <v>0</v>
      </c>
      <c r="L8" s="9">
        <v>25</v>
      </c>
      <c r="M8" s="25">
        <f t="shared" si="0"/>
        <v>25</v>
      </c>
      <c r="N8" s="2"/>
    </row>
    <row r="9" spans="1:14" ht="19.5" customHeight="1">
      <c r="A9" s="8">
        <v>44931</v>
      </c>
      <c r="B9" s="56"/>
      <c r="C9" s="56"/>
      <c r="D9" s="23">
        <v>213.8</v>
      </c>
      <c r="E9" s="29">
        <v>949</v>
      </c>
      <c r="F9" s="9">
        <v>212.88</v>
      </c>
      <c r="G9" s="9">
        <v>852.50400000000002</v>
      </c>
      <c r="H9" s="25">
        <v>0</v>
      </c>
      <c r="I9" s="25">
        <v>0</v>
      </c>
      <c r="J9" s="1">
        <v>0</v>
      </c>
      <c r="K9" s="1">
        <v>0</v>
      </c>
      <c r="L9" s="9">
        <v>25</v>
      </c>
      <c r="M9" s="25">
        <f t="shared" si="0"/>
        <v>25</v>
      </c>
      <c r="N9" s="2"/>
    </row>
    <row r="10" spans="1:14" ht="19.5" customHeight="1">
      <c r="A10" s="8">
        <v>44932</v>
      </c>
      <c r="B10" s="56"/>
      <c r="C10" s="56"/>
      <c r="D10" s="23">
        <v>213.8</v>
      </c>
      <c r="E10" s="29">
        <v>949</v>
      </c>
      <c r="F10" s="9">
        <v>212.86</v>
      </c>
      <c r="G10" s="9">
        <v>850.38499999999999</v>
      </c>
      <c r="H10" s="25">
        <v>0</v>
      </c>
      <c r="I10" s="25">
        <v>0</v>
      </c>
      <c r="J10" s="1">
        <v>0</v>
      </c>
      <c r="K10" s="1">
        <v>0</v>
      </c>
      <c r="L10" s="9">
        <v>25</v>
      </c>
      <c r="M10" s="25">
        <f t="shared" si="0"/>
        <v>25</v>
      </c>
      <c r="N10" s="2"/>
    </row>
    <row r="11" spans="1:14" ht="19.5" customHeight="1">
      <c r="A11" s="8">
        <v>44933</v>
      </c>
      <c r="B11" s="56"/>
      <c r="C11" s="56"/>
      <c r="D11" s="23">
        <v>213.8</v>
      </c>
      <c r="E11" s="29">
        <v>949</v>
      </c>
      <c r="F11" s="9">
        <v>212.84</v>
      </c>
      <c r="G11" s="9">
        <v>848.26599999999996</v>
      </c>
      <c r="H11" s="25">
        <v>0</v>
      </c>
      <c r="I11" s="25">
        <v>0</v>
      </c>
      <c r="J11" s="1">
        <v>0</v>
      </c>
      <c r="K11" s="1">
        <v>0</v>
      </c>
      <c r="L11" s="9">
        <v>25</v>
      </c>
      <c r="M11" s="25">
        <f t="shared" si="0"/>
        <v>25</v>
      </c>
      <c r="N11" s="2"/>
    </row>
    <row r="12" spans="1:14" ht="19.5" customHeight="1">
      <c r="A12" s="8">
        <v>44934</v>
      </c>
      <c r="B12" s="56"/>
      <c r="C12" s="56"/>
      <c r="D12" s="23">
        <v>213.8</v>
      </c>
      <c r="E12" s="29">
        <v>949</v>
      </c>
      <c r="F12" s="9">
        <v>212.82</v>
      </c>
      <c r="G12" s="9">
        <v>846.14700000000005</v>
      </c>
      <c r="H12" s="25">
        <v>0</v>
      </c>
      <c r="I12" s="25">
        <v>0</v>
      </c>
      <c r="J12" s="1">
        <v>0</v>
      </c>
      <c r="K12" s="1">
        <v>0</v>
      </c>
      <c r="L12" s="9">
        <v>25</v>
      </c>
      <c r="M12" s="25">
        <f t="shared" si="0"/>
        <v>25</v>
      </c>
      <c r="N12" s="2"/>
    </row>
    <row r="13" spans="1:14" ht="19.5" customHeight="1">
      <c r="A13" s="8">
        <v>44935</v>
      </c>
      <c r="B13" s="56"/>
      <c r="C13" s="56"/>
      <c r="D13" s="23">
        <v>213.8</v>
      </c>
      <c r="E13" s="29">
        <v>949</v>
      </c>
      <c r="F13" s="9">
        <v>212.8</v>
      </c>
      <c r="G13" s="9">
        <v>844.02800000000002</v>
      </c>
      <c r="H13" s="25">
        <v>0</v>
      </c>
      <c r="I13" s="25">
        <v>0</v>
      </c>
      <c r="J13" s="1">
        <v>0</v>
      </c>
      <c r="K13" s="1">
        <v>0</v>
      </c>
      <c r="L13" s="9">
        <v>25</v>
      </c>
      <c r="M13" s="25">
        <f t="shared" si="0"/>
        <v>25</v>
      </c>
      <c r="N13" s="2"/>
    </row>
    <row r="14" spans="1:14" ht="19.5" customHeight="1">
      <c r="A14" s="8">
        <v>44936</v>
      </c>
      <c r="B14" s="56"/>
      <c r="C14" s="56"/>
      <c r="D14" s="23">
        <v>213.8</v>
      </c>
      <c r="E14" s="29">
        <v>949</v>
      </c>
      <c r="F14" s="9">
        <v>212.78</v>
      </c>
      <c r="G14" s="9">
        <v>841.90899999999999</v>
      </c>
      <c r="H14" s="25">
        <v>0</v>
      </c>
      <c r="I14" s="25">
        <v>0</v>
      </c>
      <c r="J14" s="1">
        <v>0</v>
      </c>
      <c r="K14" s="1">
        <v>0</v>
      </c>
      <c r="L14" s="9">
        <v>25</v>
      </c>
      <c r="M14" s="25">
        <f t="shared" si="0"/>
        <v>25</v>
      </c>
      <c r="N14" s="2"/>
    </row>
    <row r="15" spans="1:14" ht="19.5" customHeight="1">
      <c r="A15" s="8">
        <v>44937</v>
      </c>
      <c r="B15" s="56"/>
      <c r="C15" s="56"/>
      <c r="D15" s="23">
        <v>213.8</v>
      </c>
      <c r="E15" s="29">
        <v>949</v>
      </c>
      <c r="F15" s="9">
        <v>212.76</v>
      </c>
      <c r="G15" s="9">
        <v>839.79</v>
      </c>
      <c r="H15" s="25">
        <v>0</v>
      </c>
      <c r="I15" s="25">
        <v>0</v>
      </c>
      <c r="J15" s="1">
        <v>0</v>
      </c>
      <c r="K15" s="1">
        <v>0</v>
      </c>
      <c r="L15" s="9">
        <v>25</v>
      </c>
      <c r="M15" s="25">
        <f t="shared" si="0"/>
        <v>25</v>
      </c>
      <c r="N15" s="2"/>
    </row>
    <row r="16" spans="1:14" ht="19.5" customHeight="1">
      <c r="A16" s="8">
        <v>44938</v>
      </c>
      <c r="B16" s="56"/>
      <c r="C16" s="56"/>
      <c r="D16" s="23">
        <v>213.8</v>
      </c>
      <c r="E16" s="29">
        <v>949</v>
      </c>
      <c r="F16" s="9">
        <v>212.74</v>
      </c>
      <c r="G16" s="9">
        <v>837.67100000000005</v>
      </c>
      <c r="H16" s="25">
        <v>0</v>
      </c>
      <c r="I16" s="25">
        <v>0</v>
      </c>
      <c r="J16" s="1">
        <v>0</v>
      </c>
      <c r="K16" s="1">
        <v>0</v>
      </c>
      <c r="L16" s="9">
        <v>25</v>
      </c>
      <c r="M16" s="25">
        <f t="shared" si="0"/>
        <v>25</v>
      </c>
      <c r="N16" s="2"/>
    </row>
    <row r="17" spans="1:15" ht="19.5" customHeight="1">
      <c r="A17" s="8">
        <v>44939</v>
      </c>
      <c r="B17" s="56"/>
      <c r="C17" s="56"/>
      <c r="D17" s="23">
        <v>213.8</v>
      </c>
      <c r="E17" s="29">
        <v>949</v>
      </c>
      <c r="F17" s="9">
        <v>212.72</v>
      </c>
      <c r="G17" s="9">
        <v>835.55200000000002</v>
      </c>
      <c r="H17" s="25">
        <v>0</v>
      </c>
      <c r="I17" s="25">
        <v>0</v>
      </c>
      <c r="J17" s="1">
        <v>0</v>
      </c>
      <c r="K17" s="1">
        <v>0</v>
      </c>
      <c r="L17" s="9">
        <v>25</v>
      </c>
      <c r="M17" s="25">
        <f t="shared" si="0"/>
        <v>25</v>
      </c>
      <c r="N17" s="2"/>
    </row>
    <row r="18" spans="1:15" ht="19.5" customHeight="1">
      <c r="A18" s="8">
        <v>44940</v>
      </c>
      <c r="B18" s="56"/>
      <c r="C18" s="56"/>
      <c r="D18" s="23">
        <v>213.8</v>
      </c>
      <c r="E18" s="29">
        <v>949</v>
      </c>
      <c r="F18" s="9">
        <v>212.7</v>
      </c>
      <c r="G18" s="9">
        <v>833.43399999999997</v>
      </c>
      <c r="H18" s="25">
        <v>0</v>
      </c>
      <c r="I18" s="25">
        <v>0</v>
      </c>
      <c r="J18" s="1">
        <v>0</v>
      </c>
      <c r="K18" s="1">
        <v>0</v>
      </c>
      <c r="L18" s="9">
        <v>25</v>
      </c>
      <c r="M18" s="25">
        <f t="shared" si="0"/>
        <v>25</v>
      </c>
      <c r="N18" s="2"/>
    </row>
    <row r="19" spans="1:15" ht="19.5" customHeight="1">
      <c r="A19" s="8">
        <v>44941</v>
      </c>
      <c r="B19" s="56"/>
      <c r="C19" s="56"/>
      <c r="D19" s="23">
        <v>213.8</v>
      </c>
      <c r="E19" s="29">
        <v>949</v>
      </c>
      <c r="F19" s="9">
        <v>212.68</v>
      </c>
      <c r="G19" s="9">
        <v>831.31500000000005</v>
      </c>
      <c r="H19" s="25">
        <v>0</v>
      </c>
      <c r="I19" s="25">
        <v>0</v>
      </c>
      <c r="J19" s="1">
        <v>0</v>
      </c>
      <c r="K19" s="1">
        <v>0</v>
      </c>
      <c r="L19" s="9">
        <v>25</v>
      </c>
      <c r="M19" s="25">
        <f t="shared" si="0"/>
        <v>25</v>
      </c>
      <c r="N19" s="2"/>
    </row>
    <row r="20" spans="1:15" ht="19.5" customHeight="1">
      <c r="A20" s="8">
        <v>44942</v>
      </c>
      <c r="B20" s="56"/>
      <c r="C20" s="56"/>
      <c r="D20" s="23">
        <v>213.8</v>
      </c>
      <c r="E20" s="29">
        <v>949</v>
      </c>
      <c r="F20" s="9">
        <v>212.66</v>
      </c>
      <c r="G20" s="9">
        <v>829.19600000000003</v>
      </c>
      <c r="H20" s="25">
        <v>0</v>
      </c>
      <c r="I20" s="25">
        <v>0</v>
      </c>
      <c r="J20" s="1">
        <v>0</v>
      </c>
      <c r="K20" s="1">
        <v>0</v>
      </c>
      <c r="L20" s="9">
        <v>25</v>
      </c>
      <c r="M20" s="25">
        <f t="shared" si="0"/>
        <v>25</v>
      </c>
      <c r="N20" s="2"/>
    </row>
    <row r="21" spans="1:15" ht="19.5" customHeight="1">
      <c r="A21" s="8">
        <v>44943</v>
      </c>
      <c r="B21" s="56"/>
      <c r="C21" s="56"/>
      <c r="D21" s="23">
        <v>213.8</v>
      </c>
      <c r="E21" s="29">
        <v>949</v>
      </c>
      <c r="F21" s="9">
        <v>212.64</v>
      </c>
      <c r="G21" s="9">
        <v>827.077</v>
      </c>
      <c r="H21" s="25">
        <v>0</v>
      </c>
      <c r="I21" s="25">
        <v>0</v>
      </c>
      <c r="J21" s="1">
        <v>0</v>
      </c>
      <c r="K21" s="1">
        <v>0</v>
      </c>
      <c r="L21" s="9">
        <v>25</v>
      </c>
      <c r="M21" s="25">
        <f t="shared" si="0"/>
        <v>25</v>
      </c>
      <c r="N21" s="2"/>
    </row>
    <row r="22" spans="1:15" ht="19.5" customHeight="1">
      <c r="A22" s="8">
        <v>44944</v>
      </c>
      <c r="B22" s="56"/>
      <c r="C22" s="56"/>
      <c r="D22" s="23">
        <v>213.8</v>
      </c>
      <c r="E22" s="29">
        <v>949</v>
      </c>
      <c r="F22" s="9">
        <v>212.62</v>
      </c>
      <c r="G22" s="9">
        <v>824.95799999999997</v>
      </c>
      <c r="H22" s="25">
        <v>0</v>
      </c>
      <c r="I22" s="25">
        <v>0</v>
      </c>
      <c r="J22" s="1">
        <v>0</v>
      </c>
      <c r="K22" s="1">
        <v>0</v>
      </c>
      <c r="L22" s="9">
        <v>25</v>
      </c>
      <c r="M22" s="25">
        <f t="shared" si="0"/>
        <v>25</v>
      </c>
      <c r="N22" s="2"/>
    </row>
    <row r="23" spans="1:15" ht="19.5" customHeight="1">
      <c r="A23" s="8">
        <v>44945</v>
      </c>
      <c r="B23" s="56"/>
      <c r="C23" s="56"/>
      <c r="D23" s="23">
        <v>213.8</v>
      </c>
      <c r="E23" s="29">
        <v>949</v>
      </c>
      <c r="F23" s="9">
        <v>212.6</v>
      </c>
      <c r="G23" s="9">
        <v>822.83900000000006</v>
      </c>
      <c r="H23" s="25">
        <v>0</v>
      </c>
      <c r="I23" s="25">
        <v>0</v>
      </c>
      <c r="J23" s="1">
        <v>0</v>
      </c>
      <c r="K23" s="1">
        <v>0</v>
      </c>
      <c r="L23" s="9">
        <v>25</v>
      </c>
      <c r="M23" s="25">
        <f t="shared" si="0"/>
        <v>25</v>
      </c>
      <c r="N23" s="2"/>
    </row>
    <row r="24" spans="1:15" ht="19.5" customHeight="1">
      <c r="A24" s="8">
        <v>44946</v>
      </c>
      <c r="B24" s="56"/>
      <c r="C24" s="56"/>
      <c r="D24" s="23">
        <v>213.8</v>
      </c>
      <c r="E24" s="29">
        <v>949</v>
      </c>
      <c r="F24" s="9">
        <v>212.58</v>
      </c>
      <c r="G24" s="9">
        <v>820.72</v>
      </c>
      <c r="H24" s="25">
        <v>0</v>
      </c>
      <c r="I24" s="25">
        <v>0</v>
      </c>
      <c r="J24" s="1">
        <v>0</v>
      </c>
      <c r="K24" s="1">
        <v>0</v>
      </c>
      <c r="L24" s="9">
        <v>25</v>
      </c>
      <c r="M24" s="25">
        <f t="shared" si="0"/>
        <v>25</v>
      </c>
      <c r="N24" s="2"/>
    </row>
    <row r="25" spans="1:15" ht="19.5" customHeight="1">
      <c r="A25" s="8">
        <v>44947</v>
      </c>
      <c r="B25" s="56"/>
      <c r="C25" s="56"/>
      <c r="D25" s="23">
        <v>213.8</v>
      </c>
      <c r="E25" s="29">
        <v>949</v>
      </c>
      <c r="F25" s="9">
        <v>212.56</v>
      </c>
      <c r="G25" s="9">
        <v>818.601</v>
      </c>
      <c r="H25" s="25">
        <v>0</v>
      </c>
      <c r="I25" s="25">
        <v>0</v>
      </c>
      <c r="J25" s="1">
        <v>0</v>
      </c>
      <c r="K25" s="1">
        <v>0</v>
      </c>
      <c r="L25" s="9">
        <v>25</v>
      </c>
      <c r="M25" s="25">
        <f t="shared" si="0"/>
        <v>25</v>
      </c>
      <c r="N25" s="2"/>
    </row>
    <row r="26" spans="1:15" ht="19.5" customHeight="1">
      <c r="A26" s="8">
        <v>44948</v>
      </c>
      <c r="B26" s="56"/>
      <c r="C26" s="56"/>
      <c r="D26" s="23">
        <v>213.8</v>
      </c>
      <c r="E26" s="29">
        <v>949</v>
      </c>
      <c r="F26" s="9">
        <v>212.54</v>
      </c>
      <c r="G26" s="9">
        <v>816.48199999999997</v>
      </c>
      <c r="H26" s="25">
        <v>0</v>
      </c>
      <c r="I26" s="25">
        <v>0</v>
      </c>
      <c r="J26" s="1">
        <v>0</v>
      </c>
      <c r="K26" s="1">
        <v>0</v>
      </c>
      <c r="L26" s="9">
        <v>25</v>
      </c>
      <c r="M26" s="25">
        <f t="shared" si="0"/>
        <v>25</v>
      </c>
      <c r="N26" s="2"/>
      <c r="O26" s="19"/>
    </row>
    <row r="27" spans="1:15" ht="19.5" customHeight="1">
      <c r="A27" s="8">
        <v>44949</v>
      </c>
      <c r="B27" s="56"/>
      <c r="C27" s="56"/>
      <c r="D27" s="23">
        <v>213.8</v>
      </c>
      <c r="E27" s="29">
        <v>949</v>
      </c>
      <c r="F27" s="9">
        <v>212.52</v>
      </c>
      <c r="G27" s="9">
        <v>814.36300000000006</v>
      </c>
      <c r="H27" s="25">
        <v>0</v>
      </c>
      <c r="I27" s="25">
        <v>0</v>
      </c>
      <c r="J27" s="1">
        <v>0</v>
      </c>
      <c r="K27" s="1">
        <v>0</v>
      </c>
      <c r="L27" s="9">
        <v>25</v>
      </c>
      <c r="M27" s="25">
        <f t="shared" si="0"/>
        <v>25</v>
      </c>
      <c r="N27" s="2"/>
    </row>
    <row r="28" spans="1:15" ht="19.5" customHeight="1">
      <c r="A28" s="8">
        <v>44950</v>
      </c>
      <c r="B28" s="56"/>
      <c r="C28" s="56"/>
      <c r="D28" s="23">
        <v>213.8</v>
      </c>
      <c r="E28" s="29">
        <v>949</v>
      </c>
      <c r="F28" s="9">
        <v>212.5</v>
      </c>
      <c r="G28" s="9">
        <v>812.245</v>
      </c>
      <c r="H28" s="25">
        <v>0</v>
      </c>
      <c r="I28" s="25">
        <v>0</v>
      </c>
      <c r="J28" s="1">
        <v>0</v>
      </c>
      <c r="K28" s="1">
        <v>0</v>
      </c>
      <c r="L28" s="9">
        <v>25</v>
      </c>
      <c r="M28" s="25">
        <f t="shared" si="0"/>
        <v>25</v>
      </c>
      <c r="N28" s="2"/>
    </row>
    <row r="29" spans="1:15" ht="19.5" customHeight="1">
      <c r="A29" s="8">
        <v>44951</v>
      </c>
      <c r="B29" s="56"/>
      <c r="C29" s="56"/>
      <c r="D29" s="23">
        <v>213.8</v>
      </c>
      <c r="E29" s="29">
        <v>949</v>
      </c>
      <c r="F29" s="9">
        <v>212.48</v>
      </c>
      <c r="G29" s="9">
        <v>810.12599999999998</v>
      </c>
      <c r="H29" s="25">
        <v>0</v>
      </c>
      <c r="I29" s="25">
        <v>0</v>
      </c>
      <c r="J29" s="1">
        <v>0</v>
      </c>
      <c r="K29" s="1">
        <v>0</v>
      </c>
      <c r="L29" s="9">
        <v>25</v>
      </c>
      <c r="M29" s="25">
        <f t="shared" si="0"/>
        <v>25</v>
      </c>
      <c r="N29" s="2"/>
    </row>
    <row r="30" spans="1:15" ht="19.5" customHeight="1">
      <c r="A30" s="8">
        <v>44952</v>
      </c>
      <c r="B30" s="56"/>
      <c r="C30" s="56"/>
      <c r="D30" s="23">
        <v>213.8</v>
      </c>
      <c r="E30" s="29">
        <v>949</v>
      </c>
      <c r="F30" s="9">
        <v>212.46</v>
      </c>
      <c r="G30" s="9">
        <v>808.00699999999995</v>
      </c>
      <c r="H30" s="25">
        <v>0</v>
      </c>
      <c r="I30" s="25">
        <v>0</v>
      </c>
      <c r="J30" s="1">
        <v>0</v>
      </c>
      <c r="K30" s="1">
        <v>0</v>
      </c>
      <c r="L30" s="9">
        <v>25</v>
      </c>
      <c r="M30" s="25">
        <f t="shared" si="0"/>
        <v>25</v>
      </c>
      <c r="N30" s="2"/>
    </row>
    <row r="31" spans="1:15" ht="21" customHeight="1">
      <c r="A31" s="8">
        <v>44953</v>
      </c>
      <c r="B31" s="56"/>
      <c r="C31" s="56"/>
      <c r="D31" s="23">
        <v>213.8</v>
      </c>
      <c r="E31" s="29">
        <v>949</v>
      </c>
      <c r="F31" s="9">
        <v>212.44</v>
      </c>
      <c r="G31" s="9">
        <v>805.88800000000003</v>
      </c>
      <c r="H31" s="25">
        <v>0</v>
      </c>
      <c r="I31" s="25">
        <v>0</v>
      </c>
      <c r="J31" s="1">
        <v>0</v>
      </c>
      <c r="K31" s="1">
        <v>0</v>
      </c>
      <c r="L31" s="9">
        <v>25</v>
      </c>
      <c r="M31" s="25">
        <f t="shared" si="0"/>
        <v>25</v>
      </c>
      <c r="N31" s="2"/>
    </row>
    <row r="32" spans="1:15" ht="21" customHeight="1">
      <c r="A32" s="8">
        <v>44954</v>
      </c>
      <c r="B32" s="56"/>
      <c r="C32" s="56"/>
      <c r="D32" s="23">
        <v>213.8</v>
      </c>
      <c r="E32" s="29">
        <v>949</v>
      </c>
      <c r="F32" s="9">
        <v>212.42</v>
      </c>
      <c r="G32" s="9">
        <v>803.76900000000001</v>
      </c>
      <c r="H32" s="25">
        <v>0</v>
      </c>
      <c r="I32" s="25">
        <v>0</v>
      </c>
      <c r="J32" s="1">
        <v>0</v>
      </c>
      <c r="K32" s="1">
        <v>0</v>
      </c>
      <c r="L32" s="9">
        <v>25</v>
      </c>
      <c r="M32" s="25">
        <f t="shared" si="0"/>
        <v>25</v>
      </c>
      <c r="N32" s="2"/>
    </row>
    <row r="33" spans="1:15" ht="21" customHeight="1">
      <c r="A33" s="8">
        <v>44955</v>
      </c>
      <c r="B33" s="56"/>
      <c r="C33" s="56"/>
      <c r="D33" s="23">
        <v>213.8</v>
      </c>
      <c r="E33" s="29">
        <v>949</v>
      </c>
      <c r="F33" s="9">
        <v>212.4</v>
      </c>
      <c r="G33" s="9">
        <v>801.65</v>
      </c>
      <c r="H33" s="25">
        <v>0</v>
      </c>
      <c r="I33" s="25">
        <v>0</v>
      </c>
      <c r="J33" s="1">
        <v>0</v>
      </c>
      <c r="K33" s="1">
        <v>0</v>
      </c>
      <c r="L33" s="9">
        <v>25</v>
      </c>
      <c r="M33" s="25">
        <f t="shared" si="0"/>
        <v>25</v>
      </c>
      <c r="N33" s="2"/>
    </row>
    <row r="34" spans="1:15" ht="21" customHeight="1">
      <c r="A34" s="8">
        <v>44956</v>
      </c>
      <c r="B34" s="56"/>
      <c r="C34" s="56"/>
      <c r="D34" s="23">
        <v>213.8</v>
      </c>
      <c r="E34" s="29">
        <v>949</v>
      </c>
      <c r="F34" s="9">
        <v>212.38</v>
      </c>
      <c r="G34" s="9">
        <v>799.53099999999995</v>
      </c>
      <c r="H34" s="25">
        <v>0</v>
      </c>
      <c r="I34" s="25">
        <v>0</v>
      </c>
      <c r="J34" s="1">
        <v>0</v>
      </c>
      <c r="K34" s="1">
        <v>0</v>
      </c>
      <c r="L34" s="9">
        <v>25</v>
      </c>
      <c r="M34" s="25">
        <f t="shared" si="0"/>
        <v>25</v>
      </c>
      <c r="N34" s="2"/>
    </row>
    <row r="35" spans="1:15" ht="21" customHeight="1">
      <c r="A35" s="8">
        <v>44957</v>
      </c>
      <c r="B35" s="57"/>
      <c r="C35" s="57"/>
      <c r="D35" s="24">
        <v>213.8</v>
      </c>
      <c r="E35" s="29">
        <v>949</v>
      </c>
      <c r="F35" s="9">
        <v>212.36</v>
      </c>
      <c r="G35" s="9">
        <v>797.41200000000003</v>
      </c>
      <c r="H35" s="25">
        <v>0</v>
      </c>
      <c r="I35" s="25">
        <v>0</v>
      </c>
      <c r="J35" s="1">
        <v>0</v>
      </c>
      <c r="K35" s="1">
        <v>0</v>
      </c>
      <c r="L35" s="9">
        <v>25</v>
      </c>
      <c r="M35" s="25">
        <f t="shared" si="0"/>
        <v>25</v>
      </c>
      <c r="N35" s="2"/>
    </row>
    <row r="36" spans="1:15" ht="21" customHeight="1">
      <c r="A36" s="12"/>
      <c r="B36" s="13"/>
      <c r="C36" s="13"/>
      <c r="D36" s="14"/>
      <c r="E36" s="14"/>
      <c r="F36" s="15"/>
      <c r="G36" s="14"/>
      <c r="H36" s="16">
        <f>SUM(H5:H35)</f>
        <v>0</v>
      </c>
      <c r="I36" s="16">
        <f t="shared" ref="I36:M36" si="1">SUM(I5:I35)</f>
        <v>0</v>
      </c>
      <c r="J36" s="16">
        <f t="shared" si="1"/>
        <v>0</v>
      </c>
      <c r="K36" s="16">
        <f t="shared" si="1"/>
        <v>0</v>
      </c>
      <c r="L36" s="16">
        <f t="shared" si="1"/>
        <v>775</v>
      </c>
      <c r="M36" s="16">
        <f t="shared" si="1"/>
        <v>775</v>
      </c>
      <c r="N36" s="18"/>
      <c r="O36" s="20"/>
    </row>
    <row r="37" spans="1:15" ht="47.25" customHeight="1">
      <c r="A37" s="3"/>
      <c r="B37" s="4"/>
      <c r="C37" s="5"/>
      <c r="D37" s="5"/>
      <c r="E37" s="5"/>
      <c r="F37" s="5"/>
      <c r="G37" s="5"/>
      <c r="H37" s="5">
        <f>H36/11574</f>
        <v>0</v>
      </c>
      <c r="I37" s="5"/>
      <c r="J37" s="5">
        <f>J36/11574</f>
        <v>0</v>
      </c>
      <c r="K37" s="5">
        <f>K36/11574</f>
        <v>0</v>
      </c>
      <c r="L37" s="27"/>
      <c r="M37" s="27"/>
      <c r="N37" s="7"/>
    </row>
    <row r="38" spans="1:15" ht="15.75" customHeight="1">
      <c r="A38" s="58" t="s">
        <v>9</v>
      </c>
      <c r="B38" s="53"/>
      <c r="C38" s="53"/>
      <c r="D38" s="53"/>
      <c r="J38" s="58" t="s">
        <v>10</v>
      </c>
      <c r="K38" s="53"/>
      <c r="L38" s="53"/>
      <c r="M38" s="53"/>
      <c r="N38" s="7"/>
    </row>
    <row r="39" spans="1:15" ht="15.75" customHeight="1">
      <c r="A39" s="59" t="s">
        <v>16</v>
      </c>
      <c r="B39" s="53"/>
      <c r="C39" s="53"/>
      <c r="D39" s="53"/>
      <c r="J39" s="59" t="s">
        <v>16</v>
      </c>
      <c r="K39" s="53"/>
      <c r="L39" s="53"/>
      <c r="M39" s="53"/>
      <c r="N39" s="7"/>
    </row>
    <row r="40" spans="1:15" ht="15.75" customHeight="1">
      <c r="A40" s="52" t="s">
        <v>17</v>
      </c>
      <c r="B40" s="53"/>
      <c r="C40" s="53"/>
      <c r="D40" s="53"/>
      <c r="J40" s="52" t="s">
        <v>17</v>
      </c>
      <c r="K40" s="53"/>
      <c r="L40" s="53"/>
      <c r="M40" s="53"/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  <row r="102" spans="14:14" ht="15.75" customHeight="1">
      <c r="N102" s="7"/>
    </row>
  </sheetData>
  <mergeCells count="20">
    <mergeCell ref="A40:D40"/>
    <mergeCell ref="J40:M40"/>
    <mergeCell ref="N3:N4"/>
    <mergeCell ref="B5:B35"/>
    <mergeCell ref="C5:C35"/>
    <mergeCell ref="A38:D38"/>
    <mergeCell ref="J38:M38"/>
    <mergeCell ref="A39:D39"/>
    <mergeCell ref="J39:M39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99"/>
  <sheetViews>
    <sheetView topLeftCell="A16" workbookViewId="0">
      <selection activeCell="H33" sqref="H33:M33"/>
    </sheetView>
  </sheetViews>
  <sheetFormatPr defaultColWidth="14.42578125" defaultRowHeight="15" customHeight="1"/>
  <cols>
    <col min="1" max="1" width="12.42578125" style="26" customWidth="1"/>
    <col min="2" max="2" width="6.28515625" style="26" customWidth="1"/>
    <col min="3" max="3" width="5.140625" style="26" customWidth="1"/>
    <col min="4" max="4" width="10" style="26" customWidth="1"/>
    <col min="5" max="5" width="10" style="28" customWidth="1"/>
    <col min="6" max="7" width="8.7109375" style="26" customWidth="1"/>
    <col min="8" max="8" width="9.85546875" style="26" customWidth="1"/>
    <col min="9" max="9" width="8.7109375" style="26" customWidth="1"/>
    <col min="10" max="10" width="8.42578125" style="26" customWidth="1"/>
    <col min="11" max="11" width="8.7109375" style="26" customWidth="1"/>
    <col min="12" max="12" width="6.42578125" style="26" customWidth="1"/>
    <col min="13" max="13" width="8.5703125" style="26" customWidth="1"/>
    <col min="14" max="14" width="8.85546875" style="26" customWidth="1"/>
    <col min="15" max="16384" width="14.42578125" style="26"/>
  </cols>
  <sheetData>
    <row r="1" spans="1:14" ht="14.25" customHeight="1">
      <c r="A1" s="39" t="s">
        <v>22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1"/>
    </row>
    <row r="2" spans="1:14" ht="15.75" customHeight="1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4"/>
    </row>
    <row r="3" spans="1:14" ht="14.25" customHeight="1">
      <c r="A3" s="45" t="s">
        <v>0</v>
      </c>
      <c r="B3" s="47" t="s">
        <v>1</v>
      </c>
      <c r="C3" s="47" t="s">
        <v>2</v>
      </c>
      <c r="D3" s="45" t="s">
        <v>3</v>
      </c>
      <c r="E3" s="45" t="s">
        <v>20</v>
      </c>
      <c r="F3" s="45" t="s">
        <v>4</v>
      </c>
      <c r="G3" s="45" t="s">
        <v>19</v>
      </c>
      <c r="H3" s="45" t="s">
        <v>5</v>
      </c>
      <c r="I3" s="48" t="s">
        <v>6</v>
      </c>
      <c r="J3" s="49"/>
      <c r="K3" s="49"/>
      <c r="L3" s="49"/>
      <c r="M3" s="50" t="s">
        <v>7</v>
      </c>
      <c r="N3" s="54" t="s">
        <v>8</v>
      </c>
    </row>
    <row r="4" spans="1:14" ht="51.75" customHeight="1">
      <c r="A4" s="56"/>
      <c r="B4" s="56"/>
      <c r="C4" s="56"/>
      <c r="D4" s="56"/>
      <c r="E4" s="51"/>
      <c r="F4" s="56"/>
      <c r="G4" s="46"/>
      <c r="H4" s="46"/>
      <c r="I4" s="10" t="s">
        <v>15</v>
      </c>
      <c r="J4" s="10" t="s">
        <v>13</v>
      </c>
      <c r="K4" s="21" t="s">
        <v>18</v>
      </c>
      <c r="L4" s="10" t="s">
        <v>14</v>
      </c>
      <c r="M4" s="46"/>
      <c r="N4" s="46"/>
    </row>
    <row r="5" spans="1:14" ht="19.5" customHeight="1">
      <c r="A5" s="32">
        <v>44958</v>
      </c>
      <c r="B5" s="60" t="s">
        <v>11</v>
      </c>
      <c r="C5" s="60" t="s">
        <v>12</v>
      </c>
      <c r="D5" s="29">
        <v>213.8</v>
      </c>
      <c r="E5" s="29">
        <v>949</v>
      </c>
      <c r="F5" s="9">
        <v>212.34</v>
      </c>
      <c r="G5" s="9">
        <v>795.39300000000003</v>
      </c>
      <c r="H5" s="25">
        <v>0</v>
      </c>
      <c r="I5" s="25">
        <v>0</v>
      </c>
      <c r="J5" s="1">
        <v>0</v>
      </c>
      <c r="K5" s="1">
        <v>0</v>
      </c>
      <c r="L5" s="9">
        <v>25</v>
      </c>
      <c r="M5" s="25">
        <f>L5+K5+J5+I5</f>
        <v>25</v>
      </c>
      <c r="N5" s="2"/>
    </row>
    <row r="6" spans="1:14" ht="19.5" customHeight="1">
      <c r="A6" s="32">
        <v>44959</v>
      </c>
      <c r="B6" s="61"/>
      <c r="C6" s="61"/>
      <c r="D6" s="29">
        <v>213.8</v>
      </c>
      <c r="E6" s="29">
        <v>949</v>
      </c>
      <c r="F6" s="9">
        <v>212.32</v>
      </c>
      <c r="G6" s="9">
        <v>793.17399999999998</v>
      </c>
      <c r="H6" s="25">
        <v>0</v>
      </c>
      <c r="I6" s="25">
        <v>0</v>
      </c>
      <c r="J6" s="1">
        <v>0</v>
      </c>
      <c r="K6" s="1">
        <v>0</v>
      </c>
      <c r="L6" s="9">
        <v>25</v>
      </c>
      <c r="M6" s="25">
        <f t="shared" ref="M6:M32" si="0">L6+K6+J6+I6</f>
        <v>25</v>
      </c>
      <c r="N6" s="2"/>
    </row>
    <row r="7" spans="1:14" ht="19.5" customHeight="1">
      <c r="A7" s="32">
        <v>44960</v>
      </c>
      <c r="B7" s="61"/>
      <c r="C7" s="61"/>
      <c r="D7" s="29">
        <v>213.8</v>
      </c>
      <c r="E7" s="29">
        <v>949</v>
      </c>
      <c r="F7" s="9">
        <v>212.3</v>
      </c>
      <c r="G7" s="9">
        <v>791.05600000000004</v>
      </c>
      <c r="H7" s="25">
        <v>0</v>
      </c>
      <c r="I7" s="25">
        <v>0</v>
      </c>
      <c r="J7" s="1">
        <v>0</v>
      </c>
      <c r="K7" s="1">
        <v>0</v>
      </c>
      <c r="L7" s="9">
        <v>25</v>
      </c>
      <c r="M7" s="25">
        <f t="shared" si="0"/>
        <v>25</v>
      </c>
      <c r="N7" s="2"/>
    </row>
    <row r="8" spans="1:14" ht="19.5" customHeight="1">
      <c r="A8" s="32">
        <v>44961</v>
      </c>
      <c r="B8" s="61"/>
      <c r="C8" s="61"/>
      <c r="D8" s="29">
        <v>213.8</v>
      </c>
      <c r="E8" s="29">
        <v>949</v>
      </c>
      <c r="F8" s="9">
        <v>212.28</v>
      </c>
      <c r="G8" s="9">
        <v>788.93700000000001</v>
      </c>
      <c r="H8" s="25">
        <v>0</v>
      </c>
      <c r="I8" s="25">
        <v>0</v>
      </c>
      <c r="J8" s="1">
        <v>0</v>
      </c>
      <c r="K8" s="1">
        <v>0</v>
      </c>
      <c r="L8" s="9">
        <v>25</v>
      </c>
      <c r="M8" s="25">
        <f t="shared" si="0"/>
        <v>25</v>
      </c>
      <c r="N8" s="2"/>
    </row>
    <row r="9" spans="1:14" ht="19.5" customHeight="1">
      <c r="A9" s="32">
        <v>44962</v>
      </c>
      <c r="B9" s="61"/>
      <c r="C9" s="61"/>
      <c r="D9" s="29">
        <v>213.8</v>
      </c>
      <c r="E9" s="29">
        <v>949</v>
      </c>
      <c r="F9" s="9">
        <v>212.26</v>
      </c>
      <c r="G9" s="9">
        <v>786.81799999999998</v>
      </c>
      <c r="H9" s="25">
        <v>0</v>
      </c>
      <c r="I9" s="25">
        <v>0</v>
      </c>
      <c r="J9" s="1">
        <v>0</v>
      </c>
      <c r="K9" s="1">
        <v>0</v>
      </c>
      <c r="L9" s="9">
        <v>25</v>
      </c>
      <c r="M9" s="25">
        <f t="shared" si="0"/>
        <v>25</v>
      </c>
      <c r="N9" s="2"/>
    </row>
    <row r="10" spans="1:14" ht="19.5" customHeight="1">
      <c r="A10" s="32">
        <v>44963</v>
      </c>
      <c r="B10" s="61"/>
      <c r="C10" s="61"/>
      <c r="D10" s="29">
        <v>213.8</v>
      </c>
      <c r="E10" s="29">
        <v>949</v>
      </c>
      <c r="F10" s="9">
        <v>212.24</v>
      </c>
      <c r="G10" s="9">
        <v>784.69899999999996</v>
      </c>
      <c r="H10" s="25">
        <v>0</v>
      </c>
      <c r="I10" s="25">
        <v>0</v>
      </c>
      <c r="J10" s="1">
        <v>0</v>
      </c>
      <c r="K10" s="1">
        <v>0</v>
      </c>
      <c r="L10" s="9">
        <v>25</v>
      </c>
      <c r="M10" s="25">
        <f t="shared" si="0"/>
        <v>25</v>
      </c>
      <c r="N10" s="2"/>
    </row>
    <row r="11" spans="1:14" ht="19.5" customHeight="1">
      <c r="A11" s="32">
        <v>44964</v>
      </c>
      <c r="B11" s="61"/>
      <c r="C11" s="61"/>
      <c r="D11" s="29">
        <v>213.8</v>
      </c>
      <c r="E11" s="29">
        <v>949</v>
      </c>
      <c r="F11" s="9">
        <v>212.22</v>
      </c>
      <c r="G11" s="9">
        <v>782.58</v>
      </c>
      <c r="H11" s="25">
        <v>0</v>
      </c>
      <c r="I11" s="25">
        <v>0</v>
      </c>
      <c r="J11" s="1">
        <v>0</v>
      </c>
      <c r="K11" s="1">
        <v>0</v>
      </c>
      <c r="L11" s="9">
        <v>25</v>
      </c>
      <c r="M11" s="25">
        <f t="shared" si="0"/>
        <v>25</v>
      </c>
      <c r="N11" s="2"/>
    </row>
    <row r="12" spans="1:14" ht="19.5" customHeight="1">
      <c r="A12" s="32">
        <v>44965</v>
      </c>
      <c r="B12" s="61"/>
      <c r="C12" s="61"/>
      <c r="D12" s="29">
        <v>213.8</v>
      </c>
      <c r="E12" s="29">
        <v>949</v>
      </c>
      <c r="F12" s="9">
        <v>212.2</v>
      </c>
      <c r="G12" s="9">
        <v>780.46100000000001</v>
      </c>
      <c r="H12" s="25">
        <v>0</v>
      </c>
      <c r="I12" s="25">
        <v>0</v>
      </c>
      <c r="J12" s="1">
        <v>0</v>
      </c>
      <c r="K12" s="1">
        <v>0</v>
      </c>
      <c r="L12" s="9">
        <v>25</v>
      </c>
      <c r="M12" s="25">
        <f t="shared" si="0"/>
        <v>25</v>
      </c>
      <c r="N12" s="2"/>
    </row>
    <row r="13" spans="1:14" ht="19.5" customHeight="1">
      <c r="A13" s="32">
        <v>44966</v>
      </c>
      <c r="B13" s="61"/>
      <c r="C13" s="61"/>
      <c r="D13" s="29">
        <v>213.8</v>
      </c>
      <c r="E13" s="29">
        <v>949</v>
      </c>
      <c r="F13" s="9">
        <v>212.18</v>
      </c>
      <c r="G13" s="9">
        <v>778.34199999999998</v>
      </c>
      <c r="H13" s="25">
        <v>0</v>
      </c>
      <c r="I13" s="25">
        <v>0</v>
      </c>
      <c r="J13" s="1">
        <v>0</v>
      </c>
      <c r="K13" s="1">
        <v>0</v>
      </c>
      <c r="L13" s="9">
        <v>25</v>
      </c>
      <c r="M13" s="25">
        <f t="shared" si="0"/>
        <v>25</v>
      </c>
      <c r="N13" s="2"/>
    </row>
    <row r="14" spans="1:14" ht="19.5" customHeight="1">
      <c r="A14" s="32">
        <v>44967</v>
      </c>
      <c r="B14" s="61"/>
      <c r="C14" s="61"/>
      <c r="D14" s="29">
        <v>213.8</v>
      </c>
      <c r="E14" s="29">
        <v>949</v>
      </c>
      <c r="F14" s="9">
        <v>212.16</v>
      </c>
      <c r="G14" s="9">
        <v>776.22299999999996</v>
      </c>
      <c r="H14" s="25">
        <v>0</v>
      </c>
      <c r="I14" s="25">
        <v>0</v>
      </c>
      <c r="J14" s="1">
        <v>0</v>
      </c>
      <c r="K14" s="1">
        <v>0</v>
      </c>
      <c r="L14" s="9">
        <v>25</v>
      </c>
      <c r="M14" s="25">
        <f t="shared" si="0"/>
        <v>25</v>
      </c>
      <c r="N14" s="2"/>
    </row>
    <row r="15" spans="1:14" ht="19.5" customHeight="1">
      <c r="A15" s="32">
        <v>44968</v>
      </c>
      <c r="B15" s="61"/>
      <c r="C15" s="61"/>
      <c r="D15" s="29">
        <v>213.8</v>
      </c>
      <c r="E15" s="29">
        <v>949</v>
      </c>
      <c r="F15" s="9">
        <v>212.14</v>
      </c>
      <c r="G15" s="9">
        <v>774.10400000000004</v>
      </c>
      <c r="H15" s="25">
        <v>0</v>
      </c>
      <c r="I15" s="25">
        <v>0</v>
      </c>
      <c r="J15" s="1">
        <v>0</v>
      </c>
      <c r="K15" s="1">
        <v>0</v>
      </c>
      <c r="L15" s="9">
        <v>25</v>
      </c>
      <c r="M15" s="25">
        <f t="shared" si="0"/>
        <v>25</v>
      </c>
      <c r="N15" s="2"/>
    </row>
    <row r="16" spans="1:14" ht="19.5" customHeight="1">
      <c r="A16" s="32">
        <v>44969</v>
      </c>
      <c r="B16" s="61"/>
      <c r="C16" s="61"/>
      <c r="D16" s="29">
        <v>213.8</v>
      </c>
      <c r="E16" s="29">
        <v>949</v>
      </c>
      <c r="F16" s="9">
        <v>212.12</v>
      </c>
      <c r="G16" s="9">
        <v>771.98500000000001</v>
      </c>
      <c r="H16" s="25">
        <v>0</v>
      </c>
      <c r="I16" s="25">
        <v>0</v>
      </c>
      <c r="J16" s="1">
        <v>0</v>
      </c>
      <c r="K16" s="1">
        <v>0</v>
      </c>
      <c r="L16" s="9">
        <v>25</v>
      </c>
      <c r="M16" s="25">
        <f t="shared" si="0"/>
        <v>25</v>
      </c>
      <c r="N16" s="2"/>
    </row>
    <row r="17" spans="1:15" ht="19.5" customHeight="1">
      <c r="A17" s="32">
        <v>44970</v>
      </c>
      <c r="B17" s="61"/>
      <c r="C17" s="61"/>
      <c r="D17" s="29">
        <v>213.8</v>
      </c>
      <c r="E17" s="29">
        <v>949</v>
      </c>
      <c r="F17" s="9">
        <v>212.1</v>
      </c>
      <c r="G17" s="9">
        <v>769.86699999999996</v>
      </c>
      <c r="H17" s="25">
        <v>0</v>
      </c>
      <c r="I17" s="25">
        <v>0</v>
      </c>
      <c r="J17" s="1">
        <v>0</v>
      </c>
      <c r="K17" s="1">
        <v>0</v>
      </c>
      <c r="L17" s="9">
        <v>25</v>
      </c>
      <c r="M17" s="25">
        <f t="shared" si="0"/>
        <v>25</v>
      </c>
      <c r="N17" s="2"/>
    </row>
    <row r="18" spans="1:15" ht="19.5" customHeight="1">
      <c r="A18" s="32">
        <v>44971</v>
      </c>
      <c r="B18" s="61"/>
      <c r="C18" s="61"/>
      <c r="D18" s="29">
        <v>213.8</v>
      </c>
      <c r="E18" s="29">
        <v>949</v>
      </c>
      <c r="F18" s="9">
        <v>212.08</v>
      </c>
      <c r="G18" s="9">
        <v>767.74800000000005</v>
      </c>
      <c r="H18" s="25">
        <v>0</v>
      </c>
      <c r="I18" s="25">
        <v>0</v>
      </c>
      <c r="J18" s="1">
        <v>0</v>
      </c>
      <c r="K18" s="1">
        <v>0</v>
      </c>
      <c r="L18" s="9">
        <v>25</v>
      </c>
      <c r="M18" s="25">
        <f t="shared" si="0"/>
        <v>25</v>
      </c>
      <c r="N18" s="2"/>
    </row>
    <row r="19" spans="1:15" ht="19.5" customHeight="1">
      <c r="A19" s="32">
        <v>44972</v>
      </c>
      <c r="B19" s="61"/>
      <c r="C19" s="61"/>
      <c r="D19" s="29">
        <v>213.8</v>
      </c>
      <c r="E19" s="29">
        <v>949</v>
      </c>
      <c r="F19" s="9">
        <v>212.06</v>
      </c>
      <c r="G19" s="9">
        <v>765.62900000000002</v>
      </c>
      <c r="H19" s="25">
        <v>0</v>
      </c>
      <c r="I19" s="25">
        <v>0</v>
      </c>
      <c r="J19" s="1">
        <v>0</v>
      </c>
      <c r="K19" s="1">
        <v>0</v>
      </c>
      <c r="L19" s="9">
        <v>25</v>
      </c>
      <c r="M19" s="25">
        <f t="shared" si="0"/>
        <v>25</v>
      </c>
      <c r="N19" s="2"/>
    </row>
    <row r="20" spans="1:15" ht="19.5" customHeight="1">
      <c r="A20" s="32">
        <v>44973</v>
      </c>
      <c r="B20" s="61"/>
      <c r="C20" s="61"/>
      <c r="D20" s="29">
        <v>213.8</v>
      </c>
      <c r="E20" s="29">
        <v>949</v>
      </c>
      <c r="F20" s="9">
        <v>212.04</v>
      </c>
      <c r="G20" s="9">
        <v>763.51</v>
      </c>
      <c r="H20" s="25">
        <v>0</v>
      </c>
      <c r="I20" s="25">
        <v>0</v>
      </c>
      <c r="J20" s="1">
        <v>0</v>
      </c>
      <c r="K20" s="1">
        <v>0</v>
      </c>
      <c r="L20" s="9">
        <v>25</v>
      </c>
      <c r="M20" s="25">
        <f t="shared" si="0"/>
        <v>25</v>
      </c>
      <c r="N20" s="2"/>
    </row>
    <row r="21" spans="1:15" ht="19.5" customHeight="1">
      <c r="A21" s="32">
        <v>44974</v>
      </c>
      <c r="B21" s="61"/>
      <c r="C21" s="61"/>
      <c r="D21" s="29">
        <v>213.8</v>
      </c>
      <c r="E21" s="29">
        <v>949</v>
      </c>
      <c r="F21" s="9">
        <v>212.02</v>
      </c>
      <c r="G21" s="9">
        <v>761.39099999999996</v>
      </c>
      <c r="H21" s="25">
        <v>0</v>
      </c>
      <c r="I21" s="25">
        <v>0</v>
      </c>
      <c r="J21" s="1">
        <v>0</v>
      </c>
      <c r="K21" s="1">
        <v>0</v>
      </c>
      <c r="L21" s="9">
        <v>25</v>
      </c>
      <c r="M21" s="25">
        <f t="shared" si="0"/>
        <v>25</v>
      </c>
      <c r="N21" s="2"/>
    </row>
    <row r="22" spans="1:15" ht="19.5" customHeight="1">
      <c r="A22" s="32">
        <v>44975</v>
      </c>
      <c r="B22" s="61"/>
      <c r="C22" s="61"/>
      <c r="D22" s="29">
        <v>213.8</v>
      </c>
      <c r="E22" s="29">
        <v>949</v>
      </c>
      <c r="F22" s="9">
        <v>212</v>
      </c>
      <c r="G22" s="9">
        <v>759.27200000000005</v>
      </c>
      <c r="H22" s="25">
        <v>0</v>
      </c>
      <c r="I22" s="25">
        <v>0</v>
      </c>
      <c r="J22" s="1">
        <v>0</v>
      </c>
      <c r="K22" s="1">
        <v>0</v>
      </c>
      <c r="L22" s="9">
        <v>25</v>
      </c>
      <c r="M22" s="25">
        <f t="shared" si="0"/>
        <v>25</v>
      </c>
      <c r="N22" s="2"/>
    </row>
    <row r="23" spans="1:15" ht="19.5" customHeight="1">
      <c r="A23" s="32">
        <v>44976</v>
      </c>
      <c r="B23" s="61"/>
      <c r="C23" s="61"/>
      <c r="D23" s="29">
        <v>213.8</v>
      </c>
      <c r="E23" s="29">
        <v>949</v>
      </c>
      <c r="F23" s="9">
        <v>211.98</v>
      </c>
      <c r="G23" s="9">
        <v>757.15300000000002</v>
      </c>
      <c r="H23" s="25">
        <v>0</v>
      </c>
      <c r="I23" s="25">
        <v>0</v>
      </c>
      <c r="J23" s="1">
        <v>0</v>
      </c>
      <c r="K23" s="1">
        <v>0</v>
      </c>
      <c r="L23" s="9">
        <v>25</v>
      </c>
      <c r="M23" s="25">
        <f t="shared" si="0"/>
        <v>25</v>
      </c>
      <c r="N23" s="2"/>
    </row>
    <row r="24" spans="1:15" ht="19.5" customHeight="1">
      <c r="A24" s="32">
        <v>44977</v>
      </c>
      <c r="B24" s="61"/>
      <c r="C24" s="61"/>
      <c r="D24" s="29">
        <v>213.8</v>
      </c>
      <c r="E24" s="29">
        <v>949</v>
      </c>
      <c r="F24" s="9">
        <v>211.96</v>
      </c>
      <c r="G24" s="9">
        <v>755.03399999999999</v>
      </c>
      <c r="H24" s="25">
        <v>0</v>
      </c>
      <c r="I24" s="25">
        <v>0</v>
      </c>
      <c r="J24" s="1">
        <v>0</v>
      </c>
      <c r="K24" s="1">
        <v>0</v>
      </c>
      <c r="L24" s="9">
        <v>25</v>
      </c>
      <c r="M24" s="25">
        <f t="shared" si="0"/>
        <v>25</v>
      </c>
      <c r="N24" s="2"/>
    </row>
    <row r="25" spans="1:15" ht="19.5" customHeight="1">
      <c r="A25" s="32">
        <v>44978</v>
      </c>
      <c r="B25" s="61"/>
      <c r="C25" s="61"/>
      <c r="D25" s="29">
        <v>213.8</v>
      </c>
      <c r="E25" s="29">
        <v>949</v>
      </c>
      <c r="F25" s="9">
        <v>211.94</v>
      </c>
      <c r="G25" s="9">
        <v>752.91499999999996</v>
      </c>
      <c r="H25" s="25">
        <v>0</v>
      </c>
      <c r="I25" s="25">
        <v>0</v>
      </c>
      <c r="J25" s="1">
        <v>0</v>
      </c>
      <c r="K25" s="1">
        <v>0</v>
      </c>
      <c r="L25" s="9">
        <v>25</v>
      </c>
      <c r="M25" s="25">
        <f t="shared" si="0"/>
        <v>25</v>
      </c>
      <c r="N25" s="2"/>
    </row>
    <row r="26" spans="1:15" ht="19.5" customHeight="1">
      <c r="A26" s="32">
        <v>44979</v>
      </c>
      <c r="B26" s="61"/>
      <c r="C26" s="61"/>
      <c r="D26" s="29">
        <v>213.8</v>
      </c>
      <c r="E26" s="29">
        <v>949</v>
      </c>
      <c r="F26" s="9">
        <v>211.92</v>
      </c>
      <c r="G26" s="9">
        <v>750.79600000000005</v>
      </c>
      <c r="H26" s="25">
        <v>0</v>
      </c>
      <c r="I26" s="25">
        <v>0</v>
      </c>
      <c r="J26" s="1">
        <v>0</v>
      </c>
      <c r="K26" s="1">
        <v>0</v>
      </c>
      <c r="L26" s="9">
        <v>25</v>
      </c>
      <c r="M26" s="25">
        <f t="shared" si="0"/>
        <v>25</v>
      </c>
      <c r="N26" s="2"/>
      <c r="O26" s="19"/>
    </row>
    <row r="27" spans="1:15" ht="19.5" customHeight="1">
      <c r="A27" s="32">
        <v>44980</v>
      </c>
      <c r="B27" s="61"/>
      <c r="C27" s="61"/>
      <c r="D27" s="29">
        <v>213.8</v>
      </c>
      <c r="E27" s="29">
        <v>949</v>
      </c>
      <c r="F27" s="9">
        <v>211.9</v>
      </c>
      <c r="G27" s="9">
        <v>748.678</v>
      </c>
      <c r="H27" s="25">
        <v>0</v>
      </c>
      <c r="I27" s="25">
        <v>0</v>
      </c>
      <c r="J27" s="1">
        <v>0</v>
      </c>
      <c r="K27" s="1">
        <v>0</v>
      </c>
      <c r="L27" s="9">
        <v>25</v>
      </c>
      <c r="M27" s="25">
        <f t="shared" si="0"/>
        <v>25</v>
      </c>
      <c r="N27" s="2"/>
    </row>
    <row r="28" spans="1:15" ht="19.5" customHeight="1">
      <c r="A28" s="32">
        <v>44981</v>
      </c>
      <c r="B28" s="61"/>
      <c r="C28" s="61"/>
      <c r="D28" s="29">
        <v>213.8</v>
      </c>
      <c r="E28" s="29">
        <v>949</v>
      </c>
      <c r="F28" s="9">
        <v>211.88</v>
      </c>
      <c r="G28" s="9">
        <v>746.55899999999997</v>
      </c>
      <c r="H28" s="25">
        <v>0</v>
      </c>
      <c r="I28" s="25">
        <v>0</v>
      </c>
      <c r="J28" s="1">
        <v>0</v>
      </c>
      <c r="K28" s="1">
        <v>0</v>
      </c>
      <c r="L28" s="9">
        <v>25</v>
      </c>
      <c r="M28" s="25">
        <f t="shared" si="0"/>
        <v>25</v>
      </c>
      <c r="N28" s="2"/>
    </row>
    <row r="29" spans="1:15" ht="19.5" customHeight="1">
      <c r="A29" s="32">
        <v>44982</v>
      </c>
      <c r="B29" s="61"/>
      <c r="C29" s="61"/>
      <c r="D29" s="29">
        <v>213.8</v>
      </c>
      <c r="E29" s="29">
        <v>949</v>
      </c>
      <c r="F29" s="9">
        <v>211.86</v>
      </c>
      <c r="G29" s="9">
        <v>744.44</v>
      </c>
      <c r="H29" s="25">
        <v>0</v>
      </c>
      <c r="I29" s="25">
        <v>0</v>
      </c>
      <c r="J29" s="1">
        <v>0</v>
      </c>
      <c r="K29" s="1">
        <v>0</v>
      </c>
      <c r="L29" s="9">
        <v>25</v>
      </c>
      <c r="M29" s="25">
        <f t="shared" si="0"/>
        <v>25</v>
      </c>
      <c r="N29" s="2"/>
    </row>
    <row r="30" spans="1:15" ht="19.5" customHeight="1">
      <c r="A30" s="32">
        <v>44983</v>
      </c>
      <c r="B30" s="61"/>
      <c r="C30" s="61"/>
      <c r="D30" s="29">
        <v>213.8</v>
      </c>
      <c r="E30" s="29">
        <v>949</v>
      </c>
      <c r="F30" s="9">
        <v>211.84</v>
      </c>
      <c r="G30" s="9">
        <v>742.32100000000003</v>
      </c>
      <c r="H30" s="25">
        <v>0</v>
      </c>
      <c r="I30" s="25">
        <v>0</v>
      </c>
      <c r="J30" s="1">
        <v>0</v>
      </c>
      <c r="K30" s="1">
        <v>0</v>
      </c>
      <c r="L30" s="9">
        <v>25</v>
      </c>
      <c r="M30" s="25">
        <f t="shared" si="0"/>
        <v>25</v>
      </c>
      <c r="N30" s="2"/>
    </row>
    <row r="31" spans="1:15" ht="21" customHeight="1">
      <c r="A31" s="32">
        <v>44984</v>
      </c>
      <c r="B31" s="61"/>
      <c r="C31" s="61"/>
      <c r="D31" s="29">
        <v>213.8</v>
      </c>
      <c r="E31" s="29">
        <v>949</v>
      </c>
      <c r="F31" s="9">
        <v>211.82</v>
      </c>
      <c r="G31" s="9">
        <v>740.202</v>
      </c>
      <c r="H31" s="25">
        <v>0</v>
      </c>
      <c r="I31" s="25">
        <v>0</v>
      </c>
      <c r="J31" s="1">
        <v>0</v>
      </c>
      <c r="K31" s="1">
        <v>0</v>
      </c>
      <c r="L31" s="9">
        <v>25</v>
      </c>
      <c r="M31" s="25">
        <f t="shared" si="0"/>
        <v>25</v>
      </c>
      <c r="N31" s="2"/>
    </row>
    <row r="32" spans="1:15" ht="21" customHeight="1">
      <c r="A32" s="32">
        <v>44985</v>
      </c>
      <c r="B32" s="61"/>
      <c r="C32" s="61"/>
      <c r="D32" s="29">
        <v>213.8</v>
      </c>
      <c r="E32" s="29">
        <v>949</v>
      </c>
      <c r="F32" s="9">
        <v>211.72</v>
      </c>
      <c r="G32" s="9">
        <v>731.76800000000003</v>
      </c>
      <c r="H32" s="25">
        <v>0</v>
      </c>
      <c r="I32" s="25">
        <v>0</v>
      </c>
      <c r="J32" s="1">
        <v>100</v>
      </c>
      <c r="K32" s="1">
        <v>0</v>
      </c>
      <c r="L32" s="9">
        <v>0</v>
      </c>
      <c r="M32" s="25">
        <f t="shared" si="0"/>
        <v>100</v>
      </c>
      <c r="N32" s="2"/>
    </row>
    <row r="33" spans="1:15" ht="21" customHeight="1">
      <c r="A33" s="12"/>
      <c r="B33" s="13"/>
      <c r="C33" s="13"/>
      <c r="D33" s="14"/>
      <c r="E33" s="31"/>
      <c r="F33" s="15"/>
      <c r="G33" s="14"/>
      <c r="H33" s="16">
        <f>SUM(H5:H32)</f>
        <v>0</v>
      </c>
      <c r="I33" s="16">
        <f t="shared" ref="I33:M33" si="1">SUM(I5:I32)</f>
        <v>0</v>
      </c>
      <c r="J33" s="16">
        <f t="shared" si="1"/>
        <v>100</v>
      </c>
      <c r="K33" s="16">
        <f t="shared" si="1"/>
        <v>0</v>
      </c>
      <c r="L33" s="16">
        <f t="shared" si="1"/>
        <v>675</v>
      </c>
      <c r="M33" s="16">
        <f t="shared" si="1"/>
        <v>775</v>
      </c>
      <c r="N33" s="18"/>
      <c r="O33" s="20"/>
    </row>
    <row r="34" spans="1:15" ht="47.25" customHeight="1">
      <c r="A34" s="3"/>
      <c r="B34" s="4"/>
      <c r="C34" s="5"/>
      <c r="D34" s="5"/>
      <c r="E34" s="31"/>
      <c r="F34" s="5"/>
      <c r="G34" s="5"/>
      <c r="H34" s="5">
        <f>H33/11574</f>
        <v>0</v>
      </c>
      <c r="I34" s="5"/>
      <c r="J34" s="5">
        <f>J33/11574</f>
        <v>8.6400552963538969E-3</v>
      </c>
      <c r="K34" s="5">
        <f>K33/11574</f>
        <v>0</v>
      </c>
      <c r="L34" s="27"/>
      <c r="M34" s="27"/>
      <c r="N34" s="7"/>
    </row>
    <row r="35" spans="1:15" ht="15.75" customHeight="1">
      <c r="A35" s="58" t="s">
        <v>9</v>
      </c>
      <c r="B35" s="53"/>
      <c r="C35" s="53"/>
      <c r="D35" s="53"/>
      <c r="E35" s="31"/>
      <c r="J35" s="58" t="s">
        <v>10</v>
      </c>
      <c r="K35" s="53"/>
      <c r="L35" s="53"/>
      <c r="M35" s="53"/>
      <c r="N35" s="7"/>
    </row>
    <row r="36" spans="1:15" ht="15.75" customHeight="1">
      <c r="A36" s="59" t="s">
        <v>16</v>
      </c>
      <c r="B36" s="53"/>
      <c r="C36" s="53"/>
      <c r="D36" s="53"/>
      <c r="J36" s="59" t="s">
        <v>16</v>
      </c>
      <c r="K36" s="53"/>
      <c r="L36" s="53"/>
      <c r="M36" s="53"/>
      <c r="N36" s="7"/>
    </row>
    <row r="37" spans="1:15" ht="15.75" customHeight="1">
      <c r="A37" s="52" t="s">
        <v>17</v>
      </c>
      <c r="B37" s="53"/>
      <c r="C37" s="53"/>
      <c r="D37" s="53"/>
      <c r="J37" s="52" t="s">
        <v>17</v>
      </c>
      <c r="K37" s="53"/>
      <c r="L37" s="53"/>
      <c r="M37" s="53"/>
      <c r="N37" s="7"/>
    </row>
    <row r="38" spans="1:15" ht="15.75" customHeight="1">
      <c r="N38" s="7"/>
    </row>
    <row r="39" spans="1:15" ht="15.75" customHeight="1">
      <c r="N39" s="7"/>
    </row>
    <row r="40" spans="1:15" ht="15.75" customHeight="1"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</sheetData>
  <mergeCells count="20">
    <mergeCell ref="A37:D37"/>
    <mergeCell ref="J37:M37"/>
    <mergeCell ref="N3:N4"/>
    <mergeCell ref="B5:B32"/>
    <mergeCell ref="C5:C32"/>
    <mergeCell ref="A35:D35"/>
    <mergeCell ref="J35:M35"/>
    <mergeCell ref="A36:D36"/>
    <mergeCell ref="J36:M36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02"/>
  <sheetViews>
    <sheetView topLeftCell="A25" workbookViewId="0">
      <selection activeCell="H36" sqref="H36:M36"/>
    </sheetView>
  </sheetViews>
  <sheetFormatPr defaultColWidth="14.42578125" defaultRowHeight="15" customHeight="1"/>
  <cols>
    <col min="1" max="1" width="12.42578125" style="26" customWidth="1"/>
    <col min="2" max="2" width="6.28515625" style="26" customWidth="1"/>
    <col min="3" max="3" width="5.140625" style="26" customWidth="1"/>
    <col min="4" max="4" width="10" style="26" customWidth="1"/>
    <col min="5" max="5" width="10" style="28" customWidth="1"/>
    <col min="6" max="7" width="8.7109375" style="26" customWidth="1"/>
    <col min="8" max="8" width="9.85546875" style="26" customWidth="1"/>
    <col min="9" max="9" width="8.7109375" style="26" customWidth="1"/>
    <col min="10" max="10" width="8.42578125" style="26" customWidth="1"/>
    <col min="11" max="11" width="8.7109375" style="26" customWidth="1"/>
    <col min="12" max="12" width="6.42578125" style="26" customWidth="1"/>
    <col min="13" max="13" width="8.5703125" style="26" customWidth="1"/>
    <col min="14" max="14" width="8.85546875" style="26" customWidth="1"/>
    <col min="15" max="16384" width="14.42578125" style="26"/>
  </cols>
  <sheetData>
    <row r="1" spans="1:14" ht="14.25" customHeight="1">
      <c r="A1" s="39" t="s">
        <v>23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1"/>
    </row>
    <row r="2" spans="1:14" ht="15.75" customHeight="1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4"/>
    </row>
    <row r="3" spans="1:14" ht="14.25" customHeight="1">
      <c r="A3" s="45" t="s">
        <v>0</v>
      </c>
      <c r="B3" s="47" t="s">
        <v>1</v>
      </c>
      <c r="C3" s="47" t="s">
        <v>2</v>
      </c>
      <c r="D3" s="45" t="s">
        <v>3</v>
      </c>
      <c r="E3" s="45" t="s">
        <v>20</v>
      </c>
      <c r="F3" s="45" t="s">
        <v>4</v>
      </c>
      <c r="G3" s="45" t="s">
        <v>19</v>
      </c>
      <c r="H3" s="45" t="s">
        <v>5</v>
      </c>
      <c r="I3" s="48" t="s">
        <v>6</v>
      </c>
      <c r="J3" s="49"/>
      <c r="K3" s="49"/>
      <c r="L3" s="49"/>
      <c r="M3" s="50" t="s">
        <v>7</v>
      </c>
      <c r="N3" s="54" t="s">
        <v>8</v>
      </c>
    </row>
    <row r="4" spans="1:14" ht="51.75" customHeight="1">
      <c r="A4" s="46"/>
      <c r="B4" s="46"/>
      <c r="C4" s="46"/>
      <c r="D4" s="46"/>
      <c r="E4" s="51"/>
      <c r="F4" s="46"/>
      <c r="G4" s="46"/>
      <c r="H4" s="46"/>
      <c r="I4" s="10" t="s">
        <v>15</v>
      </c>
      <c r="J4" s="10" t="s">
        <v>13</v>
      </c>
      <c r="K4" s="21" t="s">
        <v>18</v>
      </c>
      <c r="L4" s="10" t="s">
        <v>14</v>
      </c>
      <c r="M4" s="46"/>
      <c r="N4" s="46"/>
    </row>
    <row r="5" spans="1:14" ht="19.5" customHeight="1">
      <c r="A5" s="8">
        <v>44986</v>
      </c>
      <c r="B5" s="55" t="s">
        <v>11</v>
      </c>
      <c r="C5" s="55" t="s">
        <v>12</v>
      </c>
      <c r="D5" s="23">
        <v>213.8</v>
      </c>
      <c r="E5" s="29">
        <v>949</v>
      </c>
      <c r="F5" s="9">
        <v>211.64</v>
      </c>
      <c r="G5" s="9">
        <v>723.25099999999998</v>
      </c>
      <c r="H5" s="9">
        <v>1</v>
      </c>
      <c r="I5" s="37">
        <v>0</v>
      </c>
      <c r="J5" s="37">
        <v>100</v>
      </c>
      <c r="K5" s="9">
        <v>0</v>
      </c>
      <c r="L5" s="9">
        <v>0</v>
      </c>
      <c r="M5" s="9">
        <f>I5+J5+K5+L5+L5</f>
        <v>100</v>
      </c>
      <c r="N5" s="2"/>
    </row>
    <row r="6" spans="1:14" ht="19.5" customHeight="1">
      <c r="A6" s="8">
        <v>44987</v>
      </c>
      <c r="B6" s="56"/>
      <c r="C6" s="56"/>
      <c r="D6" s="23">
        <v>213.8</v>
      </c>
      <c r="E6" s="29">
        <v>949</v>
      </c>
      <c r="F6" s="9">
        <v>211.56</v>
      </c>
      <c r="G6" s="9">
        <v>715.12800000000004</v>
      </c>
      <c r="H6" s="9">
        <v>5</v>
      </c>
      <c r="I6" s="37">
        <v>0</v>
      </c>
      <c r="J6" s="37">
        <v>100</v>
      </c>
      <c r="K6" s="9">
        <v>0</v>
      </c>
      <c r="L6" s="9">
        <v>0</v>
      </c>
      <c r="M6" s="9">
        <f t="shared" ref="M6:M8" si="0">I6+J6+K6+L6+L6</f>
        <v>100</v>
      </c>
      <c r="N6" s="2"/>
    </row>
    <row r="7" spans="1:14" ht="19.5" customHeight="1">
      <c r="A7" s="8">
        <v>44988</v>
      </c>
      <c r="B7" s="56"/>
      <c r="C7" s="56"/>
      <c r="D7" s="23">
        <v>213.8</v>
      </c>
      <c r="E7" s="29">
        <v>949</v>
      </c>
      <c r="F7" s="9">
        <v>211.48</v>
      </c>
      <c r="G7" s="9">
        <v>706.65300000000002</v>
      </c>
      <c r="H7" s="9">
        <v>1</v>
      </c>
      <c r="I7" s="37">
        <v>0</v>
      </c>
      <c r="J7" s="37">
        <v>100</v>
      </c>
      <c r="K7" s="9">
        <v>0</v>
      </c>
      <c r="L7" s="9">
        <v>0</v>
      </c>
      <c r="M7" s="9">
        <f t="shared" si="0"/>
        <v>100</v>
      </c>
      <c r="N7" s="2"/>
    </row>
    <row r="8" spans="1:14" ht="19.5" customHeight="1">
      <c r="A8" s="8">
        <v>44989</v>
      </c>
      <c r="B8" s="56"/>
      <c r="C8" s="56"/>
      <c r="D8" s="23">
        <v>213.8</v>
      </c>
      <c r="E8" s="29">
        <v>949</v>
      </c>
      <c r="F8" s="9">
        <v>211.4</v>
      </c>
      <c r="G8" s="9">
        <v>698.17700000000002</v>
      </c>
      <c r="H8" s="9">
        <v>1</v>
      </c>
      <c r="I8" s="37">
        <v>0</v>
      </c>
      <c r="J8" s="37">
        <v>100</v>
      </c>
      <c r="K8" s="9">
        <v>0</v>
      </c>
      <c r="L8" s="9">
        <v>0</v>
      </c>
      <c r="M8" s="9">
        <f t="shared" si="0"/>
        <v>100</v>
      </c>
      <c r="N8" s="2"/>
    </row>
    <row r="9" spans="1:14" ht="19.5" customHeight="1">
      <c r="A9" s="8">
        <v>44990</v>
      </c>
      <c r="B9" s="56"/>
      <c r="C9" s="56"/>
      <c r="D9" s="23">
        <v>213.8</v>
      </c>
      <c r="E9" s="29">
        <v>949</v>
      </c>
      <c r="F9" s="9">
        <v>211.38</v>
      </c>
      <c r="G9" s="9">
        <v>696.05799999999999</v>
      </c>
      <c r="H9" s="9">
        <v>1</v>
      </c>
      <c r="I9" s="37">
        <v>0</v>
      </c>
      <c r="J9" s="37">
        <v>0</v>
      </c>
      <c r="K9" s="9">
        <v>0</v>
      </c>
      <c r="L9" s="9">
        <v>25</v>
      </c>
      <c r="M9" s="9">
        <f>I9+J9+K9+L9</f>
        <v>25</v>
      </c>
      <c r="N9" s="2"/>
    </row>
    <row r="10" spans="1:14" ht="19.5" customHeight="1">
      <c r="A10" s="8">
        <v>44991</v>
      </c>
      <c r="B10" s="56"/>
      <c r="C10" s="56"/>
      <c r="D10" s="23">
        <v>213.8</v>
      </c>
      <c r="E10" s="29">
        <v>949</v>
      </c>
      <c r="F10" s="9">
        <v>211.36</v>
      </c>
      <c r="G10" s="9">
        <v>693.39300000000003</v>
      </c>
      <c r="H10" s="9">
        <v>1</v>
      </c>
      <c r="I10" s="37">
        <v>0</v>
      </c>
      <c r="J10" s="37">
        <v>0</v>
      </c>
      <c r="K10" s="9">
        <v>0</v>
      </c>
      <c r="L10" s="9">
        <v>25</v>
      </c>
      <c r="M10" s="9">
        <f t="shared" ref="M10:M35" si="1">I10+J10+K10+L10</f>
        <v>25</v>
      </c>
      <c r="N10" s="2"/>
    </row>
    <row r="11" spans="1:14" ht="19.5" customHeight="1">
      <c r="A11" s="8">
        <v>44992</v>
      </c>
      <c r="B11" s="56"/>
      <c r="C11" s="56"/>
      <c r="D11" s="23">
        <v>213.8</v>
      </c>
      <c r="E11" s="29">
        <v>949</v>
      </c>
      <c r="F11" s="9">
        <v>211.34</v>
      </c>
      <c r="G11" s="9">
        <v>691.82</v>
      </c>
      <c r="H11" s="9">
        <v>1</v>
      </c>
      <c r="I11" s="37">
        <v>0</v>
      </c>
      <c r="J11" s="37">
        <v>0</v>
      </c>
      <c r="K11" s="9">
        <v>0</v>
      </c>
      <c r="L11" s="9">
        <v>25</v>
      </c>
      <c r="M11" s="9">
        <f t="shared" si="1"/>
        <v>25</v>
      </c>
      <c r="N11" s="2"/>
    </row>
    <row r="12" spans="1:14" ht="19.5" customHeight="1">
      <c r="A12" s="8">
        <v>44993</v>
      </c>
      <c r="B12" s="56"/>
      <c r="C12" s="56"/>
      <c r="D12" s="23">
        <v>213.8</v>
      </c>
      <c r="E12" s="29">
        <v>949</v>
      </c>
      <c r="F12" s="9">
        <v>211.32</v>
      </c>
      <c r="G12" s="9">
        <v>689.702</v>
      </c>
      <c r="H12" s="9">
        <v>1</v>
      </c>
      <c r="I12" s="37">
        <v>0</v>
      </c>
      <c r="J12" s="37">
        <v>0</v>
      </c>
      <c r="K12" s="9">
        <v>0</v>
      </c>
      <c r="L12" s="9">
        <v>25</v>
      </c>
      <c r="M12" s="9">
        <f t="shared" si="1"/>
        <v>25</v>
      </c>
      <c r="N12" s="2"/>
    </row>
    <row r="13" spans="1:14" ht="19.5" customHeight="1">
      <c r="A13" s="8">
        <v>44994</v>
      </c>
      <c r="B13" s="56"/>
      <c r="C13" s="56"/>
      <c r="D13" s="23">
        <v>213.8</v>
      </c>
      <c r="E13" s="29">
        <v>949</v>
      </c>
      <c r="F13" s="9">
        <v>211.3</v>
      </c>
      <c r="G13" s="9">
        <v>687.58299999999997</v>
      </c>
      <c r="H13" s="9">
        <v>1</v>
      </c>
      <c r="I13" s="37">
        <v>0</v>
      </c>
      <c r="J13" s="37">
        <v>0</v>
      </c>
      <c r="K13" s="9">
        <v>0</v>
      </c>
      <c r="L13" s="9">
        <v>25</v>
      </c>
      <c r="M13" s="9">
        <f t="shared" si="1"/>
        <v>25</v>
      </c>
      <c r="N13" s="2"/>
    </row>
    <row r="14" spans="1:14" ht="19.5" customHeight="1">
      <c r="A14" s="8">
        <v>44995</v>
      </c>
      <c r="B14" s="56"/>
      <c r="C14" s="56"/>
      <c r="D14" s="23">
        <v>213.8</v>
      </c>
      <c r="E14" s="29">
        <v>949</v>
      </c>
      <c r="F14" s="9">
        <v>211.28</v>
      </c>
      <c r="G14" s="9">
        <v>685.46400000000006</v>
      </c>
      <c r="H14" s="9">
        <v>1</v>
      </c>
      <c r="I14" s="37">
        <v>0</v>
      </c>
      <c r="J14" s="37">
        <v>0</v>
      </c>
      <c r="K14" s="9">
        <v>0</v>
      </c>
      <c r="L14" s="9">
        <v>25</v>
      </c>
      <c r="M14" s="9">
        <f t="shared" si="1"/>
        <v>25</v>
      </c>
      <c r="N14" s="2"/>
    </row>
    <row r="15" spans="1:14" ht="19.5" customHeight="1">
      <c r="A15" s="8">
        <v>44996</v>
      </c>
      <c r="B15" s="56"/>
      <c r="C15" s="56"/>
      <c r="D15" s="23">
        <v>213.8</v>
      </c>
      <c r="E15" s="29">
        <v>949</v>
      </c>
      <c r="F15" s="9">
        <v>211.26</v>
      </c>
      <c r="G15" s="9">
        <v>683.34500000000003</v>
      </c>
      <c r="H15" s="9">
        <v>1</v>
      </c>
      <c r="I15" s="37">
        <v>0</v>
      </c>
      <c r="J15" s="37">
        <v>0</v>
      </c>
      <c r="K15" s="9">
        <v>0</v>
      </c>
      <c r="L15" s="9">
        <v>25</v>
      </c>
      <c r="M15" s="9">
        <f t="shared" si="1"/>
        <v>25</v>
      </c>
      <c r="N15" s="2"/>
    </row>
    <row r="16" spans="1:14" ht="19.5" customHeight="1">
      <c r="A16" s="8">
        <v>44997</v>
      </c>
      <c r="B16" s="56"/>
      <c r="C16" s="56"/>
      <c r="D16" s="23">
        <v>213.8</v>
      </c>
      <c r="E16" s="29">
        <v>949</v>
      </c>
      <c r="F16" s="9">
        <v>211.24</v>
      </c>
      <c r="G16" s="9">
        <v>681.226</v>
      </c>
      <c r="H16" s="9">
        <v>1</v>
      </c>
      <c r="I16" s="37">
        <v>0</v>
      </c>
      <c r="J16" s="37">
        <v>0</v>
      </c>
      <c r="K16" s="9">
        <v>0</v>
      </c>
      <c r="L16" s="9">
        <v>25</v>
      </c>
      <c r="M16" s="9">
        <f t="shared" si="1"/>
        <v>25</v>
      </c>
      <c r="N16" s="2"/>
    </row>
    <row r="17" spans="1:15" ht="19.5" customHeight="1">
      <c r="A17" s="8">
        <v>44998</v>
      </c>
      <c r="B17" s="56"/>
      <c r="C17" s="56"/>
      <c r="D17" s="23">
        <v>213.8</v>
      </c>
      <c r="E17" s="29">
        <v>949</v>
      </c>
      <c r="F17" s="9">
        <v>211.22</v>
      </c>
      <c r="G17" s="9">
        <v>679.10699999999997</v>
      </c>
      <c r="H17" s="9">
        <v>1</v>
      </c>
      <c r="I17" s="37">
        <v>0</v>
      </c>
      <c r="J17" s="37">
        <v>0</v>
      </c>
      <c r="K17" s="9">
        <v>0</v>
      </c>
      <c r="L17" s="9">
        <v>25</v>
      </c>
      <c r="M17" s="9">
        <f t="shared" si="1"/>
        <v>25</v>
      </c>
      <c r="N17" s="2"/>
    </row>
    <row r="18" spans="1:15" ht="19.5" customHeight="1">
      <c r="A18" s="8">
        <v>44999</v>
      </c>
      <c r="B18" s="56"/>
      <c r="C18" s="56"/>
      <c r="D18" s="23">
        <v>213.8</v>
      </c>
      <c r="E18" s="29">
        <v>949</v>
      </c>
      <c r="F18" s="9">
        <v>211.2</v>
      </c>
      <c r="G18" s="9">
        <v>676.98800000000006</v>
      </c>
      <c r="H18" s="9">
        <v>1</v>
      </c>
      <c r="I18" s="37">
        <v>0</v>
      </c>
      <c r="J18" s="37">
        <v>0</v>
      </c>
      <c r="K18" s="9">
        <v>0</v>
      </c>
      <c r="L18" s="9">
        <v>25</v>
      </c>
      <c r="M18" s="9">
        <f t="shared" si="1"/>
        <v>25</v>
      </c>
      <c r="N18" s="2"/>
    </row>
    <row r="19" spans="1:15" ht="19.5" customHeight="1">
      <c r="A19" s="8">
        <v>45000</v>
      </c>
      <c r="B19" s="56"/>
      <c r="C19" s="56"/>
      <c r="D19" s="23">
        <v>213.8</v>
      </c>
      <c r="E19" s="29">
        <v>949</v>
      </c>
      <c r="F19" s="9">
        <v>211.18</v>
      </c>
      <c r="G19" s="9">
        <v>674.86900000000003</v>
      </c>
      <c r="H19" s="9">
        <v>1</v>
      </c>
      <c r="I19" s="37">
        <v>0</v>
      </c>
      <c r="J19" s="37">
        <v>0</v>
      </c>
      <c r="K19" s="9">
        <v>0</v>
      </c>
      <c r="L19" s="9">
        <v>25</v>
      </c>
      <c r="M19" s="9">
        <f t="shared" si="1"/>
        <v>25</v>
      </c>
      <c r="N19" s="2"/>
    </row>
    <row r="20" spans="1:15" ht="19.5" customHeight="1">
      <c r="A20" s="8">
        <v>45001</v>
      </c>
      <c r="B20" s="56"/>
      <c r="C20" s="56"/>
      <c r="D20" s="23">
        <v>213.8</v>
      </c>
      <c r="E20" s="29">
        <v>949</v>
      </c>
      <c r="F20" s="9">
        <v>211.16</v>
      </c>
      <c r="G20" s="9">
        <v>672.75</v>
      </c>
      <c r="H20" s="9">
        <v>1</v>
      </c>
      <c r="I20" s="37">
        <v>0</v>
      </c>
      <c r="J20" s="37">
        <v>0</v>
      </c>
      <c r="K20" s="9">
        <v>0</v>
      </c>
      <c r="L20" s="9">
        <v>25</v>
      </c>
      <c r="M20" s="9">
        <f t="shared" si="1"/>
        <v>25</v>
      </c>
      <c r="N20" s="2"/>
    </row>
    <row r="21" spans="1:15" ht="19.5" customHeight="1">
      <c r="A21" s="8">
        <v>45002</v>
      </c>
      <c r="B21" s="56"/>
      <c r="C21" s="56"/>
      <c r="D21" s="23">
        <v>213.8</v>
      </c>
      <c r="E21" s="29">
        <v>949</v>
      </c>
      <c r="F21" s="9">
        <v>211.14</v>
      </c>
      <c r="G21" s="9">
        <v>670.63199999999995</v>
      </c>
      <c r="H21" s="9">
        <v>1</v>
      </c>
      <c r="I21" s="37">
        <v>0</v>
      </c>
      <c r="J21" s="37">
        <v>0</v>
      </c>
      <c r="K21" s="9">
        <v>0</v>
      </c>
      <c r="L21" s="9">
        <v>25</v>
      </c>
      <c r="M21" s="9">
        <f t="shared" si="1"/>
        <v>25</v>
      </c>
      <c r="N21" s="2"/>
    </row>
    <row r="22" spans="1:15" ht="19.5" customHeight="1">
      <c r="A22" s="8">
        <v>45003</v>
      </c>
      <c r="B22" s="56"/>
      <c r="C22" s="56"/>
      <c r="D22" s="23">
        <v>213.8</v>
      </c>
      <c r="E22" s="29">
        <v>949</v>
      </c>
      <c r="F22" s="9">
        <v>211.12</v>
      </c>
      <c r="G22" s="9">
        <v>668.51199999999994</v>
      </c>
      <c r="H22" s="9">
        <v>1</v>
      </c>
      <c r="I22" s="37">
        <v>0</v>
      </c>
      <c r="J22" s="37">
        <v>0</v>
      </c>
      <c r="K22" s="9">
        <v>0</v>
      </c>
      <c r="L22" s="9">
        <v>25</v>
      </c>
      <c r="M22" s="9">
        <f t="shared" si="1"/>
        <v>25</v>
      </c>
      <c r="N22" s="2"/>
    </row>
    <row r="23" spans="1:15" ht="19.5" customHeight="1">
      <c r="A23" s="8">
        <v>45004</v>
      </c>
      <c r="B23" s="56"/>
      <c r="C23" s="56"/>
      <c r="D23" s="23">
        <v>213.8</v>
      </c>
      <c r="E23" s="29">
        <v>949</v>
      </c>
      <c r="F23" s="9">
        <v>211.11</v>
      </c>
      <c r="G23" s="9">
        <v>667.45299999999997</v>
      </c>
      <c r="H23" s="9">
        <v>12</v>
      </c>
      <c r="I23" s="37">
        <v>0</v>
      </c>
      <c r="J23" s="37">
        <v>0</v>
      </c>
      <c r="K23" s="9">
        <v>0</v>
      </c>
      <c r="L23" s="9">
        <v>25</v>
      </c>
      <c r="M23" s="9">
        <f t="shared" si="1"/>
        <v>25</v>
      </c>
      <c r="N23" s="2"/>
    </row>
    <row r="24" spans="1:15" ht="19.5" customHeight="1">
      <c r="A24" s="8">
        <v>45005</v>
      </c>
      <c r="B24" s="56"/>
      <c r="C24" s="56"/>
      <c r="D24" s="23">
        <v>213.8</v>
      </c>
      <c r="E24" s="29">
        <v>949</v>
      </c>
      <c r="F24" s="9">
        <v>211.1</v>
      </c>
      <c r="G24" s="9">
        <v>666.39400000000001</v>
      </c>
      <c r="H24" s="9">
        <v>12</v>
      </c>
      <c r="I24" s="37">
        <v>0</v>
      </c>
      <c r="J24" s="37">
        <v>0</v>
      </c>
      <c r="K24" s="9">
        <v>0</v>
      </c>
      <c r="L24" s="9">
        <v>25</v>
      </c>
      <c r="M24" s="9">
        <f t="shared" si="1"/>
        <v>25</v>
      </c>
      <c r="N24" s="2"/>
    </row>
    <row r="25" spans="1:15" ht="19.5" customHeight="1">
      <c r="A25" s="8">
        <v>45006</v>
      </c>
      <c r="B25" s="56"/>
      <c r="C25" s="56"/>
      <c r="D25" s="23">
        <v>213.8</v>
      </c>
      <c r="E25" s="29">
        <v>949</v>
      </c>
      <c r="F25" s="9">
        <v>211.08</v>
      </c>
      <c r="G25" s="9">
        <v>664.27499999999998</v>
      </c>
      <c r="H25" s="9">
        <v>1</v>
      </c>
      <c r="I25" s="37">
        <v>0</v>
      </c>
      <c r="J25" s="37">
        <v>0</v>
      </c>
      <c r="K25" s="9">
        <v>0</v>
      </c>
      <c r="L25" s="9">
        <v>25</v>
      </c>
      <c r="M25" s="9">
        <f t="shared" si="1"/>
        <v>25</v>
      </c>
      <c r="N25" s="2"/>
    </row>
    <row r="26" spans="1:15" ht="19.5" customHeight="1">
      <c r="A26" s="8">
        <v>45007</v>
      </c>
      <c r="B26" s="56"/>
      <c r="C26" s="56"/>
      <c r="D26" s="23">
        <v>213.8</v>
      </c>
      <c r="E26" s="29">
        <v>949</v>
      </c>
      <c r="F26" s="9">
        <v>211.03</v>
      </c>
      <c r="G26" s="9">
        <v>662.15599999999995</v>
      </c>
      <c r="H26" s="9">
        <v>1</v>
      </c>
      <c r="I26" s="37">
        <v>0</v>
      </c>
      <c r="J26" s="37">
        <v>0</v>
      </c>
      <c r="K26" s="9">
        <v>0</v>
      </c>
      <c r="L26" s="9">
        <v>25</v>
      </c>
      <c r="M26" s="9">
        <f t="shared" si="1"/>
        <v>25</v>
      </c>
      <c r="N26" s="2"/>
      <c r="O26" s="19"/>
    </row>
    <row r="27" spans="1:15" ht="19.5" customHeight="1">
      <c r="A27" s="8">
        <v>45008</v>
      </c>
      <c r="B27" s="56"/>
      <c r="C27" s="56"/>
      <c r="D27" s="23">
        <v>213.8</v>
      </c>
      <c r="E27" s="29">
        <v>949</v>
      </c>
      <c r="F27" s="9">
        <v>211.05</v>
      </c>
      <c r="G27" s="9">
        <v>661.096</v>
      </c>
      <c r="H27" s="9">
        <v>12</v>
      </c>
      <c r="I27" s="37">
        <v>0</v>
      </c>
      <c r="J27" s="37">
        <v>0</v>
      </c>
      <c r="K27" s="9">
        <v>0</v>
      </c>
      <c r="L27" s="9">
        <v>25</v>
      </c>
      <c r="M27" s="9">
        <f t="shared" si="1"/>
        <v>25</v>
      </c>
      <c r="N27" s="2"/>
    </row>
    <row r="28" spans="1:15" ht="19.5" customHeight="1">
      <c r="A28" s="8">
        <v>45009</v>
      </c>
      <c r="B28" s="56"/>
      <c r="C28" s="56"/>
      <c r="D28" s="23">
        <v>213.8</v>
      </c>
      <c r="E28" s="29">
        <v>949</v>
      </c>
      <c r="F28" s="9">
        <v>211.05</v>
      </c>
      <c r="G28" s="9">
        <v>661.096</v>
      </c>
      <c r="H28" s="9">
        <v>15</v>
      </c>
      <c r="I28" s="37">
        <v>0</v>
      </c>
      <c r="J28" s="37">
        <v>0</v>
      </c>
      <c r="K28" s="9">
        <v>0</v>
      </c>
      <c r="L28" s="9">
        <v>15</v>
      </c>
      <c r="M28" s="9">
        <f t="shared" si="1"/>
        <v>15</v>
      </c>
      <c r="N28" s="2"/>
    </row>
    <row r="29" spans="1:15" ht="19.5" customHeight="1">
      <c r="A29" s="8">
        <v>45010</v>
      </c>
      <c r="B29" s="56"/>
      <c r="C29" s="56"/>
      <c r="D29" s="23">
        <v>213.8</v>
      </c>
      <c r="E29" s="29">
        <v>949</v>
      </c>
      <c r="F29" s="9">
        <v>211.05</v>
      </c>
      <c r="G29" s="9">
        <v>661.096</v>
      </c>
      <c r="H29" s="9">
        <v>15</v>
      </c>
      <c r="I29" s="37">
        <v>0</v>
      </c>
      <c r="J29" s="37">
        <v>0</v>
      </c>
      <c r="K29" s="9">
        <v>0</v>
      </c>
      <c r="L29" s="9">
        <v>15</v>
      </c>
      <c r="M29" s="9">
        <f t="shared" si="1"/>
        <v>15</v>
      </c>
      <c r="N29" s="2"/>
    </row>
    <row r="30" spans="1:15" ht="19.5" customHeight="1">
      <c r="A30" s="8">
        <v>45011</v>
      </c>
      <c r="B30" s="56"/>
      <c r="C30" s="56"/>
      <c r="D30" s="23">
        <v>213.8</v>
      </c>
      <c r="E30" s="29">
        <v>949</v>
      </c>
      <c r="F30" s="9">
        <v>211.09</v>
      </c>
      <c r="G30" s="9">
        <v>665.33399999999995</v>
      </c>
      <c r="H30" s="9">
        <v>64</v>
      </c>
      <c r="I30" s="37">
        <v>0</v>
      </c>
      <c r="J30" s="37">
        <v>0</v>
      </c>
      <c r="K30" s="9">
        <v>0</v>
      </c>
      <c r="L30" s="9">
        <v>15</v>
      </c>
      <c r="M30" s="9">
        <f t="shared" si="1"/>
        <v>15</v>
      </c>
      <c r="N30" s="2"/>
    </row>
    <row r="31" spans="1:15" ht="21" customHeight="1">
      <c r="A31" s="8">
        <v>45012</v>
      </c>
      <c r="B31" s="56"/>
      <c r="C31" s="56"/>
      <c r="D31" s="23">
        <v>213.8</v>
      </c>
      <c r="E31" s="29">
        <v>949</v>
      </c>
      <c r="F31" s="9">
        <v>211.09</v>
      </c>
      <c r="G31" s="9">
        <v>665.33399999999995</v>
      </c>
      <c r="H31" s="9">
        <v>15</v>
      </c>
      <c r="I31" s="37">
        <v>0</v>
      </c>
      <c r="J31" s="37">
        <v>0</v>
      </c>
      <c r="K31" s="9">
        <v>0</v>
      </c>
      <c r="L31" s="9">
        <v>15</v>
      </c>
      <c r="M31" s="9">
        <f t="shared" si="1"/>
        <v>15</v>
      </c>
      <c r="N31" s="2"/>
    </row>
    <row r="32" spans="1:15" ht="21" customHeight="1">
      <c r="A32" s="8">
        <v>45013</v>
      </c>
      <c r="B32" s="56"/>
      <c r="C32" s="56"/>
      <c r="D32" s="23">
        <v>213.8</v>
      </c>
      <c r="E32" s="29">
        <v>949</v>
      </c>
      <c r="F32" s="9">
        <v>211.14</v>
      </c>
      <c r="G32" s="9">
        <v>670.63099999999997</v>
      </c>
      <c r="H32" s="9">
        <v>76</v>
      </c>
      <c r="I32" s="37">
        <v>0</v>
      </c>
      <c r="J32" s="37">
        <v>0</v>
      </c>
      <c r="K32" s="9">
        <v>0</v>
      </c>
      <c r="L32" s="9">
        <v>15</v>
      </c>
      <c r="M32" s="9">
        <f t="shared" si="1"/>
        <v>15</v>
      </c>
      <c r="N32" s="2"/>
    </row>
    <row r="33" spans="1:15" ht="21" customHeight="1">
      <c r="A33" s="8">
        <v>45014</v>
      </c>
      <c r="B33" s="56"/>
      <c r="C33" s="56"/>
      <c r="D33" s="23">
        <v>213.8</v>
      </c>
      <c r="E33" s="29">
        <v>949</v>
      </c>
      <c r="F33" s="9">
        <v>211.16</v>
      </c>
      <c r="G33" s="9">
        <v>672.75</v>
      </c>
      <c r="H33" s="9">
        <v>39</v>
      </c>
      <c r="I33" s="37">
        <v>0</v>
      </c>
      <c r="J33" s="37">
        <v>0</v>
      </c>
      <c r="K33" s="9">
        <v>0</v>
      </c>
      <c r="L33" s="9">
        <v>15</v>
      </c>
      <c r="M33" s="9">
        <f t="shared" si="1"/>
        <v>15</v>
      </c>
      <c r="N33" s="2"/>
    </row>
    <row r="34" spans="1:15" ht="21" customHeight="1">
      <c r="A34" s="8">
        <v>45015</v>
      </c>
      <c r="B34" s="56"/>
      <c r="C34" s="56"/>
      <c r="D34" s="23">
        <v>213.8</v>
      </c>
      <c r="E34" s="29">
        <v>949</v>
      </c>
      <c r="F34" s="9">
        <v>211.15</v>
      </c>
      <c r="G34" s="9">
        <v>671.69100000000003</v>
      </c>
      <c r="H34" s="9">
        <v>3</v>
      </c>
      <c r="I34" s="37">
        <v>0</v>
      </c>
      <c r="J34" s="37">
        <v>0</v>
      </c>
      <c r="K34" s="9">
        <v>0</v>
      </c>
      <c r="L34" s="9">
        <v>15</v>
      </c>
      <c r="M34" s="9">
        <f t="shared" si="1"/>
        <v>15</v>
      </c>
      <c r="N34" s="2"/>
    </row>
    <row r="35" spans="1:15" ht="21" customHeight="1">
      <c r="A35" s="8">
        <v>45016</v>
      </c>
      <c r="B35" s="57"/>
      <c r="C35" s="57"/>
      <c r="D35" s="24">
        <v>213.8</v>
      </c>
      <c r="E35" s="29">
        <v>949</v>
      </c>
      <c r="F35" s="9">
        <v>211.16</v>
      </c>
      <c r="G35" s="9">
        <v>672.57500000000005</v>
      </c>
      <c r="H35" s="9">
        <v>27</v>
      </c>
      <c r="I35" s="37">
        <v>0</v>
      </c>
      <c r="J35" s="37">
        <v>0</v>
      </c>
      <c r="K35" s="9">
        <v>0</v>
      </c>
      <c r="L35" s="9">
        <v>15</v>
      </c>
      <c r="M35" s="9">
        <f t="shared" si="1"/>
        <v>15</v>
      </c>
      <c r="N35" s="2"/>
    </row>
    <row r="36" spans="1:15" ht="21" customHeight="1">
      <c r="A36" s="12"/>
      <c r="B36" s="13"/>
      <c r="C36" s="13"/>
      <c r="D36" s="14"/>
      <c r="E36" s="14"/>
      <c r="F36" s="15"/>
      <c r="G36" s="14"/>
      <c r="H36" s="16">
        <f>SUM(H5:H35)</f>
        <v>314</v>
      </c>
      <c r="I36" s="16">
        <f t="shared" ref="I36:M36" si="2">SUM(I5:I35)</f>
        <v>0</v>
      </c>
      <c r="J36" s="16">
        <f t="shared" si="2"/>
        <v>400</v>
      </c>
      <c r="K36" s="16">
        <f t="shared" si="2"/>
        <v>0</v>
      </c>
      <c r="L36" s="16">
        <f t="shared" si="2"/>
        <v>595</v>
      </c>
      <c r="M36" s="16">
        <f t="shared" si="2"/>
        <v>995</v>
      </c>
      <c r="N36" s="18"/>
      <c r="O36" s="20"/>
    </row>
    <row r="37" spans="1:15" ht="47.25" customHeight="1">
      <c r="A37" s="3"/>
      <c r="B37" s="4"/>
      <c r="C37" s="5"/>
      <c r="D37" s="5"/>
      <c r="E37" s="5"/>
      <c r="F37" s="5"/>
      <c r="G37" s="5"/>
      <c r="H37" s="5">
        <f>H36/11574</f>
        <v>2.7129773630551236E-2</v>
      </c>
      <c r="I37" s="5"/>
      <c r="J37" s="5">
        <f>J36/11574</f>
        <v>3.4560221185415588E-2</v>
      </c>
      <c r="K37" s="5">
        <f>K36/11574</f>
        <v>0</v>
      </c>
      <c r="L37" s="27"/>
      <c r="M37" s="27"/>
      <c r="N37" s="7"/>
    </row>
    <row r="38" spans="1:15" ht="15.75" customHeight="1">
      <c r="A38" s="58" t="s">
        <v>9</v>
      </c>
      <c r="B38" s="53"/>
      <c r="C38" s="53"/>
      <c r="D38" s="53"/>
      <c r="J38" s="58" t="s">
        <v>10</v>
      </c>
      <c r="K38" s="53"/>
      <c r="L38" s="53"/>
      <c r="M38" s="53"/>
      <c r="N38" s="7"/>
    </row>
    <row r="39" spans="1:15" ht="15.75" customHeight="1">
      <c r="A39" s="59" t="s">
        <v>16</v>
      </c>
      <c r="B39" s="53"/>
      <c r="C39" s="53"/>
      <c r="D39" s="53"/>
      <c r="J39" s="59" t="s">
        <v>16</v>
      </c>
      <c r="K39" s="53"/>
      <c r="L39" s="53"/>
      <c r="M39" s="53"/>
      <c r="N39" s="7"/>
    </row>
    <row r="40" spans="1:15" ht="15.75" customHeight="1">
      <c r="A40" s="52" t="s">
        <v>17</v>
      </c>
      <c r="B40" s="53"/>
      <c r="C40" s="53"/>
      <c r="D40" s="53"/>
      <c r="J40" s="52" t="s">
        <v>17</v>
      </c>
      <c r="K40" s="53"/>
      <c r="L40" s="53"/>
      <c r="M40" s="53"/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  <row r="102" spans="14:14" ht="15.75" customHeight="1">
      <c r="N102" s="7"/>
    </row>
  </sheetData>
  <mergeCells count="20">
    <mergeCell ref="A40:D40"/>
    <mergeCell ref="J40:M40"/>
    <mergeCell ref="N3:N4"/>
    <mergeCell ref="B5:B35"/>
    <mergeCell ref="C5:C35"/>
    <mergeCell ref="A38:D38"/>
    <mergeCell ref="J38:M38"/>
    <mergeCell ref="A39:D39"/>
    <mergeCell ref="J39:M39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01"/>
  <sheetViews>
    <sheetView topLeftCell="A16" workbookViewId="0">
      <selection activeCell="H35" sqref="H35:M35"/>
    </sheetView>
  </sheetViews>
  <sheetFormatPr defaultColWidth="14.42578125" defaultRowHeight="15" customHeight="1"/>
  <cols>
    <col min="1" max="1" width="12.42578125" style="26" customWidth="1"/>
    <col min="2" max="2" width="6.28515625" style="26" customWidth="1"/>
    <col min="3" max="3" width="5.140625" style="26" customWidth="1"/>
    <col min="4" max="4" width="10" style="26" customWidth="1"/>
    <col min="5" max="5" width="10" style="28" customWidth="1"/>
    <col min="6" max="7" width="8.7109375" style="26" customWidth="1"/>
    <col min="8" max="8" width="9.85546875" style="26" customWidth="1"/>
    <col min="9" max="9" width="8.7109375" style="26" customWidth="1"/>
    <col min="10" max="10" width="8.42578125" style="26" customWidth="1"/>
    <col min="11" max="11" width="8.7109375" style="26" customWidth="1"/>
    <col min="12" max="12" width="6.42578125" style="26" customWidth="1"/>
    <col min="13" max="13" width="8.5703125" style="26" customWidth="1"/>
    <col min="14" max="14" width="8.85546875" style="26" customWidth="1"/>
    <col min="15" max="16384" width="14.42578125" style="26"/>
  </cols>
  <sheetData>
    <row r="1" spans="1:14" ht="14.25" customHeight="1">
      <c r="A1" s="39" t="s">
        <v>24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1"/>
    </row>
    <row r="2" spans="1:14" ht="15.75" customHeight="1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4"/>
    </row>
    <row r="3" spans="1:14" ht="14.25" customHeight="1">
      <c r="A3" s="45" t="s">
        <v>0</v>
      </c>
      <c r="B3" s="47" t="s">
        <v>1</v>
      </c>
      <c r="C3" s="47" t="s">
        <v>2</v>
      </c>
      <c r="D3" s="45" t="s">
        <v>3</v>
      </c>
      <c r="E3" s="45" t="s">
        <v>20</v>
      </c>
      <c r="F3" s="45" t="s">
        <v>4</v>
      </c>
      <c r="G3" s="45" t="s">
        <v>19</v>
      </c>
      <c r="H3" s="45" t="s">
        <v>5</v>
      </c>
      <c r="I3" s="48" t="s">
        <v>6</v>
      </c>
      <c r="J3" s="49"/>
      <c r="K3" s="49"/>
      <c r="L3" s="49"/>
      <c r="M3" s="50" t="s">
        <v>7</v>
      </c>
      <c r="N3" s="54" t="s">
        <v>8</v>
      </c>
    </row>
    <row r="4" spans="1:14" ht="51.75" customHeight="1">
      <c r="A4" s="46"/>
      <c r="B4" s="46"/>
      <c r="C4" s="46"/>
      <c r="D4" s="46"/>
      <c r="E4" s="51"/>
      <c r="F4" s="46"/>
      <c r="G4" s="46"/>
      <c r="H4" s="46"/>
      <c r="I4" s="10" t="s">
        <v>15</v>
      </c>
      <c r="J4" s="10" t="s">
        <v>13</v>
      </c>
      <c r="K4" s="21" t="s">
        <v>18</v>
      </c>
      <c r="L4" s="10" t="s">
        <v>14</v>
      </c>
      <c r="M4" s="46"/>
      <c r="N4" s="46"/>
    </row>
    <row r="5" spans="1:14" ht="19.5" customHeight="1">
      <c r="A5" s="8">
        <v>45017</v>
      </c>
      <c r="B5" s="55" t="s">
        <v>11</v>
      </c>
      <c r="C5" s="55" t="s">
        <v>12</v>
      </c>
      <c r="D5" s="23">
        <v>213.8</v>
      </c>
      <c r="E5" s="29">
        <v>949</v>
      </c>
      <c r="F5" s="9">
        <v>211.17</v>
      </c>
      <c r="G5" s="9">
        <v>673.81</v>
      </c>
      <c r="H5" s="9">
        <v>27</v>
      </c>
      <c r="I5" s="37">
        <v>0</v>
      </c>
      <c r="J5" s="37">
        <v>0</v>
      </c>
      <c r="K5" s="9">
        <v>0</v>
      </c>
      <c r="L5" s="9">
        <v>15</v>
      </c>
      <c r="M5" s="9">
        <f>I5+J5+K5+L5</f>
        <v>15</v>
      </c>
      <c r="N5" s="2"/>
    </row>
    <row r="6" spans="1:14" ht="19.5" customHeight="1">
      <c r="A6" s="8">
        <v>45018</v>
      </c>
      <c r="B6" s="56"/>
      <c r="C6" s="56"/>
      <c r="D6" s="23">
        <v>213.8</v>
      </c>
      <c r="E6" s="29">
        <v>949</v>
      </c>
      <c r="F6" s="9">
        <v>211.21</v>
      </c>
      <c r="G6" s="9">
        <v>678.048</v>
      </c>
      <c r="H6" s="9">
        <v>64</v>
      </c>
      <c r="I6" s="37">
        <v>0</v>
      </c>
      <c r="J6" s="37">
        <v>0</v>
      </c>
      <c r="K6" s="9">
        <v>0</v>
      </c>
      <c r="L6" s="9">
        <v>15</v>
      </c>
      <c r="M6" s="9">
        <f t="shared" ref="M6:M34" si="0">I6+J6+K6+L6</f>
        <v>15</v>
      </c>
      <c r="N6" s="2"/>
    </row>
    <row r="7" spans="1:14" ht="19.5" customHeight="1">
      <c r="A7" s="8">
        <v>45019</v>
      </c>
      <c r="B7" s="56"/>
      <c r="C7" s="56"/>
      <c r="D7" s="23">
        <v>213.8</v>
      </c>
      <c r="E7" s="29">
        <v>949</v>
      </c>
      <c r="F7" s="9">
        <v>211.26</v>
      </c>
      <c r="G7" s="9">
        <v>683.34500000000003</v>
      </c>
      <c r="H7" s="9">
        <v>76</v>
      </c>
      <c r="I7" s="37">
        <v>0</v>
      </c>
      <c r="J7" s="37">
        <v>0</v>
      </c>
      <c r="K7" s="9">
        <v>0</v>
      </c>
      <c r="L7" s="9">
        <v>15</v>
      </c>
      <c r="M7" s="9">
        <f t="shared" si="0"/>
        <v>15</v>
      </c>
      <c r="N7" s="2"/>
    </row>
    <row r="8" spans="1:14" ht="19.5" customHeight="1">
      <c r="A8" s="8">
        <v>45020</v>
      </c>
      <c r="B8" s="56"/>
      <c r="C8" s="56"/>
      <c r="D8" s="23">
        <v>213.8</v>
      </c>
      <c r="E8" s="29">
        <v>949</v>
      </c>
      <c r="F8" s="9">
        <v>211.26</v>
      </c>
      <c r="G8" s="9">
        <v>683.34500000000003</v>
      </c>
      <c r="H8" s="9">
        <v>15</v>
      </c>
      <c r="I8" s="37">
        <v>0</v>
      </c>
      <c r="J8" s="37">
        <v>0</v>
      </c>
      <c r="K8" s="9">
        <v>0</v>
      </c>
      <c r="L8" s="9">
        <v>15</v>
      </c>
      <c r="M8" s="9">
        <f t="shared" si="0"/>
        <v>15</v>
      </c>
      <c r="N8" s="2"/>
    </row>
    <row r="9" spans="1:14" ht="19.5" customHeight="1">
      <c r="A9" s="8">
        <v>45021</v>
      </c>
      <c r="B9" s="56"/>
      <c r="C9" s="56"/>
      <c r="D9" s="23">
        <v>213.8</v>
      </c>
      <c r="E9" s="29">
        <v>949</v>
      </c>
      <c r="F9" s="9">
        <v>211.26</v>
      </c>
      <c r="G9" s="9">
        <v>683.34500000000003</v>
      </c>
      <c r="H9" s="9">
        <v>15</v>
      </c>
      <c r="I9" s="37">
        <v>0</v>
      </c>
      <c r="J9" s="37">
        <v>0</v>
      </c>
      <c r="K9" s="9">
        <v>0</v>
      </c>
      <c r="L9" s="9">
        <v>15</v>
      </c>
      <c r="M9" s="9">
        <f t="shared" si="0"/>
        <v>15</v>
      </c>
      <c r="N9" s="2"/>
    </row>
    <row r="10" spans="1:14" ht="19.5" customHeight="1">
      <c r="A10" s="8">
        <v>45022</v>
      </c>
      <c r="B10" s="56"/>
      <c r="C10" s="56"/>
      <c r="D10" s="23">
        <v>213.8</v>
      </c>
      <c r="E10" s="29">
        <v>949</v>
      </c>
      <c r="F10" s="9">
        <v>211.26</v>
      </c>
      <c r="G10" s="9">
        <v>683.34500000000003</v>
      </c>
      <c r="H10" s="9">
        <v>15</v>
      </c>
      <c r="I10" s="37">
        <v>0</v>
      </c>
      <c r="J10" s="37">
        <v>0</v>
      </c>
      <c r="K10" s="9">
        <v>0</v>
      </c>
      <c r="L10" s="9">
        <v>15</v>
      </c>
      <c r="M10" s="9">
        <f t="shared" si="0"/>
        <v>15</v>
      </c>
      <c r="N10" s="2"/>
    </row>
    <row r="11" spans="1:14" ht="19.5" customHeight="1">
      <c r="A11" s="8">
        <v>45023</v>
      </c>
      <c r="B11" s="56"/>
      <c r="C11" s="56"/>
      <c r="D11" s="23">
        <v>213.8</v>
      </c>
      <c r="E11" s="29">
        <v>949</v>
      </c>
      <c r="F11" s="9">
        <v>211.26</v>
      </c>
      <c r="G11" s="9">
        <v>683.34500000000003</v>
      </c>
      <c r="H11" s="9">
        <v>15</v>
      </c>
      <c r="I11" s="37">
        <v>0</v>
      </c>
      <c r="J11" s="37">
        <v>0</v>
      </c>
      <c r="K11" s="9">
        <v>0</v>
      </c>
      <c r="L11" s="9">
        <v>15</v>
      </c>
      <c r="M11" s="9">
        <f t="shared" si="0"/>
        <v>15</v>
      </c>
      <c r="N11" s="2"/>
    </row>
    <row r="12" spans="1:14" ht="19.5" customHeight="1">
      <c r="A12" s="8">
        <v>45024</v>
      </c>
      <c r="B12" s="56"/>
      <c r="C12" s="56"/>
      <c r="D12" s="23">
        <v>213.8</v>
      </c>
      <c r="E12" s="29">
        <v>949</v>
      </c>
      <c r="F12" s="9">
        <v>211.26</v>
      </c>
      <c r="G12" s="9">
        <v>683.34500000000003</v>
      </c>
      <c r="H12" s="9">
        <v>15</v>
      </c>
      <c r="I12" s="37">
        <v>0</v>
      </c>
      <c r="J12" s="37">
        <v>0</v>
      </c>
      <c r="K12" s="9">
        <v>0</v>
      </c>
      <c r="L12" s="9">
        <v>15</v>
      </c>
      <c r="M12" s="9">
        <f t="shared" si="0"/>
        <v>15</v>
      </c>
      <c r="N12" s="2"/>
    </row>
    <row r="13" spans="1:14" ht="19.5" customHeight="1">
      <c r="A13" s="8">
        <v>45025</v>
      </c>
      <c r="B13" s="56"/>
      <c r="C13" s="56"/>
      <c r="D13" s="23">
        <v>213.8</v>
      </c>
      <c r="E13" s="29">
        <v>949</v>
      </c>
      <c r="F13" s="9">
        <v>211.26</v>
      </c>
      <c r="G13" s="9">
        <v>683.34500000000003</v>
      </c>
      <c r="H13" s="9">
        <v>15</v>
      </c>
      <c r="I13" s="37">
        <v>0</v>
      </c>
      <c r="J13" s="37">
        <v>0</v>
      </c>
      <c r="K13" s="9">
        <v>0</v>
      </c>
      <c r="L13" s="9">
        <v>15</v>
      </c>
      <c r="M13" s="9">
        <f t="shared" si="0"/>
        <v>15</v>
      </c>
      <c r="N13" s="2"/>
    </row>
    <row r="14" spans="1:14" ht="19.5" customHeight="1">
      <c r="A14" s="8">
        <v>45026</v>
      </c>
      <c r="B14" s="56"/>
      <c r="C14" s="56"/>
      <c r="D14" s="23">
        <v>213.8</v>
      </c>
      <c r="E14" s="29">
        <v>949</v>
      </c>
      <c r="F14" s="9">
        <v>211.26</v>
      </c>
      <c r="G14" s="9">
        <v>683.34500000000003</v>
      </c>
      <c r="H14" s="9">
        <v>15</v>
      </c>
      <c r="I14" s="37">
        <v>0</v>
      </c>
      <c r="J14" s="37">
        <v>0</v>
      </c>
      <c r="K14" s="9">
        <v>0</v>
      </c>
      <c r="L14" s="9">
        <v>15</v>
      </c>
      <c r="M14" s="9">
        <f t="shared" si="0"/>
        <v>15</v>
      </c>
      <c r="N14" s="2"/>
    </row>
    <row r="15" spans="1:14" ht="19.5" customHeight="1">
      <c r="A15" s="8">
        <v>45027</v>
      </c>
      <c r="B15" s="56"/>
      <c r="C15" s="56"/>
      <c r="D15" s="23">
        <v>213.8</v>
      </c>
      <c r="E15" s="29">
        <v>949</v>
      </c>
      <c r="F15" s="9">
        <v>211.26</v>
      </c>
      <c r="G15" s="9">
        <v>683.34500000000003</v>
      </c>
      <c r="H15" s="9">
        <v>15</v>
      </c>
      <c r="I15" s="37">
        <v>0</v>
      </c>
      <c r="J15" s="37">
        <v>0</v>
      </c>
      <c r="K15" s="9">
        <v>0</v>
      </c>
      <c r="L15" s="9">
        <v>15</v>
      </c>
      <c r="M15" s="9">
        <f t="shared" si="0"/>
        <v>15</v>
      </c>
      <c r="N15" s="2"/>
    </row>
    <row r="16" spans="1:14" ht="19.5" customHeight="1">
      <c r="A16" s="8">
        <v>45028</v>
      </c>
      <c r="B16" s="56"/>
      <c r="C16" s="56"/>
      <c r="D16" s="23">
        <v>213.8</v>
      </c>
      <c r="E16" s="29">
        <v>949</v>
      </c>
      <c r="F16" s="9">
        <v>211.26</v>
      </c>
      <c r="G16" s="9">
        <v>683.34500000000003</v>
      </c>
      <c r="H16" s="9">
        <v>15</v>
      </c>
      <c r="I16" s="37">
        <v>0</v>
      </c>
      <c r="J16" s="37">
        <v>0</v>
      </c>
      <c r="K16" s="9">
        <v>0</v>
      </c>
      <c r="L16" s="9">
        <v>15</v>
      </c>
      <c r="M16" s="9">
        <f t="shared" si="0"/>
        <v>15</v>
      </c>
      <c r="N16" s="2"/>
    </row>
    <row r="17" spans="1:15" ht="19.5" customHeight="1">
      <c r="A17" s="8">
        <v>45029</v>
      </c>
      <c r="B17" s="56"/>
      <c r="C17" s="56"/>
      <c r="D17" s="23">
        <v>213.8</v>
      </c>
      <c r="E17" s="29">
        <v>949</v>
      </c>
      <c r="F17" s="9">
        <v>211.26</v>
      </c>
      <c r="G17" s="9">
        <v>683.34500000000003</v>
      </c>
      <c r="H17" s="9">
        <v>15</v>
      </c>
      <c r="I17" s="37">
        <v>0</v>
      </c>
      <c r="J17" s="37">
        <v>0</v>
      </c>
      <c r="K17" s="9">
        <v>0</v>
      </c>
      <c r="L17" s="9">
        <v>15</v>
      </c>
      <c r="M17" s="9">
        <f t="shared" si="0"/>
        <v>15</v>
      </c>
      <c r="N17" s="2"/>
    </row>
    <row r="18" spans="1:15" ht="19.5" customHeight="1">
      <c r="A18" s="8">
        <v>45030</v>
      </c>
      <c r="B18" s="56"/>
      <c r="C18" s="56"/>
      <c r="D18" s="23">
        <v>213.8</v>
      </c>
      <c r="E18" s="29">
        <v>949</v>
      </c>
      <c r="F18" s="9">
        <v>211.28</v>
      </c>
      <c r="G18" s="9">
        <v>683.34500000000003</v>
      </c>
      <c r="H18" s="9">
        <v>39</v>
      </c>
      <c r="I18" s="37">
        <v>0</v>
      </c>
      <c r="J18" s="37">
        <v>0</v>
      </c>
      <c r="K18" s="9">
        <v>0</v>
      </c>
      <c r="L18" s="9">
        <v>15</v>
      </c>
      <c r="M18" s="9">
        <f t="shared" si="0"/>
        <v>15</v>
      </c>
      <c r="N18" s="2"/>
    </row>
    <row r="19" spans="1:15" ht="19.5" customHeight="1">
      <c r="A19" s="8">
        <v>45031</v>
      </c>
      <c r="B19" s="56"/>
      <c r="C19" s="56"/>
      <c r="D19" s="23">
        <v>213.8</v>
      </c>
      <c r="E19" s="29">
        <v>949</v>
      </c>
      <c r="F19" s="9">
        <v>211.28</v>
      </c>
      <c r="G19" s="9">
        <v>685.46400000000006</v>
      </c>
      <c r="H19" s="9">
        <v>15</v>
      </c>
      <c r="I19" s="37">
        <v>0</v>
      </c>
      <c r="J19" s="37">
        <v>0</v>
      </c>
      <c r="K19" s="9">
        <v>0</v>
      </c>
      <c r="L19" s="9">
        <v>15</v>
      </c>
      <c r="M19" s="9">
        <f t="shared" si="0"/>
        <v>15</v>
      </c>
      <c r="N19" s="2"/>
    </row>
    <row r="20" spans="1:15" ht="19.5" customHeight="1">
      <c r="A20" s="8">
        <v>45032</v>
      </c>
      <c r="B20" s="56"/>
      <c r="C20" s="56"/>
      <c r="D20" s="23">
        <v>213.8</v>
      </c>
      <c r="E20" s="29">
        <v>949</v>
      </c>
      <c r="F20" s="9">
        <v>211.3</v>
      </c>
      <c r="G20" s="9">
        <v>687.58299999999997</v>
      </c>
      <c r="H20" s="9">
        <v>39</v>
      </c>
      <c r="I20" s="37">
        <v>0</v>
      </c>
      <c r="J20" s="37">
        <v>0</v>
      </c>
      <c r="K20" s="9">
        <v>0</v>
      </c>
      <c r="L20" s="9">
        <v>15</v>
      </c>
      <c r="M20" s="9">
        <f t="shared" si="0"/>
        <v>15</v>
      </c>
      <c r="N20" s="2"/>
    </row>
    <row r="21" spans="1:15" ht="19.5" customHeight="1">
      <c r="A21" s="8">
        <v>45033</v>
      </c>
      <c r="B21" s="56"/>
      <c r="C21" s="56"/>
      <c r="D21" s="23">
        <v>213.8</v>
      </c>
      <c r="E21" s="29">
        <v>949</v>
      </c>
      <c r="F21" s="9">
        <v>211.3</v>
      </c>
      <c r="G21" s="9">
        <v>687.58299999999997</v>
      </c>
      <c r="H21" s="9">
        <v>15</v>
      </c>
      <c r="I21" s="37">
        <v>0</v>
      </c>
      <c r="J21" s="37">
        <v>0</v>
      </c>
      <c r="K21" s="9">
        <v>0</v>
      </c>
      <c r="L21" s="9">
        <v>15</v>
      </c>
      <c r="M21" s="9">
        <f t="shared" si="0"/>
        <v>15</v>
      </c>
      <c r="N21" s="2"/>
    </row>
    <row r="22" spans="1:15" ht="19.5" customHeight="1">
      <c r="A22" s="8">
        <v>45034</v>
      </c>
      <c r="B22" s="56"/>
      <c r="C22" s="56"/>
      <c r="D22" s="23">
        <v>213.8</v>
      </c>
      <c r="E22" s="29">
        <v>949</v>
      </c>
      <c r="F22" s="9">
        <v>211.3</v>
      </c>
      <c r="G22" s="9">
        <v>687.58299999999997</v>
      </c>
      <c r="H22" s="9">
        <v>15</v>
      </c>
      <c r="I22" s="37">
        <v>0</v>
      </c>
      <c r="J22" s="37">
        <v>0</v>
      </c>
      <c r="K22" s="9">
        <v>0</v>
      </c>
      <c r="L22" s="9">
        <v>15</v>
      </c>
      <c r="M22" s="9">
        <f t="shared" si="0"/>
        <v>15</v>
      </c>
      <c r="N22" s="2"/>
    </row>
    <row r="23" spans="1:15" ht="19.5" customHeight="1">
      <c r="A23" s="8">
        <v>45035</v>
      </c>
      <c r="B23" s="56"/>
      <c r="C23" s="56"/>
      <c r="D23" s="23">
        <v>213.8</v>
      </c>
      <c r="E23" s="29">
        <v>949</v>
      </c>
      <c r="F23" s="9">
        <v>211.3</v>
      </c>
      <c r="G23" s="9">
        <v>687.58299999999997</v>
      </c>
      <c r="H23" s="9">
        <v>15</v>
      </c>
      <c r="I23" s="37">
        <v>0</v>
      </c>
      <c r="J23" s="37">
        <v>0</v>
      </c>
      <c r="K23" s="9">
        <v>0</v>
      </c>
      <c r="L23" s="9">
        <v>15</v>
      </c>
      <c r="M23" s="9">
        <f t="shared" si="0"/>
        <v>15</v>
      </c>
      <c r="N23" s="2"/>
    </row>
    <row r="24" spans="1:15" ht="19.5" customHeight="1">
      <c r="A24" s="8">
        <v>45036</v>
      </c>
      <c r="B24" s="56"/>
      <c r="C24" s="56"/>
      <c r="D24" s="23">
        <v>213.8</v>
      </c>
      <c r="E24" s="29">
        <v>949</v>
      </c>
      <c r="F24" s="9">
        <v>211.3</v>
      </c>
      <c r="G24" s="9">
        <v>687.58299999999997</v>
      </c>
      <c r="H24" s="9">
        <v>15</v>
      </c>
      <c r="I24" s="37">
        <v>0</v>
      </c>
      <c r="J24" s="37">
        <v>0</v>
      </c>
      <c r="K24" s="9">
        <v>0</v>
      </c>
      <c r="L24" s="9">
        <v>15</v>
      </c>
      <c r="M24" s="9">
        <f t="shared" si="0"/>
        <v>15</v>
      </c>
      <c r="N24" s="2"/>
    </row>
    <row r="25" spans="1:15" ht="19.5" customHeight="1">
      <c r="A25" s="8">
        <v>45037</v>
      </c>
      <c r="B25" s="56"/>
      <c r="C25" s="56"/>
      <c r="D25" s="23">
        <v>213.8</v>
      </c>
      <c r="E25" s="29">
        <v>949</v>
      </c>
      <c r="F25" s="9">
        <v>211.29</v>
      </c>
      <c r="G25" s="9">
        <v>686.52300000000002</v>
      </c>
      <c r="H25" s="9">
        <v>2</v>
      </c>
      <c r="I25" s="37">
        <v>0</v>
      </c>
      <c r="J25" s="37">
        <v>0</v>
      </c>
      <c r="K25" s="9">
        <v>0</v>
      </c>
      <c r="L25" s="9">
        <v>15</v>
      </c>
      <c r="M25" s="9">
        <f t="shared" si="0"/>
        <v>15</v>
      </c>
      <c r="N25" s="2"/>
    </row>
    <row r="26" spans="1:15" ht="19.5" customHeight="1">
      <c r="A26" s="8">
        <v>45038</v>
      </c>
      <c r="B26" s="56"/>
      <c r="C26" s="56"/>
      <c r="D26" s="23">
        <v>213.8</v>
      </c>
      <c r="E26" s="29">
        <v>949</v>
      </c>
      <c r="F26" s="9">
        <v>211.29</v>
      </c>
      <c r="G26" s="9">
        <v>686.52300000000002</v>
      </c>
      <c r="H26" s="9">
        <v>15</v>
      </c>
      <c r="I26" s="37">
        <v>0</v>
      </c>
      <c r="J26" s="37">
        <v>0</v>
      </c>
      <c r="K26" s="9">
        <v>0</v>
      </c>
      <c r="L26" s="9">
        <v>15</v>
      </c>
      <c r="M26" s="9">
        <f t="shared" si="0"/>
        <v>15</v>
      </c>
      <c r="N26" s="2"/>
      <c r="O26" s="19"/>
    </row>
    <row r="27" spans="1:15" ht="19.5" customHeight="1">
      <c r="A27" s="8">
        <v>45039</v>
      </c>
      <c r="B27" s="56"/>
      <c r="C27" s="56"/>
      <c r="D27" s="23">
        <v>213.8</v>
      </c>
      <c r="E27" s="29">
        <v>949</v>
      </c>
      <c r="F27" s="9">
        <v>211.3</v>
      </c>
      <c r="G27" s="9">
        <v>687.58299999999997</v>
      </c>
      <c r="H27" s="9">
        <v>27</v>
      </c>
      <c r="I27" s="37">
        <v>0</v>
      </c>
      <c r="J27" s="37">
        <v>0</v>
      </c>
      <c r="K27" s="9">
        <v>0</v>
      </c>
      <c r="L27" s="9">
        <v>15</v>
      </c>
      <c r="M27" s="9">
        <f t="shared" si="0"/>
        <v>15</v>
      </c>
      <c r="N27" s="2"/>
    </row>
    <row r="28" spans="1:15" ht="19.5" customHeight="1">
      <c r="A28" s="8">
        <v>45040</v>
      </c>
      <c r="B28" s="56"/>
      <c r="C28" s="56"/>
      <c r="D28" s="23">
        <v>213.8</v>
      </c>
      <c r="E28" s="29">
        <v>949</v>
      </c>
      <c r="F28" s="9">
        <v>211.3</v>
      </c>
      <c r="G28" s="9">
        <v>687.58299999999997</v>
      </c>
      <c r="H28" s="9">
        <v>15</v>
      </c>
      <c r="I28" s="37">
        <v>0</v>
      </c>
      <c r="J28" s="37">
        <v>0</v>
      </c>
      <c r="K28" s="9">
        <v>0</v>
      </c>
      <c r="L28" s="9">
        <v>15</v>
      </c>
      <c r="M28" s="9">
        <f t="shared" si="0"/>
        <v>15</v>
      </c>
      <c r="N28" s="2"/>
    </row>
    <row r="29" spans="1:15" ht="19.5" customHeight="1">
      <c r="A29" s="8">
        <v>45041</v>
      </c>
      <c r="B29" s="56"/>
      <c r="C29" s="56"/>
      <c r="D29" s="23">
        <v>213.8</v>
      </c>
      <c r="E29" s="29">
        <v>949</v>
      </c>
      <c r="F29" s="9">
        <v>211.35</v>
      </c>
      <c r="G29" s="9">
        <v>692.88</v>
      </c>
      <c r="H29" s="9">
        <v>76</v>
      </c>
      <c r="I29" s="37">
        <v>0</v>
      </c>
      <c r="J29" s="37">
        <v>0</v>
      </c>
      <c r="K29" s="9">
        <v>0</v>
      </c>
      <c r="L29" s="9">
        <v>15</v>
      </c>
      <c r="M29" s="9">
        <f t="shared" si="0"/>
        <v>15</v>
      </c>
      <c r="N29" s="2"/>
    </row>
    <row r="30" spans="1:15" ht="19.5" customHeight="1">
      <c r="A30" s="8">
        <v>45042</v>
      </c>
      <c r="B30" s="56"/>
      <c r="C30" s="56"/>
      <c r="D30" s="23">
        <v>213.8</v>
      </c>
      <c r="E30" s="29">
        <v>949</v>
      </c>
      <c r="F30" s="9">
        <v>211.35</v>
      </c>
      <c r="G30" s="9">
        <v>692.88</v>
      </c>
      <c r="H30" s="9">
        <v>15</v>
      </c>
      <c r="I30" s="37">
        <v>0</v>
      </c>
      <c r="J30" s="37">
        <v>0</v>
      </c>
      <c r="K30" s="9">
        <v>0</v>
      </c>
      <c r="L30" s="9">
        <v>15</v>
      </c>
      <c r="M30" s="9">
        <f t="shared" si="0"/>
        <v>15</v>
      </c>
      <c r="N30" s="2"/>
    </row>
    <row r="31" spans="1:15" ht="21" customHeight="1">
      <c r="A31" s="8">
        <v>45043</v>
      </c>
      <c r="B31" s="56"/>
      <c r="C31" s="56"/>
      <c r="D31" s="23">
        <v>213.8</v>
      </c>
      <c r="E31" s="29">
        <v>949</v>
      </c>
      <c r="F31" s="9">
        <v>211.35</v>
      </c>
      <c r="G31" s="9">
        <v>692.88</v>
      </c>
      <c r="H31" s="9">
        <v>15</v>
      </c>
      <c r="I31" s="37">
        <v>0</v>
      </c>
      <c r="J31" s="37">
        <v>0</v>
      </c>
      <c r="K31" s="9">
        <v>0</v>
      </c>
      <c r="L31" s="9">
        <v>15</v>
      </c>
      <c r="M31" s="9">
        <f t="shared" si="0"/>
        <v>15</v>
      </c>
      <c r="N31" s="2"/>
    </row>
    <row r="32" spans="1:15" ht="21" customHeight="1">
      <c r="A32" s="8">
        <v>45044</v>
      </c>
      <c r="B32" s="56"/>
      <c r="C32" s="56"/>
      <c r="D32" s="23">
        <v>213.8</v>
      </c>
      <c r="E32" s="29">
        <v>949</v>
      </c>
      <c r="F32" s="9">
        <v>211.37</v>
      </c>
      <c r="G32" s="9">
        <v>694.99199999999996</v>
      </c>
      <c r="H32" s="9">
        <v>39</v>
      </c>
      <c r="I32" s="37">
        <v>0</v>
      </c>
      <c r="J32" s="37">
        <v>0</v>
      </c>
      <c r="K32" s="9">
        <v>0</v>
      </c>
      <c r="L32" s="9">
        <v>15</v>
      </c>
      <c r="M32" s="9">
        <f t="shared" si="0"/>
        <v>15</v>
      </c>
      <c r="N32" s="2"/>
    </row>
    <row r="33" spans="1:15" ht="21" customHeight="1">
      <c r="A33" s="8">
        <v>45045</v>
      </c>
      <c r="B33" s="56"/>
      <c r="C33" s="56"/>
      <c r="D33" s="23">
        <v>213.8</v>
      </c>
      <c r="E33" s="29">
        <v>949</v>
      </c>
      <c r="F33" s="9">
        <v>211.37</v>
      </c>
      <c r="G33" s="9">
        <v>694.99199999999996</v>
      </c>
      <c r="H33" s="9">
        <v>15</v>
      </c>
      <c r="I33" s="37">
        <v>0</v>
      </c>
      <c r="J33" s="37">
        <v>0</v>
      </c>
      <c r="K33" s="9">
        <v>0</v>
      </c>
      <c r="L33" s="9">
        <v>15</v>
      </c>
      <c r="M33" s="9">
        <f t="shared" si="0"/>
        <v>15</v>
      </c>
      <c r="N33" s="2"/>
    </row>
    <row r="34" spans="1:15" ht="21" customHeight="1">
      <c r="A34" s="8">
        <v>45046</v>
      </c>
      <c r="B34" s="57"/>
      <c r="C34" s="57"/>
      <c r="D34" s="24">
        <v>213.8</v>
      </c>
      <c r="E34" s="29">
        <v>949</v>
      </c>
      <c r="F34" s="9">
        <v>211.37</v>
      </c>
      <c r="G34" s="9">
        <v>694.99199999999996</v>
      </c>
      <c r="H34" s="9">
        <v>15</v>
      </c>
      <c r="I34" s="37">
        <v>0</v>
      </c>
      <c r="J34" s="37">
        <v>0</v>
      </c>
      <c r="K34" s="9">
        <v>0</v>
      </c>
      <c r="L34" s="9">
        <v>15</v>
      </c>
      <c r="M34" s="9">
        <f t="shared" si="0"/>
        <v>15</v>
      </c>
      <c r="N34" s="2"/>
    </row>
    <row r="35" spans="1:15" ht="21" customHeight="1">
      <c r="A35" s="12"/>
      <c r="B35" s="13"/>
      <c r="C35" s="13"/>
      <c r="D35" s="14"/>
      <c r="E35" s="31"/>
      <c r="F35" s="15"/>
      <c r="G35" s="14"/>
      <c r="H35" s="16">
        <f>SUM(H5:H34)</f>
        <v>704</v>
      </c>
      <c r="I35" s="16">
        <f t="shared" ref="I35:M35" si="1">SUM(I5:I34)</f>
        <v>0</v>
      </c>
      <c r="J35" s="16">
        <f t="shared" si="1"/>
        <v>0</v>
      </c>
      <c r="K35" s="16">
        <f t="shared" si="1"/>
        <v>0</v>
      </c>
      <c r="L35" s="16">
        <f t="shared" si="1"/>
        <v>450</v>
      </c>
      <c r="M35" s="16">
        <f t="shared" si="1"/>
        <v>450</v>
      </c>
      <c r="N35" s="18"/>
      <c r="O35" s="20"/>
    </row>
    <row r="36" spans="1:15" ht="47.25" customHeight="1">
      <c r="A36" s="3"/>
      <c r="B36" s="4"/>
      <c r="C36" s="5"/>
      <c r="D36" s="5"/>
      <c r="E36" s="5"/>
      <c r="F36" s="5"/>
      <c r="G36" s="5"/>
      <c r="H36" s="5">
        <f>H35/11574</f>
        <v>6.0825989286331435E-2</v>
      </c>
      <c r="I36" s="5">
        <f t="shared" ref="I36:M36" si="2">I35/11574</f>
        <v>0</v>
      </c>
      <c r="J36" s="5">
        <f t="shared" si="2"/>
        <v>0</v>
      </c>
      <c r="K36" s="5">
        <f t="shared" si="2"/>
        <v>0</v>
      </c>
      <c r="L36" s="5">
        <f t="shared" si="2"/>
        <v>3.8880248833592534E-2</v>
      </c>
      <c r="M36" s="5">
        <f t="shared" si="2"/>
        <v>3.8880248833592534E-2</v>
      </c>
      <c r="N36" s="7"/>
    </row>
    <row r="37" spans="1:15" ht="15.75" customHeight="1">
      <c r="A37" s="58" t="s">
        <v>9</v>
      </c>
      <c r="B37" s="53"/>
      <c r="C37" s="53"/>
      <c r="D37" s="53"/>
      <c r="J37" s="58" t="s">
        <v>10</v>
      </c>
      <c r="K37" s="53"/>
      <c r="L37" s="53"/>
      <c r="M37" s="53"/>
      <c r="N37" s="7"/>
    </row>
    <row r="38" spans="1:15" ht="15.75" customHeight="1">
      <c r="A38" s="59" t="s">
        <v>16</v>
      </c>
      <c r="B38" s="53"/>
      <c r="C38" s="53"/>
      <c r="D38" s="53"/>
      <c r="J38" s="59" t="s">
        <v>16</v>
      </c>
      <c r="K38" s="53"/>
      <c r="L38" s="53"/>
      <c r="M38" s="53"/>
      <c r="N38" s="7"/>
    </row>
    <row r="39" spans="1:15" ht="15.75" customHeight="1">
      <c r="A39" s="52" t="s">
        <v>17</v>
      </c>
      <c r="B39" s="53"/>
      <c r="C39" s="53"/>
      <c r="D39" s="53"/>
      <c r="J39" s="52" t="s">
        <v>17</v>
      </c>
      <c r="K39" s="53"/>
      <c r="L39" s="53"/>
      <c r="M39" s="53"/>
      <c r="N39" s="7"/>
    </row>
    <row r="40" spans="1:15" ht="15.75" customHeight="1"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</sheetData>
  <mergeCells count="20">
    <mergeCell ref="A39:D39"/>
    <mergeCell ref="J39:M39"/>
    <mergeCell ref="N3:N4"/>
    <mergeCell ref="B5:B34"/>
    <mergeCell ref="C5:C34"/>
    <mergeCell ref="A37:D37"/>
    <mergeCell ref="J37:M37"/>
    <mergeCell ref="A38:D38"/>
    <mergeCell ref="J38:M38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02"/>
  <sheetViews>
    <sheetView topLeftCell="A18" workbookViewId="0">
      <selection activeCell="G5" sqref="G5:G35"/>
    </sheetView>
  </sheetViews>
  <sheetFormatPr defaultColWidth="14.42578125" defaultRowHeight="15" customHeight="1"/>
  <cols>
    <col min="1" max="1" width="12.42578125" style="26" customWidth="1"/>
    <col min="2" max="2" width="6.28515625" style="26" customWidth="1"/>
    <col min="3" max="3" width="5.140625" style="26" customWidth="1"/>
    <col min="4" max="4" width="10" style="26" customWidth="1"/>
    <col min="5" max="5" width="10" style="28" customWidth="1"/>
    <col min="6" max="7" width="8.7109375" style="26" customWidth="1"/>
    <col min="8" max="8" width="9.85546875" style="26" customWidth="1"/>
    <col min="9" max="9" width="8.7109375" style="26" customWidth="1"/>
    <col min="10" max="10" width="8.42578125" style="26" customWidth="1"/>
    <col min="11" max="11" width="8.7109375" style="26" customWidth="1"/>
    <col min="12" max="12" width="6.42578125" style="26" customWidth="1"/>
    <col min="13" max="13" width="8.5703125" style="26" customWidth="1"/>
    <col min="14" max="14" width="8.85546875" style="26" customWidth="1"/>
    <col min="15" max="16384" width="14.42578125" style="26"/>
  </cols>
  <sheetData>
    <row r="1" spans="1:14" ht="14.25" customHeight="1">
      <c r="A1" s="39" t="s">
        <v>25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1"/>
    </row>
    <row r="2" spans="1:14" ht="15.75" customHeight="1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4"/>
    </row>
    <row r="3" spans="1:14" ht="14.25" customHeight="1">
      <c r="A3" s="45" t="s">
        <v>0</v>
      </c>
      <c r="B3" s="47" t="s">
        <v>1</v>
      </c>
      <c r="C3" s="47" t="s">
        <v>2</v>
      </c>
      <c r="D3" s="45" t="s">
        <v>3</v>
      </c>
      <c r="E3" s="45" t="s">
        <v>20</v>
      </c>
      <c r="F3" s="45" t="s">
        <v>4</v>
      </c>
      <c r="G3" s="45" t="s">
        <v>19</v>
      </c>
      <c r="H3" s="45" t="s">
        <v>5</v>
      </c>
      <c r="I3" s="48" t="s">
        <v>6</v>
      </c>
      <c r="J3" s="49"/>
      <c r="K3" s="49"/>
      <c r="L3" s="49"/>
      <c r="M3" s="50" t="s">
        <v>7</v>
      </c>
      <c r="N3" s="54" t="s">
        <v>8</v>
      </c>
    </row>
    <row r="4" spans="1:14" ht="51.75" customHeight="1">
      <c r="A4" s="46"/>
      <c r="B4" s="46"/>
      <c r="C4" s="46"/>
      <c r="D4" s="46"/>
      <c r="E4" s="51"/>
      <c r="F4" s="46"/>
      <c r="G4" s="46"/>
      <c r="H4" s="46"/>
      <c r="I4" s="10" t="s">
        <v>15</v>
      </c>
      <c r="J4" s="10" t="s">
        <v>13</v>
      </c>
      <c r="K4" s="21" t="s">
        <v>18</v>
      </c>
      <c r="L4" s="10" t="s">
        <v>14</v>
      </c>
      <c r="M4" s="46"/>
      <c r="N4" s="46"/>
    </row>
    <row r="5" spans="1:14" ht="19.5" customHeight="1">
      <c r="A5" s="8">
        <v>45047</v>
      </c>
      <c r="B5" s="55" t="s">
        <v>11</v>
      </c>
      <c r="C5" s="55" t="s">
        <v>12</v>
      </c>
      <c r="D5" s="23">
        <v>213.8</v>
      </c>
      <c r="E5" s="29">
        <v>949</v>
      </c>
      <c r="F5" s="9">
        <v>211.37</v>
      </c>
      <c r="G5" s="9">
        <v>694.99199999999996</v>
      </c>
      <c r="H5" s="9">
        <v>15</v>
      </c>
      <c r="I5" s="38">
        <v>0</v>
      </c>
      <c r="J5" s="38">
        <v>0</v>
      </c>
      <c r="K5" s="38">
        <v>0</v>
      </c>
      <c r="L5" s="9">
        <v>15</v>
      </c>
      <c r="M5" s="9">
        <f>I5+J5+K5+L5</f>
        <v>15</v>
      </c>
      <c r="N5" s="2"/>
    </row>
    <row r="6" spans="1:14" ht="19.5" customHeight="1">
      <c r="A6" s="8">
        <v>45048</v>
      </c>
      <c r="B6" s="56"/>
      <c r="C6" s="56"/>
      <c r="D6" s="23">
        <v>213.8</v>
      </c>
      <c r="E6" s="29">
        <v>949</v>
      </c>
      <c r="F6" s="9">
        <v>211.37</v>
      </c>
      <c r="G6" s="9">
        <v>694.99199999999996</v>
      </c>
      <c r="H6" s="9">
        <v>15</v>
      </c>
      <c r="I6" s="38">
        <v>0</v>
      </c>
      <c r="J6" s="38">
        <v>0</v>
      </c>
      <c r="K6" s="38">
        <v>0</v>
      </c>
      <c r="L6" s="9">
        <v>15</v>
      </c>
      <c r="M6" s="9">
        <f t="shared" ref="M6:M35" si="0">I6+J6+K6+L6</f>
        <v>15</v>
      </c>
      <c r="N6" s="2"/>
    </row>
    <row r="7" spans="1:14" ht="19.5" customHeight="1">
      <c r="A7" s="8">
        <v>45049</v>
      </c>
      <c r="B7" s="56"/>
      <c r="C7" s="56"/>
      <c r="D7" s="23">
        <v>213.8</v>
      </c>
      <c r="E7" s="29">
        <v>949</v>
      </c>
      <c r="F7" s="9">
        <v>211.41</v>
      </c>
      <c r="G7" s="9">
        <v>699.23699999999997</v>
      </c>
      <c r="H7" s="9">
        <v>64</v>
      </c>
      <c r="I7" s="38">
        <v>0</v>
      </c>
      <c r="J7" s="38">
        <v>0</v>
      </c>
      <c r="K7" s="38">
        <v>0</v>
      </c>
      <c r="L7" s="9">
        <v>15</v>
      </c>
      <c r="M7" s="9">
        <f t="shared" si="0"/>
        <v>15</v>
      </c>
      <c r="N7" s="2"/>
    </row>
    <row r="8" spans="1:14" ht="19.5" customHeight="1">
      <c r="A8" s="8">
        <v>45050</v>
      </c>
      <c r="B8" s="56"/>
      <c r="C8" s="56"/>
      <c r="D8" s="23">
        <v>213.8</v>
      </c>
      <c r="E8" s="29">
        <v>949</v>
      </c>
      <c r="F8" s="9">
        <v>211.41</v>
      </c>
      <c r="G8" s="9">
        <v>699.23699999999997</v>
      </c>
      <c r="H8" s="9">
        <v>15</v>
      </c>
      <c r="I8" s="38">
        <v>0</v>
      </c>
      <c r="J8" s="38">
        <v>0</v>
      </c>
      <c r="K8" s="38">
        <v>0</v>
      </c>
      <c r="L8" s="9">
        <v>15</v>
      </c>
      <c r="M8" s="9">
        <f t="shared" si="0"/>
        <v>15</v>
      </c>
      <c r="N8" s="2"/>
    </row>
    <row r="9" spans="1:14" ht="19.5" customHeight="1">
      <c r="A9" s="8">
        <v>45051</v>
      </c>
      <c r="B9" s="56"/>
      <c r="C9" s="56"/>
      <c r="D9" s="23">
        <v>213.8</v>
      </c>
      <c r="E9" s="29">
        <v>949</v>
      </c>
      <c r="F9" s="9">
        <v>211.45</v>
      </c>
      <c r="G9" s="9">
        <v>704.53200000000004</v>
      </c>
      <c r="H9" s="9">
        <v>76</v>
      </c>
      <c r="I9" s="38">
        <v>0</v>
      </c>
      <c r="J9" s="38">
        <v>0</v>
      </c>
      <c r="K9" s="38">
        <v>0</v>
      </c>
      <c r="L9" s="9">
        <v>15</v>
      </c>
      <c r="M9" s="9">
        <f t="shared" si="0"/>
        <v>15</v>
      </c>
      <c r="N9" s="2"/>
    </row>
    <row r="10" spans="1:14" ht="19.5" customHeight="1">
      <c r="A10" s="8">
        <v>45052</v>
      </c>
      <c r="B10" s="56"/>
      <c r="C10" s="56"/>
      <c r="D10" s="23">
        <v>213.8</v>
      </c>
      <c r="E10" s="29">
        <v>949</v>
      </c>
      <c r="F10" s="9">
        <v>211.51</v>
      </c>
      <c r="G10" s="9">
        <v>710.89</v>
      </c>
      <c r="H10" s="9">
        <v>89</v>
      </c>
      <c r="I10" s="38">
        <v>0</v>
      </c>
      <c r="J10" s="38">
        <v>0</v>
      </c>
      <c r="K10" s="38">
        <v>0</v>
      </c>
      <c r="L10" s="9">
        <v>15</v>
      </c>
      <c r="M10" s="9">
        <f t="shared" si="0"/>
        <v>15</v>
      </c>
      <c r="N10" s="2"/>
    </row>
    <row r="11" spans="1:14" ht="19.5" customHeight="1">
      <c r="A11" s="8">
        <v>45053</v>
      </c>
      <c r="B11" s="56"/>
      <c r="C11" s="56"/>
      <c r="D11" s="23">
        <v>213.8</v>
      </c>
      <c r="E11" s="29">
        <v>949</v>
      </c>
      <c r="F11" s="9">
        <v>211.51</v>
      </c>
      <c r="G11" s="9">
        <v>710.89</v>
      </c>
      <c r="H11" s="9">
        <v>15</v>
      </c>
      <c r="I11" s="38">
        <v>0</v>
      </c>
      <c r="J11" s="38">
        <v>0</v>
      </c>
      <c r="K11" s="38">
        <v>0</v>
      </c>
      <c r="L11" s="9">
        <v>15</v>
      </c>
      <c r="M11" s="9">
        <f t="shared" si="0"/>
        <v>15</v>
      </c>
      <c r="N11" s="2"/>
    </row>
    <row r="12" spans="1:14" ht="19.5" customHeight="1">
      <c r="A12" s="8">
        <v>45054</v>
      </c>
      <c r="B12" s="56"/>
      <c r="C12" s="56"/>
      <c r="D12" s="23">
        <v>213.8</v>
      </c>
      <c r="E12" s="29">
        <v>949</v>
      </c>
      <c r="F12" s="9">
        <v>211.51</v>
      </c>
      <c r="G12" s="9">
        <v>710.89</v>
      </c>
      <c r="H12" s="9">
        <v>15</v>
      </c>
      <c r="I12" s="38">
        <v>0</v>
      </c>
      <c r="J12" s="38">
        <v>0</v>
      </c>
      <c r="K12" s="38">
        <v>0</v>
      </c>
      <c r="L12" s="9">
        <v>15</v>
      </c>
      <c r="M12" s="9">
        <f t="shared" si="0"/>
        <v>15</v>
      </c>
      <c r="N12" s="2"/>
    </row>
    <row r="13" spans="1:14" ht="19.5" customHeight="1">
      <c r="A13" s="8">
        <v>45055</v>
      </c>
      <c r="B13" s="56"/>
      <c r="C13" s="56"/>
      <c r="D13" s="23">
        <v>213.8</v>
      </c>
      <c r="E13" s="29">
        <v>949</v>
      </c>
      <c r="F13" s="9">
        <v>211.55</v>
      </c>
      <c r="G13" s="9">
        <v>715.12800000000004</v>
      </c>
      <c r="H13" s="9">
        <v>64</v>
      </c>
      <c r="I13" s="38">
        <v>0</v>
      </c>
      <c r="J13" s="38">
        <v>0</v>
      </c>
      <c r="K13" s="38">
        <v>0</v>
      </c>
      <c r="L13" s="9">
        <v>15</v>
      </c>
      <c r="M13" s="9">
        <f t="shared" si="0"/>
        <v>15</v>
      </c>
      <c r="N13" s="2"/>
    </row>
    <row r="14" spans="1:14" ht="19.5" customHeight="1">
      <c r="A14" s="8">
        <v>45056</v>
      </c>
      <c r="B14" s="56"/>
      <c r="C14" s="56"/>
      <c r="D14" s="23">
        <v>213.8</v>
      </c>
      <c r="E14" s="29">
        <v>949</v>
      </c>
      <c r="F14" s="9">
        <v>211.55</v>
      </c>
      <c r="G14" s="9">
        <v>715.12800000000004</v>
      </c>
      <c r="H14" s="9">
        <v>15</v>
      </c>
      <c r="I14" s="38">
        <v>0</v>
      </c>
      <c r="J14" s="38">
        <v>0</v>
      </c>
      <c r="K14" s="38">
        <v>0</v>
      </c>
      <c r="L14" s="9">
        <v>15</v>
      </c>
      <c r="M14" s="9">
        <f t="shared" si="0"/>
        <v>15</v>
      </c>
      <c r="N14" s="2"/>
    </row>
    <row r="15" spans="1:14" ht="19.5" customHeight="1">
      <c r="A15" s="8">
        <v>45057</v>
      </c>
      <c r="B15" s="56"/>
      <c r="C15" s="56"/>
      <c r="D15" s="23">
        <v>213.8</v>
      </c>
      <c r="E15" s="29">
        <v>949</v>
      </c>
      <c r="F15" s="9">
        <v>211.58</v>
      </c>
      <c r="G15" s="9">
        <v>718.30700000000002</v>
      </c>
      <c r="H15" s="9">
        <v>52</v>
      </c>
      <c r="I15" s="38">
        <v>0</v>
      </c>
      <c r="J15" s="38">
        <v>0</v>
      </c>
      <c r="K15" s="38">
        <v>0</v>
      </c>
      <c r="L15" s="9">
        <v>15</v>
      </c>
      <c r="M15" s="9">
        <f t="shared" si="0"/>
        <v>15</v>
      </c>
      <c r="N15" s="2"/>
    </row>
    <row r="16" spans="1:14" ht="19.5" customHeight="1">
      <c r="A16" s="8">
        <v>45058</v>
      </c>
      <c r="B16" s="56"/>
      <c r="C16" s="56"/>
      <c r="D16" s="23">
        <v>213.8</v>
      </c>
      <c r="E16" s="29">
        <v>949</v>
      </c>
      <c r="F16" s="9">
        <v>211.58</v>
      </c>
      <c r="G16" s="9">
        <v>718.30700000000002</v>
      </c>
      <c r="H16" s="9">
        <v>15</v>
      </c>
      <c r="I16" s="38">
        <v>0</v>
      </c>
      <c r="J16" s="38">
        <v>0</v>
      </c>
      <c r="K16" s="38">
        <v>0</v>
      </c>
      <c r="L16" s="9">
        <v>15</v>
      </c>
      <c r="M16" s="9">
        <f t="shared" si="0"/>
        <v>15</v>
      </c>
      <c r="N16" s="2"/>
    </row>
    <row r="17" spans="1:15" ht="19.5" customHeight="1">
      <c r="A17" s="8">
        <v>45059</v>
      </c>
      <c r="B17" s="56"/>
      <c r="C17" s="56"/>
      <c r="D17" s="23">
        <v>213.8</v>
      </c>
      <c r="E17" s="29">
        <v>949</v>
      </c>
      <c r="F17" s="9">
        <v>211.58</v>
      </c>
      <c r="G17" s="9">
        <v>718.30700000000002</v>
      </c>
      <c r="H17" s="9">
        <v>15</v>
      </c>
      <c r="I17" s="38">
        <v>0</v>
      </c>
      <c r="J17" s="38">
        <v>0</v>
      </c>
      <c r="K17" s="38">
        <v>0</v>
      </c>
      <c r="L17" s="9">
        <v>15</v>
      </c>
      <c r="M17" s="9">
        <f t="shared" si="0"/>
        <v>15</v>
      </c>
      <c r="N17" s="2"/>
    </row>
    <row r="18" spans="1:15" ht="19.5" customHeight="1">
      <c r="A18" s="8">
        <v>45060</v>
      </c>
      <c r="B18" s="56"/>
      <c r="C18" s="56"/>
      <c r="D18" s="23">
        <v>213.8</v>
      </c>
      <c r="E18" s="29">
        <v>949</v>
      </c>
      <c r="F18" s="9">
        <v>211.58</v>
      </c>
      <c r="G18" s="9">
        <v>718.30700000000002</v>
      </c>
      <c r="H18" s="9">
        <v>15</v>
      </c>
      <c r="I18" s="38">
        <v>0</v>
      </c>
      <c r="J18" s="38">
        <v>0</v>
      </c>
      <c r="K18" s="38">
        <v>0</v>
      </c>
      <c r="L18" s="9">
        <v>15</v>
      </c>
      <c r="M18" s="9">
        <f t="shared" si="0"/>
        <v>15</v>
      </c>
      <c r="N18" s="2"/>
    </row>
    <row r="19" spans="1:15" ht="19.5" customHeight="1">
      <c r="A19" s="8">
        <v>45061</v>
      </c>
      <c r="B19" s="56"/>
      <c r="C19" s="56"/>
      <c r="D19" s="23">
        <v>213.8</v>
      </c>
      <c r="E19" s="29">
        <v>949</v>
      </c>
      <c r="F19" s="9">
        <v>211.58</v>
      </c>
      <c r="G19" s="9">
        <v>718.30700000000002</v>
      </c>
      <c r="H19" s="9">
        <v>15</v>
      </c>
      <c r="I19" s="38">
        <v>0</v>
      </c>
      <c r="J19" s="38">
        <v>0</v>
      </c>
      <c r="K19" s="38">
        <v>0</v>
      </c>
      <c r="L19" s="9">
        <v>15</v>
      </c>
      <c r="M19" s="9">
        <f t="shared" si="0"/>
        <v>15</v>
      </c>
      <c r="N19" s="2"/>
    </row>
    <row r="20" spans="1:15" ht="19.5" customHeight="1">
      <c r="A20" s="8">
        <v>45062</v>
      </c>
      <c r="B20" s="56"/>
      <c r="C20" s="56"/>
      <c r="D20" s="23">
        <v>213.8</v>
      </c>
      <c r="E20" s="29">
        <v>949</v>
      </c>
      <c r="F20" s="9">
        <v>211.58</v>
      </c>
      <c r="G20" s="9">
        <v>718.30700000000002</v>
      </c>
      <c r="H20" s="9">
        <v>15</v>
      </c>
      <c r="I20" s="38">
        <v>0</v>
      </c>
      <c r="J20" s="38">
        <v>0</v>
      </c>
      <c r="K20" s="38">
        <v>0</v>
      </c>
      <c r="L20" s="9">
        <v>15</v>
      </c>
      <c r="M20" s="9">
        <f t="shared" si="0"/>
        <v>15</v>
      </c>
      <c r="N20" s="2"/>
    </row>
    <row r="21" spans="1:15" ht="19.5" customHeight="1">
      <c r="A21" s="8">
        <v>45063</v>
      </c>
      <c r="B21" s="56"/>
      <c r="C21" s="56"/>
      <c r="D21" s="23">
        <v>213.8</v>
      </c>
      <c r="E21" s="29">
        <v>949</v>
      </c>
      <c r="F21" s="9">
        <v>211.57</v>
      </c>
      <c r="G21" s="9">
        <v>717.24699999999996</v>
      </c>
      <c r="H21" s="9">
        <v>3</v>
      </c>
      <c r="I21" s="38">
        <v>0</v>
      </c>
      <c r="J21" s="38">
        <v>0</v>
      </c>
      <c r="K21" s="38">
        <v>0</v>
      </c>
      <c r="L21" s="9">
        <v>15</v>
      </c>
      <c r="M21" s="9">
        <f t="shared" si="0"/>
        <v>15</v>
      </c>
      <c r="N21" s="2"/>
    </row>
    <row r="22" spans="1:15" ht="19.5" customHeight="1">
      <c r="A22" s="8">
        <v>45064</v>
      </c>
      <c r="B22" s="56"/>
      <c r="C22" s="56"/>
      <c r="D22" s="23">
        <v>213.8</v>
      </c>
      <c r="E22" s="29">
        <v>949</v>
      </c>
      <c r="F22" s="9">
        <v>211.56</v>
      </c>
      <c r="G22" s="9">
        <v>716.18799999999999</v>
      </c>
      <c r="H22" s="9">
        <v>3</v>
      </c>
      <c r="I22" s="38">
        <v>0</v>
      </c>
      <c r="J22" s="38">
        <v>0</v>
      </c>
      <c r="K22" s="38">
        <v>0</v>
      </c>
      <c r="L22" s="9">
        <v>15</v>
      </c>
      <c r="M22" s="9">
        <f t="shared" si="0"/>
        <v>15</v>
      </c>
      <c r="N22" s="2"/>
    </row>
    <row r="23" spans="1:15" ht="19.5" customHeight="1">
      <c r="A23" s="8">
        <v>45065</v>
      </c>
      <c r="B23" s="56"/>
      <c r="C23" s="56"/>
      <c r="D23" s="23">
        <v>213.8</v>
      </c>
      <c r="E23" s="29">
        <v>949</v>
      </c>
      <c r="F23" s="9">
        <v>211.55</v>
      </c>
      <c r="G23" s="9">
        <v>715.12800000000004</v>
      </c>
      <c r="H23" s="9">
        <v>3</v>
      </c>
      <c r="I23" s="38">
        <v>0</v>
      </c>
      <c r="J23" s="38">
        <v>0</v>
      </c>
      <c r="K23" s="38">
        <v>0</v>
      </c>
      <c r="L23" s="9">
        <v>15</v>
      </c>
      <c r="M23" s="9">
        <f t="shared" si="0"/>
        <v>15</v>
      </c>
      <c r="N23" s="2"/>
    </row>
    <row r="24" spans="1:15" ht="19.5" customHeight="1">
      <c r="A24" s="8">
        <v>45066</v>
      </c>
      <c r="B24" s="56"/>
      <c r="C24" s="56"/>
      <c r="D24" s="23">
        <v>213.8</v>
      </c>
      <c r="E24" s="29">
        <v>949</v>
      </c>
      <c r="F24" s="9">
        <v>211.54</v>
      </c>
      <c r="G24" s="9">
        <v>714.06899999999996</v>
      </c>
      <c r="H24" s="9">
        <v>3</v>
      </c>
      <c r="I24" s="38">
        <v>0</v>
      </c>
      <c r="J24" s="38">
        <v>0</v>
      </c>
      <c r="K24" s="38">
        <v>0</v>
      </c>
      <c r="L24" s="9">
        <v>15</v>
      </c>
      <c r="M24" s="9">
        <f t="shared" si="0"/>
        <v>15</v>
      </c>
      <c r="N24" s="2"/>
    </row>
    <row r="25" spans="1:15" ht="19.5" customHeight="1">
      <c r="A25" s="8">
        <v>45067</v>
      </c>
      <c r="B25" s="56"/>
      <c r="C25" s="56"/>
      <c r="D25" s="23">
        <v>213.8</v>
      </c>
      <c r="E25" s="29">
        <v>949</v>
      </c>
      <c r="F25" s="9">
        <v>211.53</v>
      </c>
      <c r="G25" s="9">
        <v>713.00900000000001</v>
      </c>
      <c r="H25" s="9">
        <v>3</v>
      </c>
      <c r="I25" s="38">
        <v>0</v>
      </c>
      <c r="J25" s="38">
        <v>0</v>
      </c>
      <c r="K25" s="38">
        <v>0</v>
      </c>
      <c r="L25" s="9">
        <v>15</v>
      </c>
      <c r="M25" s="9">
        <f t="shared" si="0"/>
        <v>15</v>
      </c>
      <c r="N25" s="2"/>
    </row>
    <row r="26" spans="1:15" ht="19.5" customHeight="1">
      <c r="A26" s="8">
        <v>45068</v>
      </c>
      <c r="B26" s="56"/>
      <c r="C26" s="56"/>
      <c r="D26" s="23">
        <v>213.8</v>
      </c>
      <c r="E26" s="29">
        <v>949</v>
      </c>
      <c r="F26" s="9">
        <v>211.53</v>
      </c>
      <c r="G26" s="9">
        <v>713.00900000000001</v>
      </c>
      <c r="H26" s="9">
        <v>15</v>
      </c>
      <c r="I26" s="38">
        <v>0</v>
      </c>
      <c r="J26" s="38">
        <v>0</v>
      </c>
      <c r="K26" s="38">
        <v>0</v>
      </c>
      <c r="L26" s="9">
        <v>15</v>
      </c>
      <c r="M26" s="9">
        <f t="shared" si="0"/>
        <v>15</v>
      </c>
      <c r="N26" s="2"/>
      <c r="O26" s="19"/>
    </row>
    <row r="27" spans="1:15" ht="19.5" customHeight="1">
      <c r="A27" s="8">
        <v>45069</v>
      </c>
      <c r="B27" s="56"/>
      <c r="C27" s="56"/>
      <c r="D27" s="23">
        <v>213.8</v>
      </c>
      <c r="E27" s="29">
        <v>949</v>
      </c>
      <c r="F27" s="9">
        <v>211.53</v>
      </c>
      <c r="G27" s="9">
        <v>713.00900000000001</v>
      </c>
      <c r="H27" s="9">
        <v>15</v>
      </c>
      <c r="I27" s="38">
        <v>0</v>
      </c>
      <c r="J27" s="38">
        <v>0</v>
      </c>
      <c r="K27" s="38">
        <v>0</v>
      </c>
      <c r="L27" s="9">
        <v>15</v>
      </c>
      <c r="M27" s="9">
        <f t="shared" si="0"/>
        <v>15</v>
      </c>
      <c r="N27" s="2"/>
    </row>
    <row r="28" spans="1:15" ht="19.5" customHeight="1">
      <c r="A28" s="8">
        <v>45070</v>
      </c>
      <c r="B28" s="56"/>
      <c r="C28" s="56"/>
      <c r="D28" s="23">
        <v>213.8</v>
      </c>
      <c r="E28" s="29">
        <v>949</v>
      </c>
      <c r="F28" s="9">
        <v>211.53</v>
      </c>
      <c r="G28" s="9">
        <v>713.00900000000001</v>
      </c>
      <c r="H28" s="9">
        <v>15</v>
      </c>
      <c r="I28" s="38">
        <v>0</v>
      </c>
      <c r="J28" s="38">
        <v>0</v>
      </c>
      <c r="K28" s="38">
        <v>0</v>
      </c>
      <c r="L28" s="9">
        <v>15</v>
      </c>
      <c r="M28" s="9">
        <f t="shared" si="0"/>
        <v>15</v>
      </c>
      <c r="N28" s="2"/>
    </row>
    <row r="29" spans="1:15" ht="19.5" customHeight="1">
      <c r="A29" s="8">
        <v>45071</v>
      </c>
      <c r="B29" s="56"/>
      <c r="C29" s="56"/>
      <c r="D29" s="23">
        <v>213.8</v>
      </c>
      <c r="E29" s="29">
        <v>949</v>
      </c>
      <c r="F29" s="9">
        <v>211.53</v>
      </c>
      <c r="G29" s="9">
        <v>713.00900000000001</v>
      </c>
      <c r="H29" s="9">
        <v>15</v>
      </c>
      <c r="I29" s="38">
        <v>0</v>
      </c>
      <c r="J29" s="38">
        <v>0</v>
      </c>
      <c r="K29" s="38">
        <v>0</v>
      </c>
      <c r="L29" s="9">
        <v>15</v>
      </c>
      <c r="M29" s="9">
        <f t="shared" si="0"/>
        <v>15</v>
      </c>
      <c r="N29" s="2"/>
    </row>
    <row r="30" spans="1:15" ht="19.5" customHeight="1">
      <c r="A30" s="8">
        <v>45072</v>
      </c>
      <c r="B30" s="56"/>
      <c r="C30" s="56"/>
      <c r="D30" s="23">
        <v>213.8</v>
      </c>
      <c r="E30" s="29">
        <v>949</v>
      </c>
      <c r="F30" s="9">
        <v>211.53</v>
      </c>
      <c r="G30" s="9">
        <v>713.00900000000001</v>
      </c>
      <c r="H30" s="9">
        <v>15</v>
      </c>
      <c r="I30" s="38">
        <v>0</v>
      </c>
      <c r="J30" s="38">
        <v>0</v>
      </c>
      <c r="K30" s="38">
        <v>0</v>
      </c>
      <c r="L30" s="9">
        <v>15</v>
      </c>
      <c r="M30" s="9">
        <f t="shared" si="0"/>
        <v>15</v>
      </c>
      <c r="N30" s="2"/>
    </row>
    <row r="31" spans="1:15" ht="21" customHeight="1">
      <c r="A31" s="8">
        <v>45073</v>
      </c>
      <c r="B31" s="56"/>
      <c r="C31" s="56"/>
      <c r="D31" s="23">
        <v>213.8</v>
      </c>
      <c r="E31" s="29">
        <v>949</v>
      </c>
      <c r="F31" s="9">
        <v>211.53</v>
      </c>
      <c r="G31" s="9">
        <v>713.00900000000001</v>
      </c>
      <c r="H31" s="9">
        <v>15</v>
      </c>
      <c r="I31" s="38">
        <v>0</v>
      </c>
      <c r="J31" s="38">
        <v>0</v>
      </c>
      <c r="K31" s="38">
        <v>0</v>
      </c>
      <c r="L31" s="9">
        <v>15</v>
      </c>
      <c r="M31" s="9">
        <f t="shared" si="0"/>
        <v>15</v>
      </c>
      <c r="N31" s="2"/>
    </row>
    <row r="32" spans="1:15" ht="21" customHeight="1">
      <c r="A32" s="8">
        <v>45074</v>
      </c>
      <c r="B32" s="56"/>
      <c r="C32" s="56"/>
      <c r="D32" s="23">
        <v>213.8</v>
      </c>
      <c r="E32" s="29">
        <v>949</v>
      </c>
      <c r="F32" s="9">
        <v>211.53</v>
      </c>
      <c r="G32" s="9">
        <v>713.00900000000001</v>
      </c>
      <c r="H32" s="9">
        <v>15</v>
      </c>
      <c r="I32" s="38">
        <v>0</v>
      </c>
      <c r="J32" s="38">
        <v>0</v>
      </c>
      <c r="K32" s="38">
        <v>0</v>
      </c>
      <c r="L32" s="9">
        <v>15</v>
      </c>
      <c r="M32" s="9">
        <f t="shared" si="0"/>
        <v>15</v>
      </c>
      <c r="N32" s="2"/>
    </row>
    <row r="33" spans="1:15" ht="21" customHeight="1">
      <c r="A33" s="8">
        <v>45075</v>
      </c>
      <c r="B33" s="56"/>
      <c r="C33" s="56"/>
      <c r="D33" s="23">
        <v>213.8</v>
      </c>
      <c r="E33" s="29">
        <v>949</v>
      </c>
      <c r="F33" s="9">
        <v>211.58</v>
      </c>
      <c r="G33" s="9">
        <v>718.30700000000002</v>
      </c>
      <c r="H33" s="9">
        <v>76</v>
      </c>
      <c r="I33" s="38">
        <v>0</v>
      </c>
      <c r="J33" s="38">
        <v>0</v>
      </c>
      <c r="K33" s="38">
        <v>0</v>
      </c>
      <c r="L33" s="9">
        <v>15</v>
      </c>
      <c r="M33" s="9">
        <f t="shared" si="0"/>
        <v>15</v>
      </c>
      <c r="N33" s="2"/>
    </row>
    <row r="34" spans="1:15" ht="21" customHeight="1">
      <c r="A34" s="8">
        <v>45076</v>
      </c>
      <c r="B34" s="56"/>
      <c r="C34" s="56"/>
      <c r="D34" s="23">
        <v>213.8</v>
      </c>
      <c r="E34" s="29">
        <v>949</v>
      </c>
      <c r="F34" s="9">
        <v>211.58</v>
      </c>
      <c r="G34" s="9">
        <v>718.30700000000002</v>
      </c>
      <c r="H34" s="9">
        <v>15</v>
      </c>
      <c r="I34" s="38">
        <v>0</v>
      </c>
      <c r="J34" s="38">
        <v>0</v>
      </c>
      <c r="K34" s="38">
        <v>0</v>
      </c>
      <c r="L34" s="9">
        <v>15</v>
      </c>
      <c r="M34" s="9">
        <f t="shared" si="0"/>
        <v>15</v>
      </c>
      <c r="N34" s="2"/>
    </row>
    <row r="35" spans="1:15" ht="21" customHeight="1">
      <c r="A35" s="8">
        <v>45077</v>
      </c>
      <c r="B35" s="57"/>
      <c r="C35" s="57"/>
      <c r="D35" s="24">
        <v>213.8</v>
      </c>
      <c r="E35" s="29">
        <v>949</v>
      </c>
      <c r="F35" s="9">
        <v>211.58</v>
      </c>
      <c r="G35" s="9">
        <v>718.30700000000002</v>
      </c>
      <c r="H35" s="9">
        <v>15</v>
      </c>
      <c r="I35" s="38">
        <v>0</v>
      </c>
      <c r="J35" s="38">
        <v>0</v>
      </c>
      <c r="K35" s="38">
        <v>0</v>
      </c>
      <c r="L35" s="9">
        <v>15</v>
      </c>
      <c r="M35" s="9">
        <f t="shared" si="0"/>
        <v>15</v>
      </c>
      <c r="N35" s="2"/>
    </row>
    <row r="36" spans="1:15" ht="21" customHeight="1">
      <c r="A36" s="12"/>
      <c r="B36" s="13"/>
      <c r="C36" s="13"/>
      <c r="D36" s="14"/>
      <c r="E36" s="14"/>
      <c r="F36" s="15"/>
      <c r="G36" s="14"/>
      <c r="H36" s="16">
        <f>SUM(H5:H35)</f>
        <v>736</v>
      </c>
      <c r="I36" s="16">
        <f t="shared" ref="I36:M36" si="1">SUM(I5:I35)</f>
        <v>0</v>
      </c>
      <c r="J36" s="16">
        <f t="shared" si="1"/>
        <v>0</v>
      </c>
      <c r="K36" s="16">
        <f t="shared" si="1"/>
        <v>0</v>
      </c>
      <c r="L36" s="16">
        <f t="shared" si="1"/>
        <v>465</v>
      </c>
      <c r="M36" s="16">
        <f t="shared" si="1"/>
        <v>465</v>
      </c>
      <c r="N36" s="18"/>
      <c r="O36" s="20"/>
    </row>
    <row r="37" spans="1:15" ht="47.25" customHeight="1">
      <c r="A37" s="3"/>
      <c r="B37" s="4"/>
      <c r="C37" s="5"/>
      <c r="D37" s="5"/>
      <c r="E37" s="5"/>
      <c r="F37" s="5"/>
      <c r="G37" s="5"/>
      <c r="H37" s="5">
        <f>H36/11574</f>
        <v>6.3590806981164677E-2</v>
      </c>
      <c r="I37" s="5"/>
      <c r="J37" s="5">
        <f>J36/11574</f>
        <v>0</v>
      </c>
      <c r="K37" s="5">
        <f>K36/11574</f>
        <v>0</v>
      </c>
      <c r="L37" s="27"/>
      <c r="M37" s="27"/>
      <c r="N37" s="7"/>
    </row>
    <row r="38" spans="1:15" ht="15.75" customHeight="1">
      <c r="A38" s="58" t="s">
        <v>9</v>
      </c>
      <c r="B38" s="53"/>
      <c r="C38" s="53"/>
      <c r="D38" s="53"/>
      <c r="J38" s="58" t="s">
        <v>10</v>
      </c>
      <c r="K38" s="53"/>
      <c r="L38" s="53"/>
      <c r="M38" s="53"/>
      <c r="N38" s="7"/>
    </row>
    <row r="39" spans="1:15" ht="15.75" customHeight="1">
      <c r="A39" s="59" t="s">
        <v>16</v>
      </c>
      <c r="B39" s="53"/>
      <c r="C39" s="53"/>
      <c r="D39" s="53"/>
      <c r="J39" s="59" t="s">
        <v>16</v>
      </c>
      <c r="K39" s="53"/>
      <c r="L39" s="53"/>
      <c r="M39" s="53"/>
      <c r="N39" s="7"/>
    </row>
    <row r="40" spans="1:15" ht="15.75" customHeight="1">
      <c r="A40" s="52" t="s">
        <v>17</v>
      </c>
      <c r="B40" s="53"/>
      <c r="C40" s="53"/>
      <c r="D40" s="53"/>
      <c r="J40" s="52" t="s">
        <v>17</v>
      </c>
      <c r="K40" s="53"/>
      <c r="L40" s="53"/>
      <c r="M40" s="53"/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  <row r="102" spans="14:14" ht="15.75" customHeight="1">
      <c r="N102" s="7"/>
    </row>
  </sheetData>
  <mergeCells count="20">
    <mergeCell ref="A40:D40"/>
    <mergeCell ref="J40:M40"/>
    <mergeCell ref="N3:N4"/>
    <mergeCell ref="B5:B35"/>
    <mergeCell ref="C5:C35"/>
    <mergeCell ref="A38:D38"/>
    <mergeCell ref="J38:M38"/>
    <mergeCell ref="A39:D39"/>
    <mergeCell ref="J39:M39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01"/>
  <sheetViews>
    <sheetView topLeftCell="A17" workbookViewId="0">
      <selection activeCell="G5" sqref="G5:G34"/>
    </sheetView>
  </sheetViews>
  <sheetFormatPr defaultColWidth="14.42578125" defaultRowHeight="15" customHeight="1"/>
  <cols>
    <col min="1" max="1" width="12.42578125" style="26" customWidth="1"/>
    <col min="2" max="2" width="6.28515625" style="26" customWidth="1"/>
    <col min="3" max="3" width="5.140625" style="26" customWidth="1"/>
    <col min="4" max="4" width="10" style="26" customWidth="1"/>
    <col min="5" max="5" width="10" style="28" customWidth="1"/>
    <col min="6" max="7" width="8.7109375" style="26" customWidth="1"/>
    <col min="8" max="8" width="9.85546875" style="26" customWidth="1"/>
    <col min="9" max="9" width="8.7109375" style="26" customWidth="1"/>
    <col min="10" max="10" width="8.42578125" style="26" customWidth="1"/>
    <col min="11" max="11" width="8.7109375" style="26" customWidth="1"/>
    <col min="12" max="12" width="6.42578125" style="26" customWidth="1"/>
    <col min="13" max="13" width="8.5703125" style="26" customWidth="1"/>
    <col min="14" max="14" width="8.85546875" style="26" customWidth="1"/>
    <col min="15" max="16384" width="14.42578125" style="26"/>
  </cols>
  <sheetData>
    <row r="1" spans="1:14" ht="14.25" customHeight="1">
      <c r="A1" s="39" t="s">
        <v>26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1"/>
    </row>
    <row r="2" spans="1:14" ht="15.75" customHeight="1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4"/>
    </row>
    <row r="3" spans="1:14" ht="14.25" customHeight="1">
      <c r="A3" s="45" t="s">
        <v>0</v>
      </c>
      <c r="B3" s="47" t="s">
        <v>1</v>
      </c>
      <c r="C3" s="47" t="s">
        <v>2</v>
      </c>
      <c r="D3" s="45" t="s">
        <v>3</v>
      </c>
      <c r="E3" s="45" t="s">
        <v>20</v>
      </c>
      <c r="F3" s="45" t="s">
        <v>4</v>
      </c>
      <c r="G3" s="45" t="s">
        <v>19</v>
      </c>
      <c r="H3" s="45" t="s">
        <v>5</v>
      </c>
      <c r="I3" s="48" t="s">
        <v>6</v>
      </c>
      <c r="J3" s="49"/>
      <c r="K3" s="49"/>
      <c r="L3" s="49"/>
      <c r="M3" s="50" t="s">
        <v>7</v>
      </c>
      <c r="N3" s="54" t="s">
        <v>8</v>
      </c>
    </row>
    <row r="4" spans="1:14" ht="51.75" customHeight="1">
      <c r="A4" s="46"/>
      <c r="B4" s="46"/>
      <c r="C4" s="46"/>
      <c r="D4" s="46"/>
      <c r="E4" s="51"/>
      <c r="F4" s="46"/>
      <c r="G4" s="46"/>
      <c r="H4" s="46"/>
      <c r="I4" s="10" t="s">
        <v>15</v>
      </c>
      <c r="J4" s="10" t="s">
        <v>13</v>
      </c>
      <c r="K4" s="21" t="s">
        <v>18</v>
      </c>
      <c r="L4" s="10" t="s">
        <v>14</v>
      </c>
      <c r="M4" s="46"/>
      <c r="N4" s="46"/>
    </row>
    <row r="5" spans="1:14" ht="19.5" customHeight="1">
      <c r="A5" s="8">
        <v>45078</v>
      </c>
      <c r="B5" s="55" t="s">
        <v>11</v>
      </c>
      <c r="C5" s="55" t="s">
        <v>12</v>
      </c>
      <c r="D5" s="23">
        <v>213.8</v>
      </c>
      <c r="E5" s="29">
        <v>949</v>
      </c>
      <c r="F5" s="9">
        <v>211.58</v>
      </c>
      <c r="G5" s="11">
        <v>0.71830700000000003</v>
      </c>
      <c r="H5" s="9">
        <v>15</v>
      </c>
      <c r="I5" s="1">
        <v>0</v>
      </c>
      <c r="J5" s="1">
        <v>0</v>
      </c>
      <c r="K5" s="1">
        <v>0</v>
      </c>
      <c r="L5" s="34">
        <v>15</v>
      </c>
      <c r="M5" s="34">
        <f>I5+J5+K5+L5</f>
        <v>15</v>
      </c>
      <c r="N5" s="36"/>
    </row>
    <row r="6" spans="1:14" ht="19.5" customHeight="1">
      <c r="A6" s="8">
        <v>45079</v>
      </c>
      <c r="B6" s="56"/>
      <c r="C6" s="56"/>
      <c r="D6" s="23">
        <v>213.8</v>
      </c>
      <c r="E6" s="29">
        <v>949</v>
      </c>
      <c r="F6" s="9">
        <v>211.58</v>
      </c>
      <c r="G6" s="11">
        <v>0.71830700000000003</v>
      </c>
      <c r="H6" s="9">
        <v>15</v>
      </c>
      <c r="I6" s="1">
        <v>0</v>
      </c>
      <c r="J6" s="1">
        <v>0</v>
      </c>
      <c r="K6" s="1">
        <v>0</v>
      </c>
      <c r="L6" s="34">
        <v>15</v>
      </c>
      <c r="M6" s="34">
        <f t="shared" ref="M6:M34" si="0">I6+J6+K6+L6</f>
        <v>15</v>
      </c>
      <c r="N6" s="36"/>
    </row>
    <row r="7" spans="1:14" ht="19.5" customHeight="1">
      <c r="A7" s="8">
        <v>45080</v>
      </c>
      <c r="B7" s="56"/>
      <c r="C7" s="56"/>
      <c r="D7" s="23">
        <v>213.8</v>
      </c>
      <c r="E7" s="29">
        <v>949</v>
      </c>
      <c r="F7" s="9">
        <v>211.58</v>
      </c>
      <c r="G7" s="11">
        <v>0.71799999999999997</v>
      </c>
      <c r="H7" s="9">
        <v>15</v>
      </c>
      <c r="I7" s="1">
        <v>0</v>
      </c>
      <c r="J7" s="1">
        <v>0</v>
      </c>
      <c r="K7" s="1">
        <v>0</v>
      </c>
      <c r="L7" s="34">
        <v>15</v>
      </c>
      <c r="M7" s="34">
        <f t="shared" si="0"/>
        <v>15</v>
      </c>
      <c r="N7" s="36"/>
    </row>
    <row r="8" spans="1:14" ht="19.5" customHeight="1">
      <c r="A8" s="8">
        <v>45081</v>
      </c>
      <c r="B8" s="56"/>
      <c r="C8" s="56"/>
      <c r="D8" s="23">
        <v>213.8</v>
      </c>
      <c r="E8" s="29">
        <v>949</v>
      </c>
      <c r="F8" s="9">
        <v>211.58</v>
      </c>
      <c r="G8" s="11">
        <v>0.71799999999999997</v>
      </c>
      <c r="H8" s="9">
        <v>15</v>
      </c>
      <c r="I8" s="1">
        <v>0</v>
      </c>
      <c r="J8" s="1">
        <v>0</v>
      </c>
      <c r="K8" s="1">
        <v>0</v>
      </c>
      <c r="L8" s="34">
        <v>15</v>
      </c>
      <c r="M8" s="34">
        <f t="shared" si="0"/>
        <v>15</v>
      </c>
      <c r="N8" s="36"/>
    </row>
    <row r="9" spans="1:14" ht="19.5" customHeight="1">
      <c r="A9" s="8">
        <v>45082</v>
      </c>
      <c r="B9" s="56"/>
      <c r="C9" s="56"/>
      <c r="D9" s="23">
        <v>213.8</v>
      </c>
      <c r="E9" s="29">
        <v>949</v>
      </c>
      <c r="F9" s="9">
        <v>211.58</v>
      </c>
      <c r="G9" s="11">
        <v>0.71799999999999997</v>
      </c>
      <c r="H9" s="9">
        <v>15</v>
      </c>
      <c r="I9" s="1">
        <v>0</v>
      </c>
      <c r="J9" s="1">
        <v>0</v>
      </c>
      <c r="K9" s="1">
        <v>0</v>
      </c>
      <c r="L9" s="34">
        <v>15</v>
      </c>
      <c r="M9" s="34">
        <f t="shared" si="0"/>
        <v>15</v>
      </c>
      <c r="N9" s="36"/>
    </row>
    <row r="10" spans="1:14" ht="19.5" customHeight="1">
      <c r="A10" s="8">
        <v>45083</v>
      </c>
      <c r="B10" s="56"/>
      <c r="C10" s="56"/>
      <c r="D10" s="23">
        <v>213.8</v>
      </c>
      <c r="E10" s="29">
        <v>949</v>
      </c>
      <c r="F10" s="9">
        <v>211.58</v>
      </c>
      <c r="G10" s="11">
        <v>0.71799999999999997</v>
      </c>
      <c r="H10" s="9">
        <v>15</v>
      </c>
      <c r="I10" s="1">
        <v>0</v>
      </c>
      <c r="J10" s="1">
        <v>0</v>
      </c>
      <c r="K10" s="1">
        <v>0</v>
      </c>
      <c r="L10" s="34">
        <v>15</v>
      </c>
      <c r="M10" s="34">
        <f t="shared" si="0"/>
        <v>15</v>
      </c>
      <c r="N10" s="36"/>
    </row>
    <row r="11" spans="1:14" ht="19.5" customHeight="1">
      <c r="A11" s="8">
        <v>45084</v>
      </c>
      <c r="B11" s="56"/>
      <c r="C11" s="56"/>
      <c r="D11" s="23">
        <v>213.8</v>
      </c>
      <c r="E11" s="29">
        <v>949</v>
      </c>
      <c r="F11" s="9">
        <v>211.58</v>
      </c>
      <c r="G11" s="11">
        <v>0.71799999999999997</v>
      </c>
      <c r="H11" s="9">
        <v>15</v>
      </c>
      <c r="I11" s="1">
        <v>0</v>
      </c>
      <c r="J11" s="1">
        <v>0</v>
      </c>
      <c r="K11" s="1">
        <v>0</v>
      </c>
      <c r="L11" s="34">
        <v>15</v>
      </c>
      <c r="M11" s="34">
        <f t="shared" si="0"/>
        <v>15</v>
      </c>
      <c r="N11" s="36"/>
    </row>
    <row r="12" spans="1:14" ht="19.5" customHeight="1">
      <c r="A12" s="8">
        <v>45085</v>
      </c>
      <c r="B12" s="56"/>
      <c r="C12" s="56"/>
      <c r="D12" s="23">
        <v>213.8</v>
      </c>
      <c r="E12" s="29">
        <v>949</v>
      </c>
      <c r="F12" s="9">
        <v>211.58</v>
      </c>
      <c r="G12" s="11">
        <v>0.71799999999999997</v>
      </c>
      <c r="H12" s="9">
        <v>15</v>
      </c>
      <c r="I12" s="1">
        <v>0</v>
      </c>
      <c r="J12" s="1">
        <v>0</v>
      </c>
      <c r="K12" s="1">
        <v>0</v>
      </c>
      <c r="L12" s="34">
        <v>15</v>
      </c>
      <c r="M12" s="34">
        <f t="shared" si="0"/>
        <v>15</v>
      </c>
      <c r="N12" s="36"/>
    </row>
    <row r="13" spans="1:14" ht="19.5" customHeight="1">
      <c r="A13" s="8">
        <v>45086</v>
      </c>
      <c r="B13" s="56"/>
      <c r="C13" s="56"/>
      <c r="D13" s="23">
        <v>213.8</v>
      </c>
      <c r="E13" s="29">
        <v>949</v>
      </c>
      <c r="F13" s="9">
        <v>211.58</v>
      </c>
      <c r="G13" s="11">
        <v>0.71799999999999997</v>
      </c>
      <c r="H13" s="9">
        <v>15</v>
      </c>
      <c r="I13" s="1">
        <v>0</v>
      </c>
      <c r="J13" s="1">
        <v>0</v>
      </c>
      <c r="K13" s="1">
        <v>0</v>
      </c>
      <c r="L13" s="34">
        <v>15</v>
      </c>
      <c r="M13" s="34">
        <f t="shared" si="0"/>
        <v>15</v>
      </c>
      <c r="N13" s="36"/>
    </row>
    <row r="14" spans="1:14" ht="19.5" customHeight="1">
      <c r="A14" s="8">
        <v>45087</v>
      </c>
      <c r="B14" s="56"/>
      <c r="C14" s="56"/>
      <c r="D14" s="23">
        <v>213.8</v>
      </c>
      <c r="E14" s="29">
        <v>949</v>
      </c>
      <c r="F14" s="9">
        <v>211.58</v>
      </c>
      <c r="G14" s="11">
        <v>0.71799999999999997</v>
      </c>
      <c r="H14" s="9">
        <v>15</v>
      </c>
      <c r="I14" s="1">
        <v>0</v>
      </c>
      <c r="J14" s="1">
        <v>0</v>
      </c>
      <c r="K14" s="1">
        <v>0</v>
      </c>
      <c r="L14" s="34">
        <v>15</v>
      </c>
      <c r="M14" s="34">
        <f t="shared" si="0"/>
        <v>15</v>
      </c>
      <c r="N14" s="36"/>
    </row>
    <row r="15" spans="1:14" ht="19.5" customHeight="1">
      <c r="A15" s="8">
        <v>45088</v>
      </c>
      <c r="B15" s="56"/>
      <c r="C15" s="56"/>
      <c r="D15" s="23">
        <v>213.8</v>
      </c>
      <c r="E15" s="29">
        <v>949</v>
      </c>
      <c r="F15" s="9">
        <v>211.58</v>
      </c>
      <c r="G15" s="11">
        <v>0.71799999999999997</v>
      </c>
      <c r="H15" s="9">
        <v>15</v>
      </c>
      <c r="I15" s="1">
        <v>0</v>
      </c>
      <c r="J15" s="1">
        <v>0</v>
      </c>
      <c r="K15" s="1">
        <v>0</v>
      </c>
      <c r="L15" s="34">
        <v>15</v>
      </c>
      <c r="M15" s="34">
        <f t="shared" si="0"/>
        <v>15</v>
      </c>
      <c r="N15" s="36"/>
    </row>
    <row r="16" spans="1:14" ht="19.5" customHeight="1">
      <c r="A16" s="8">
        <v>45089</v>
      </c>
      <c r="B16" s="56"/>
      <c r="C16" s="56"/>
      <c r="D16" s="23">
        <v>213.8</v>
      </c>
      <c r="E16" s="29">
        <v>949</v>
      </c>
      <c r="F16" s="9">
        <v>211.58</v>
      </c>
      <c r="G16" s="11">
        <v>0.71799999999999997</v>
      </c>
      <c r="H16" s="9">
        <v>15</v>
      </c>
      <c r="I16" s="1">
        <v>0</v>
      </c>
      <c r="J16" s="1">
        <v>0</v>
      </c>
      <c r="K16" s="1">
        <v>0</v>
      </c>
      <c r="L16" s="34">
        <v>15</v>
      </c>
      <c r="M16" s="34">
        <f t="shared" si="0"/>
        <v>15</v>
      </c>
      <c r="N16" s="36"/>
    </row>
    <row r="17" spans="1:15" ht="19.5" customHeight="1">
      <c r="A17" s="8">
        <v>45090</v>
      </c>
      <c r="B17" s="56"/>
      <c r="C17" s="56"/>
      <c r="D17" s="23">
        <v>213.8</v>
      </c>
      <c r="E17" s="29">
        <v>949</v>
      </c>
      <c r="F17" s="9">
        <v>211.57</v>
      </c>
      <c r="G17" s="11">
        <v>0.71699999999999997</v>
      </c>
      <c r="H17" s="9">
        <v>3</v>
      </c>
      <c r="I17" s="1">
        <v>0</v>
      </c>
      <c r="J17" s="1">
        <v>0</v>
      </c>
      <c r="K17" s="1">
        <v>0</v>
      </c>
      <c r="L17" s="34">
        <v>15</v>
      </c>
      <c r="M17" s="34">
        <f t="shared" si="0"/>
        <v>15</v>
      </c>
      <c r="N17" s="36"/>
    </row>
    <row r="18" spans="1:15" ht="19.5" customHeight="1">
      <c r="A18" s="8">
        <v>45091</v>
      </c>
      <c r="B18" s="56"/>
      <c r="C18" s="56"/>
      <c r="D18" s="23">
        <v>213.8</v>
      </c>
      <c r="E18" s="29">
        <v>949</v>
      </c>
      <c r="F18" s="9">
        <v>211.56</v>
      </c>
      <c r="G18" s="11">
        <v>0.71618799999999994</v>
      </c>
      <c r="H18" s="9">
        <v>3</v>
      </c>
      <c r="I18" s="1">
        <v>0</v>
      </c>
      <c r="J18" s="1">
        <v>0</v>
      </c>
      <c r="K18" s="1">
        <v>0</v>
      </c>
      <c r="L18" s="34">
        <v>15</v>
      </c>
      <c r="M18" s="34">
        <f t="shared" si="0"/>
        <v>15</v>
      </c>
      <c r="N18" s="36"/>
    </row>
    <row r="19" spans="1:15" ht="19.5" customHeight="1">
      <c r="A19" s="8">
        <v>45092</v>
      </c>
      <c r="B19" s="56"/>
      <c r="C19" s="56"/>
      <c r="D19" s="23">
        <v>213.8</v>
      </c>
      <c r="E19" s="29">
        <v>949</v>
      </c>
      <c r="F19" s="9">
        <v>211.55</v>
      </c>
      <c r="G19" s="11">
        <v>0.7151280000000001</v>
      </c>
      <c r="H19" s="9">
        <v>3</v>
      </c>
      <c r="I19" s="1">
        <v>0</v>
      </c>
      <c r="J19" s="1">
        <v>0</v>
      </c>
      <c r="K19" s="1">
        <v>0</v>
      </c>
      <c r="L19" s="34">
        <v>15</v>
      </c>
      <c r="M19" s="34">
        <f t="shared" si="0"/>
        <v>15</v>
      </c>
      <c r="N19" s="36"/>
    </row>
    <row r="20" spans="1:15" ht="19.5" customHeight="1">
      <c r="A20" s="8">
        <v>45093</v>
      </c>
      <c r="B20" s="56"/>
      <c r="C20" s="56"/>
      <c r="D20" s="23">
        <v>213.8</v>
      </c>
      <c r="E20" s="29">
        <v>949</v>
      </c>
      <c r="F20" s="9">
        <v>211.54</v>
      </c>
      <c r="G20" s="11">
        <v>0.71406899999999995</v>
      </c>
      <c r="H20" s="9">
        <v>3</v>
      </c>
      <c r="I20" s="1">
        <v>0</v>
      </c>
      <c r="J20" s="1">
        <v>0</v>
      </c>
      <c r="K20" s="1">
        <v>0</v>
      </c>
      <c r="L20" s="34">
        <v>15</v>
      </c>
      <c r="M20" s="34">
        <f t="shared" si="0"/>
        <v>15</v>
      </c>
      <c r="N20" s="36"/>
    </row>
    <row r="21" spans="1:15" ht="19.5" customHeight="1">
      <c r="A21" s="8">
        <v>45094</v>
      </c>
      <c r="B21" s="56"/>
      <c r="C21" s="56"/>
      <c r="D21" s="23">
        <v>213.8</v>
      </c>
      <c r="E21" s="29">
        <v>949</v>
      </c>
      <c r="F21" s="9">
        <v>211.53</v>
      </c>
      <c r="G21" s="11">
        <v>0.713009</v>
      </c>
      <c r="H21" s="9">
        <v>3</v>
      </c>
      <c r="I21" s="1">
        <v>0</v>
      </c>
      <c r="J21" s="1">
        <v>0</v>
      </c>
      <c r="K21" s="1">
        <v>0</v>
      </c>
      <c r="L21" s="34">
        <v>15</v>
      </c>
      <c r="M21" s="34">
        <f t="shared" si="0"/>
        <v>15</v>
      </c>
      <c r="N21" s="36"/>
    </row>
    <row r="22" spans="1:15" ht="19.5" customHeight="1">
      <c r="A22" s="8">
        <v>45095</v>
      </c>
      <c r="B22" s="56"/>
      <c r="C22" s="56"/>
      <c r="D22" s="23">
        <v>213.8</v>
      </c>
      <c r="E22" s="29">
        <v>949</v>
      </c>
      <c r="F22" s="9">
        <v>211.52</v>
      </c>
      <c r="G22" s="11">
        <v>0.71195000000000008</v>
      </c>
      <c r="H22" s="9">
        <v>3</v>
      </c>
      <c r="I22" s="1">
        <v>0</v>
      </c>
      <c r="J22" s="1">
        <v>0</v>
      </c>
      <c r="K22" s="1">
        <v>0</v>
      </c>
      <c r="L22" s="34">
        <v>15</v>
      </c>
      <c r="M22" s="34">
        <f t="shared" si="0"/>
        <v>15</v>
      </c>
      <c r="N22" s="36"/>
    </row>
    <row r="23" spans="1:15" ht="19.5" customHeight="1">
      <c r="A23" s="8">
        <v>45096</v>
      </c>
      <c r="B23" s="56"/>
      <c r="C23" s="56"/>
      <c r="D23" s="23">
        <v>213.8</v>
      </c>
      <c r="E23" s="29">
        <v>949</v>
      </c>
      <c r="F23" s="9">
        <v>211.51</v>
      </c>
      <c r="G23" s="11">
        <v>0.71089000000000002</v>
      </c>
      <c r="H23" s="9">
        <v>3</v>
      </c>
      <c r="I23" s="1">
        <v>0</v>
      </c>
      <c r="J23" s="1">
        <v>0</v>
      </c>
      <c r="K23" s="1">
        <v>0</v>
      </c>
      <c r="L23" s="34">
        <v>15</v>
      </c>
      <c r="M23" s="34">
        <f t="shared" si="0"/>
        <v>15</v>
      </c>
      <c r="N23" s="36"/>
    </row>
    <row r="24" spans="1:15" ht="19.5" customHeight="1">
      <c r="A24" s="8">
        <v>45097</v>
      </c>
      <c r="B24" s="56"/>
      <c r="C24" s="56"/>
      <c r="D24" s="23">
        <v>213.8</v>
      </c>
      <c r="E24" s="29">
        <v>949</v>
      </c>
      <c r="F24" s="9">
        <v>211.51</v>
      </c>
      <c r="G24" s="11">
        <v>0.71089000000000002</v>
      </c>
      <c r="H24" s="9">
        <v>15</v>
      </c>
      <c r="I24" s="1">
        <v>0</v>
      </c>
      <c r="J24" s="1">
        <v>0</v>
      </c>
      <c r="K24" s="1">
        <v>0</v>
      </c>
      <c r="L24" s="34">
        <v>15</v>
      </c>
      <c r="M24" s="34">
        <f t="shared" si="0"/>
        <v>15</v>
      </c>
      <c r="N24" s="36"/>
    </row>
    <row r="25" spans="1:15" ht="19.5" customHeight="1">
      <c r="A25" s="8">
        <v>45098</v>
      </c>
      <c r="B25" s="56"/>
      <c r="C25" s="56"/>
      <c r="D25" s="23">
        <v>213.8</v>
      </c>
      <c r="E25" s="29">
        <v>949</v>
      </c>
      <c r="F25" s="9">
        <v>211.51</v>
      </c>
      <c r="G25" s="11">
        <v>0.71089000000000002</v>
      </c>
      <c r="H25" s="9">
        <v>15</v>
      </c>
      <c r="I25" s="1">
        <v>0</v>
      </c>
      <c r="J25" s="1">
        <v>0</v>
      </c>
      <c r="K25" s="1">
        <v>0</v>
      </c>
      <c r="L25" s="34">
        <v>15</v>
      </c>
      <c r="M25" s="34">
        <f t="shared" si="0"/>
        <v>15</v>
      </c>
      <c r="N25" s="36"/>
    </row>
    <row r="26" spans="1:15" ht="19.5" customHeight="1">
      <c r="A26" s="8">
        <v>45099</v>
      </c>
      <c r="B26" s="56"/>
      <c r="C26" s="56"/>
      <c r="D26" s="23">
        <v>213.8</v>
      </c>
      <c r="E26" s="29">
        <v>949</v>
      </c>
      <c r="F26" s="9">
        <v>211.51</v>
      </c>
      <c r="G26" s="11">
        <v>0.71089000000000002</v>
      </c>
      <c r="H26" s="9">
        <v>15</v>
      </c>
      <c r="I26" s="1">
        <v>0</v>
      </c>
      <c r="J26" s="1">
        <v>0</v>
      </c>
      <c r="K26" s="1">
        <v>0</v>
      </c>
      <c r="L26" s="34">
        <v>15</v>
      </c>
      <c r="M26" s="34">
        <f t="shared" si="0"/>
        <v>15</v>
      </c>
      <c r="N26" s="36"/>
      <c r="O26" s="19"/>
    </row>
    <row r="27" spans="1:15" ht="19.5" customHeight="1">
      <c r="A27" s="8">
        <v>45100</v>
      </c>
      <c r="B27" s="56"/>
      <c r="C27" s="56"/>
      <c r="D27" s="23">
        <v>213.8</v>
      </c>
      <c r="E27" s="29">
        <v>949</v>
      </c>
      <c r="F27" s="9">
        <v>211.51</v>
      </c>
      <c r="G27" s="11">
        <v>0.71089000000000002</v>
      </c>
      <c r="H27" s="9">
        <v>15</v>
      </c>
      <c r="I27" s="1">
        <v>0</v>
      </c>
      <c r="J27" s="1">
        <v>0</v>
      </c>
      <c r="K27" s="1">
        <v>0</v>
      </c>
      <c r="L27" s="34">
        <v>15</v>
      </c>
      <c r="M27" s="34">
        <f t="shared" si="0"/>
        <v>15</v>
      </c>
      <c r="N27" s="36"/>
    </row>
    <row r="28" spans="1:15" ht="19.5" customHeight="1">
      <c r="A28" s="8">
        <v>45101</v>
      </c>
      <c r="B28" s="56"/>
      <c r="C28" s="56"/>
      <c r="D28" s="23">
        <v>213.8</v>
      </c>
      <c r="E28" s="29">
        <v>949</v>
      </c>
      <c r="F28" s="9">
        <v>211.51</v>
      </c>
      <c r="G28" s="11">
        <v>0.71089000000000002</v>
      </c>
      <c r="H28" s="9">
        <v>15</v>
      </c>
      <c r="I28" s="1">
        <v>0</v>
      </c>
      <c r="J28" s="1">
        <v>0</v>
      </c>
      <c r="K28" s="1">
        <v>0</v>
      </c>
      <c r="L28" s="34">
        <v>15</v>
      </c>
      <c r="M28" s="34">
        <f t="shared" si="0"/>
        <v>15</v>
      </c>
      <c r="N28" s="36"/>
    </row>
    <row r="29" spans="1:15" ht="19.5" customHeight="1">
      <c r="A29" s="8">
        <v>45102</v>
      </c>
      <c r="B29" s="56"/>
      <c r="C29" s="56"/>
      <c r="D29" s="23">
        <v>213.8</v>
      </c>
      <c r="E29" s="29">
        <v>949</v>
      </c>
      <c r="F29" s="9">
        <v>211.51</v>
      </c>
      <c r="G29" s="11">
        <v>0.71089000000000002</v>
      </c>
      <c r="H29" s="9">
        <v>15</v>
      </c>
      <c r="I29" s="1">
        <v>0</v>
      </c>
      <c r="J29" s="1">
        <v>0</v>
      </c>
      <c r="K29" s="1">
        <v>0</v>
      </c>
      <c r="L29" s="34">
        <v>15</v>
      </c>
      <c r="M29" s="34">
        <f t="shared" si="0"/>
        <v>15</v>
      </c>
      <c r="N29" s="36"/>
    </row>
    <row r="30" spans="1:15" ht="19.5" customHeight="1">
      <c r="A30" s="8">
        <v>45103</v>
      </c>
      <c r="B30" s="56"/>
      <c r="C30" s="56"/>
      <c r="D30" s="23">
        <v>213.8</v>
      </c>
      <c r="E30" s="29">
        <v>949</v>
      </c>
      <c r="F30" s="9">
        <v>211.51</v>
      </c>
      <c r="G30" s="11">
        <v>0.71089000000000002</v>
      </c>
      <c r="H30" s="9">
        <v>15</v>
      </c>
      <c r="I30" s="1">
        <v>0</v>
      </c>
      <c r="J30" s="1">
        <v>0</v>
      </c>
      <c r="K30" s="1">
        <v>0</v>
      </c>
      <c r="L30" s="34">
        <v>15</v>
      </c>
      <c r="M30" s="34">
        <f t="shared" si="0"/>
        <v>15</v>
      </c>
      <c r="N30" s="36"/>
    </row>
    <row r="31" spans="1:15" ht="21" customHeight="1">
      <c r="A31" s="8">
        <v>45104</v>
      </c>
      <c r="B31" s="56"/>
      <c r="C31" s="56"/>
      <c r="D31" s="23">
        <v>213.8</v>
      </c>
      <c r="E31" s="29">
        <v>949</v>
      </c>
      <c r="F31" s="9">
        <v>211.51</v>
      </c>
      <c r="G31" s="11">
        <v>0.71089000000000002</v>
      </c>
      <c r="H31" s="9">
        <v>15</v>
      </c>
      <c r="I31" s="1">
        <v>0</v>
      </c>
      <c r="J31" s="1">
        <v>0</v>
      </c>
      <c r="K31" s="1">
        <v>0</v>
      </c>
      <c r="L31" s="34">
        <v>15</v>
      </c>
      <c r="M31" s="34">
        <f t="shared" si="0"/>
        <v>15</v>
      </c>
      <c r="N31" s="36"/>
    </row>
    <row r="32" spans="1:15" ht="21" customHeight="1">
      <c r="A32" s="8">
        <v>45105</v>
      </c>
      <c r="B32" s="56"/>
      <c r="C32" s="56"/>
      <c r="D32" s="23">
        <v>213.8</v>
      </c>
      <c r="E32" s="29">
        <v>949</v>
      </c>
      <c r="F32" s="9">
        <v>211.51</v>
      </c>
      <c r="G32" s="11">
        <v>0.71089000000000002</v>
      </c>
      <c r="H32" s="9">
        <v>15</v>
      </c>
      <c r="I32" s="1">
        <v>0</v>
      </c>
      <c r="J32" s="1">
        <v>0</v>
      </c>
      <c r="K32" s="1">
        <v>0</v>
      </c>
      <c r="L32" s="34">
        <v>15</v>
      </c>
      <c r="M32" s="34">
        <f t="shared" si="0"/>
        <v>15</v>
      </c>
      <c r="N32" s="36"/>
    </row>
    <row r="33" spans="1:15" ht="21" customHeight="1">
      <c r="A33" s="8">
        <v>45106</v>
      </c>
      <c r="B33" s="56"/>
      <c r="C33" s="56"/>
      <c r="D33" s="23">
        <v>213.8</v>
      </c>
      <c r="E33" s="29">
        <v>949</v>
      </c>
      <c r="F33" s="9">
        <v>211.51</v>
      </c>
      <c r="G33" s="11">
        <v>0.71089000000000002</v>
      </c>
      <c r="H33" s="9">
        <v>15</v>
      </c>
      <c r="I33" s="1">
        <v>0</v>
      </c>
      <c r="J33" s="1">
        <v>0</v>
      </c>
      <c r="K33" s="1">
        <v>0</v>
      </c>
      <c r="L33" s="34">
        <v>15</v>
      </c>
      <c r="M33" s="34">
        <f t="shared" si="0"/>
        <v>15</v>
      </c>
      <c r="N33" s="36"/>
    </row>
    <row r="34" spans="1:15" ht="21" customHeight="1">
      <c r="A34" s="8">
        <v>45107</v>
      </c>
      <c r="B34" s="57"/>
      <c r="C34" s="57"/>
      <c r="D34" s="24">
        <v>213.8</v>
      </c>
      <c r="E34" s="29">
        <v>949</v>
      </c>
      <c r="F34" s="9">
        <v>211.51</v>
      </c>
      <c r="G34" s="11">
        <v>0.71089000000000002</v>
      </c>
      <c r="H34" s="9">
        <v>15</v>
      </c>
      <c r="I34" s="1">
        <v>0</v>
      </c>
      <c r="J34" s="1">
        <v>0</v>
      </c>
      <c r="K34" s="1">
        <v>0</v>
      </c>
      <c r="L34" s="34">
        <v>15</v>
      </c>
      <c r="M34" s="34">
        <f t="shared" si="0"/>
        <v>15</v>
      </c>
      <c r="N34" s="36"/>
    </row>
    <row r="35" spans="1:15" ht="21" customHeight="1">
      <c r="A35" s="12"/>
      <c r="B35" s="13"/>
      <c r="C35" s="13"/>
      <c r="D35" s="14"/>
      <c r="E35" s="31"/>
      <c r="F35" s="15"/>
      <c r="G35" s="14"/>
      <c r="H35" s="16">
        <f>SUM(H5:H34)</f>
        <v>366</v>
      </c>
      <c r="I35" s="16">
        <f t="shared" ref="I35:M35" si="1">SUM(I5:I34)</f>
        <v>0</v>
      </c>
      <c r="J35" s="16">
        <f t="shared" si="1"/>
        <v>0</v>
      </c>
      <c r="K35" s="16">
        <f t="shared" si="1"/>
        <v>0</v>
      </c>
      <c r="L35" s="16">
        <f t="shared" si="1"/>
        <v>450</v>
      </c>
      <c r="M35" s="16">
        <f t="shared" si="1"/>
        <v>450</v>
      </c>
      <c r="N35" s="18"/>
      <c r="O35" s="20"/>
    </row>
    <row r="36" spans="1:15" ht="47.25" customHeight="1">
      <c r="A36" s="3"/>
      <c r="B36" s="4"/>
      <c r="C36" s="5"/>
      <c r="D36" s="5"/>
      <c r="E36" s="5"/>
      <c r="F36" s="5"/>
      <c r="G36" s="5"/>
      <c r="H36" s="5">
        <f>H35/11574</f>
        <v>3.1622602384655259E-2</v>
      </c>
      <c r="I36" s="5"/>
      <c r="J36" s="5">
        <f>J35/11574</f>
        <v>0</v>
      </c>
      <c r="K36" s="5">
        <f>K35/11574</f>
        <v>0</v>
      </c>
      <c r="L36" s="27"/>
      <c r="M36" s="27"/>
      <c r="N36" s="7"/>
    </row>
    <row r="37" spans="1:15" ht="15.75" customHeight="1">
      <c r="A37" s="58" t="s">
        <v>9</v>
      </c>
      <c r="B37" s="53"/>
      <c r="C37" s="53"/>
      <c r="D37" s="53"/>
      <c r="J37" s="58" t="s">
        <v>10</v>
      </c>
      <c r="K37" s="53"/>
      <c r="L37" s="53"/>
      <c r="M37" s="53"/>
      <c r="N37" s="7"/>
    </row>
    <row r="38" spans="1:15" ht="15.75" customHeight="1">
      <c r="A38" s="59" t="s">
        <v>16</v>
      </c>
      <c r="B38" s="53"/>
      <c r="C38" s="53"/>
      <c r="D38" s="53"/>
      <c r="J38" s="59" t="s">
        <v>16</v>
      </c>
      <c r="K38" s="53"/>
      <c r="L38" s="53"/>
      <c r="M38" s="53"/>
      <c r="N38" s="7"/>
    </row>
    <row r="39" spans="1:15" ht="15.75" customHeight="1">
      <c r="A39" s="52" t="s">
        <v>17</v>
      </c>
      <c r="B39" s="53"/>
      <c r="C39" s="53"/>
      <c r="D39" s="53"/>
      <c r="J39" s="52" t="s">
        <v>17</v>
      </c>
      <c r="K39" s="53"/>
      <c r="L39" s="53"/>
      <c r="M39" s="53"/>
      <c r="N39" s="7"/>
    </row>
    <row r="40" spans="1:15" ht="15.75" customHeight="1"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</sheetData>
  <mergeCells count="20">
    <mergeCell ref="A39:D39"/>
    <mergeCell ref="J39:M39"/>
    <mergeCell ref="N3:N4"/>
    <mergeCell ref="B5:B34"/>
    <mergeCell ref="C5:C34"/>
    <mergeCell ref="A37:D37"/>
    <mergeCell ref="J37:M37"/>
    <mergeCell ref="A38:D38"/>
    <mergeCell ref="J38:M38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02"/>
  <sheetViews>
    <sheetView topLeftCell="A18" workbookViewId="0">
      <selection activeCell="N36" sqref="N36"/>
    </sheetView>
  </sheetViews>
  <sheetFormatPr defaultColWidth="14.42578125" defaultRowHeight="15" customHeight="1"/>
  <cols>
    <col min="1" max="1" width="12.42578125" style="26" customWidth="1"/>
    <col min="2" max="2" width="6.28515625" style="26" customWidth="1"/>
    <col min="3" max="3" width="5.140625" style="26" customWidth="1"/>
    <col min="4" max="4" width="10" style="26" customWidth="1"/>
    <col min="5" max="5" width="10" style="28" customWidth="1"/>
    <col min="6" max="7" width="8.7109375" style="26" customWidth="1"/>
    <col min="8" max="8" width="9.85546875" style="26" customWidth="1"/>
    <col min="9" max="9" width="8.7109375" style="26" customWidth="1"/>
    <col min="10" max="10" width="8.42578125" style="26" customWidth="1"/>
    <col min="11" max="11" width="8.7109375" style="26" customWidth="1"/>
    <col min="12" max="12" width="6.42578125" style="26" customWidth="1"/>
    <col min="13" max="13" width="8.5703125" style="26" customWidth="1"/>
    <col min="14" max="14" width="8.85546875" style="26" customWidth="1"/>
    <col min="15" max="16384" width="14.42578125" style="26"/>
  </cols>
  <sheetData>
    <row r="1" spans="1:14" ht="14.25" customHeight="1">
      <c r="A1" s="39" t="s">
        <v>27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1"/>
    </row>
    <row r="2" spans="1:14" ht="15.75" customHeight="1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4"/>
    </row>
    <row r="3" spans="1:14" ht="14.25" customHeight="1">
      <c r="A3" s="45" t="s">
        <v>0</v>
      </c>
      <c r="B3" s="47" t="s">
        <v>1</v>
      </c>
      <c r="C3" s="47" t="s">
        <v>2</v>
      </c>
      <c r="D3" s="45" t="s">
        <v>3</v>
      </c>
      <c r="E3" s="45" t="s">
        <v>20</v>
      </c>
      <c r="F3" s="45" t="s">
        <v>4</v>
      </c>
      <c r="G3" s="45" t="s">
        <v>19</v>
      </c>
      <c r="H3" s="45" t="s">
        <v>5</v>
      </c>
      <c r="I3" s="48" t="s">
        <v>6</v>
      </c>
      <c r="J3" s="49"/>
      <c r="K3" s="49"/>
      <c r="L3" s="49"/>
      <c r="M3" s="50" t="s">
        <v>7</v>
      </c>
      <c r="N3" s="54" t="s">
        <v>8</v>
      </c>
    </row>
    <row r="4" spans="1:14" ht="51.75" customHeight="1">
      <c r="A4" s="46"/>
      <c r="B4" s="46"/>
      <c r="C4" s="46"/>
      <c r="D4" s="46"/>
      <c r="E4" s="51"/>
      <c r="F4" s="46"/>
      <c r="G4" s="46"/>
      <c r="H4" s="46"/>
      <c r="I4" s="10" t="s">
        <v>15</v>
      </c>
      <c r="J4" s="10" t="s">
        <v>13</v>
      </c>
      <c r="K4" s="21" t="s">
        <v>18</v>
      </c>
      <c r="L4" s="10" t="s">
        <v>14</v>
      </c>
      <c r="M4" s="46"/>
      <c r="N4" s="46"/>
    </row>
    <row r="5" spans="1:14" ht="19.5" customHeight="1">
      <c r="A5" s="8">
        <v>45108</v>
      </c>
      <c r="B5" s="55" t="s">
        <v>11</v>
      </c>
      <c r="C5" s="55" t="s">
        <v>12</v>
      </c>
      <c r="D5" s="23">
        <v>213.8</v>
      </c>
      <c r="E5" s="29">
        <v>949</v>
      </c>
      <c r="F5" s="33">
        <v>211.51</v>
      </c>
      <c r="G5" s="11">
        <v>0.71</v>
      </c>
      <c r="H5" s="9">
        <v>15</v>
      </c>
      <c r="I5" s="1">
        <v>0</v>
      </c>
      <c r="J5" s="1">
        <v>0</v>
      </c>
      <c r="K5" s="1">
        <v>0</v>
      </c>
      <c r="L5" s="34">
        <v>15</v>
      </c>
      <c r="M5" s="34">
        <f>I5+J5+K5+L5</f>
        <v>15</v>
      </c>
      <c r="N5" s="36"/>
    </row>
    <row r="6" spans="1:14" ht="19.5" customHeight="1">
      <c r="A6" s="8">
        <v>45109</v>
      </c>
      <c r="B6" s="56"/>
      <c r="C6" s="56"/>
      <c r="D6" s="23">
        <v>213.8</v>
      </c>
      <c r="E6" s="29">
        <v>949</v>
      </c>
      <c r="F6" s="33">
        <v>211.51</v>
      </c>
      <c r="G6" s="11">
        <v>0.71</v>
      </c>
      <c r="H6" s="9">
        <v>15</v>
      </c>
      <c r="I6" s="1">
        <v>0</v>
      </c>
      <c r="J6" s="1">
        <v>0</v>
      </c>
      <c r="K6" s="1">
        <v>0</v>
      </c>
      <c r="L6" s="34">
        <v>15</v>
      </c>
      <c r="M6" s="34">
        <f t="shared" ref="M6:M35" si="0">I6+J6+K6+L6</f>
        <v>15</v>
      </c>
      <c r="N6" s="36"/>
    </row>
    <row r="7" spans="1:14" ht="19.5" customHeight="1">
      <c r="A7" s="8">
        <v>45110</v>
      </c>
      <c r="B7" s="56"/>
      <c r="C7" s="56"/>
      <c r="D7" s="23">
        <v>213.8</v>
      </c>
      <c r="E7" s="29">
        <v>949</v>
      </c>
      <c r="F7" s="33">
        <v>211.51</v>
      </c>
      <c r="G7" s="11">
        <v>0.71</v>
      </c>
      <c r="H7" s="9">
        <v>15</v>
      </c>
      <c r="I7" s="1">
        <v>0</v>
      </c>
      <c r="J7" s="1">
        <v>0</v>
      </c>
      <c r="K7" s="1">
        <v>0</v>
      </c>
      <c r="L7" s="34">
        <v>15</v>
      </c>
      <c r="M7" s="34">
        <f t="shared" si="0"/>
        <v>15</v>
      </c>
      <c r="N7" s="36"/>
    </row>
    <row r="8" spans="1:14" ht="19.5" customHeight="1">
      <c r="A8" s="8">
        <v>45111</v>
      </c>
      <c r="B8" s="56"/>
      <c r="C8" s="56"/>
      <c r="D8" s="23">
        <v>213.8</v>
      </c>
      <c r="E8" s="29">
        <v>949</v>
      </c>
      <c r="F8" s="33">
        <v>211.55</v>
      </c>
      <c r="G8" s="11">
        <v>0.71499999999999997</v>
      </c>
      <c r="H8" s="9">
        <v>64</v>
      </c>
      <c r="I8" s="1">
        <v>0</v>
      </c>
      <c r="J8" s="1">
        <v>0</v>
      </c>
      <c r="K8" s="1">
        <v>0</v>
      </c>
      <c r="L8" s="34">
        <v>15</v>
      </c>
      <c r="M8" s="34">
        <f t="shared" si="0"/>
        <v>15</v>
      </c>
      <c r="N8" s="36"/>
    </row>
    <row r="9" spans="1:14" ht="19.5" customHeight="1">
      <c r="A9" s="8">
        <v>45112</v>
      </c>
      <c r="B9" s="56"/>
      <c r="C9" s="56"/>
      <c r="D9" s="23">
        <v>213.8</v>
      </c>
      <c r="E9" s="29">
        <v>949</v>
      </c>
      <c r="F9" s="33">
        <v>211.6</v>
      </c>
      <c r="G9" s="11">
        <v>0.71899999999999997</v>
      </c>
      <c r="H9" s="9">
        <v>62</v>
      </c>
      <c r="I9" s="1">
        <v>0</v>
      </c>
      <c r="J9" s="1">
        <v>0</v>
      </c>
      <c r="K9" s="1">
        <v>0</v>
      </c>
      <c r="L9" s="34">
        <v>15</v>
      </c>
      <c r="M9" s="34">
        <f t="shared" si="0"/>
        <v>15</v>
      </c>
      <c r="N9" s="36"/>
    </row>
    <row r="10" spans="1:14" ht="19.5" customHeight="1">
      <c r="A10" s="8">
        <v>45113</v>
      </c>
      <c r="B10" s="56"/>
      <c r="C10" s="56"/>
      <c r="D10" s="23">
        <v>213.8</v>
      </c>
      <c r="E10" s="29">
        <v>949</v>
      </c>
      <c r="F10" s="33">
        <v>211.77</v>
      </c>
      <c r="G10" s="11">
        <v>0.73599999999999999</v>
      </c>
      <c r="H10" s="9">
        <v>221</v>
      </c>
      <c r="I10" s="1">
        <v>0</v>
      </c>
      <c r="J10" s="1">
        <v>0</v>
      </c>
      <c r="K10" s="1">
        <v>0</v>
      </c>
      <c r="L10" s="34">
        <v>15</v>
      </c>
      <c r="M10" s="34">
        <f t="shared" si="0"/>
        <v>15</v>
      </c>
      <c r="N10" s="36"/>
    </row>
    <row r="11" spans="1:14" ht="19.5" customHeight="1">
      <c r="A11" s="8">
        <v>45114</v>
      </c>
      <c r="B11" s="56"/>
      <c r="C11" s="56"/>
      <c r="D11" s="23">
        <v>213.8</v>
      </c>
      <c r="E11" s="29">
        <v>949</v>
      </c>
      <c r="F11" s="33">
        <v>211.8</v>
      </c>
      <c r="G11" s="11">
        <v>0.74</v>
      </c>
      <c r="H11" s="9">
        <v>51</v>
      </c>
      <c r="I11" s="1">
        <v>0</v>
      </c>
      <c r="J11" s="1">
        <v>0</v>
      </c>
      <c r="K11" s="1">
        <v>0</v>
      </c>
      <c r="L11" s="34">
        <v>15</v>
      </c>
      <c r="M11" s="34">
        <f t="shared" si="0"/>
        <v>15</v>
      </c>
      <c r="N11" s="36"/>
    </row>
    <row r="12" spans="1:14" ht="19.5" customHeight="1">
      <c r="A12" s="8">
        <v>45115</v>
      </c>
      <c r="B12" s="56"/>
      <c r="C12" s="56"/>
      <c r="D12" s="23">
        <v>213.8</v>
      </c>
      <c r="E12" s="29">
        <v>949</v>
      </c>
      <c r="F12" s="33">
        <v>211.8</v>
      </c>
      <c r="G12" s="11">
        <v>0.74</v>
      </c>
      <c r="H12" s="9">
        <v>15</v>
      </c>
      <c r="I12" s="1">
        <v>0</v>
      </c>
      <c r="J12" s="1">
        <v>0</v>
      </c>
      <c r="K12" s="1">
        <v>0</v>
      </c>
      <c r="L12" s="34">
        <v>15</v>
      </c>
      <c r="M12" s="34">
        <f t="shared" si="0"/>
        <v>15</v>
      </c>
      <c r="N12" s="36"/>
    </row>
    <row r="13" spans="1:14" ht="19.5" customHeight="1">
      <c r="A13" s="8">
        <v>45116</v>
      </c>
      <c r="B13" s="56"/>
      <c r="C13" s="56"/>
      <c r="D13" s="23">
        <v>213.8</v>
      </c>
      <c r="E13" s="29">
        <v>949</v>
      </c>
      <c r="F13" s="33">
        <v>211.8</v>
      </c>
      <c r="G13" s="11">
        <v>0.74</v>
      </c>
      <c r="H13" s="9">
        <v>15</v>
      </c>
      <c r="I13" s="1">
        <v>0</v>
      </c>
      <c r="J13" s="1">
        <v>0</v>
      </c>
      <c r="K13" s="1">
        <v>0</v>
      </c>
      <c r="L13" s="34">
        <v>15</v>
      </c>
      <c r="M13" s="34">
        <f t="shared" si="0"/>
        <v>15</v>
      </c>
      <c r="N13" s="36"/>
    </row>
    <row r="14" spans="1:14" ht="19.5" customHeight="1">
      <c r="A14" s="8">
        <v>45117</v>
      </c>
      <c r="B14" s="56"/>
      <c r="C14" s="56"/>
      <c r="D14" s="23">
        <v>213.8</v>
      </c>
      <c r="E14" s="29">
        <v>949</v>
      </c>
      <c r="F14" s="33">
        <v>211.83</v>
      </c>
      <c r="G14" s="11">
        <v>0.74299999999999999</v>
      </c>
      <c r="H14" s="9">
        <v>51</v>
      </c>
      <c r="I14" s="1">
        <v>0</v>
      </c>
      <c r="J14" s="1">
        <v>0</v>
      </c>
      <c r="K14" s="1">
        <v>0</v>
      </c>
      <c r="L14" s="34">
        <v>15</v>
      </c>
      <c r="M14" s="34">
        <f t="shared" si="0"/>
        <v>15</v>
      </c>
      <c r="N14" s="36"/>
    </row>
    <row r="15" spans="1:14" ht="19.5" customHeight="1">
      <c r="A15" s="8">
        <v>45118</v>
      </c>
      <c r="B15" s="56"/>
      <c r="C15" s="56"/>
      <c r="D15" s="23">
        <v>213.8</v>
      </c>
      <c r="E15" s="29">
        <v>949</v>
      </c>
      <c r="F15" s="33">
        <v>211.85</v>
      </c>
      <c r="G15" s="11">
        <v>0.745</v>
      </c>
      <c r="H15" s="9">
        <v>69</v>
      </c>
      <c r="I15" s="1">
        <v>0</v>
      </c>
      <c r="J15" s="1">
        <v>0</v>
      </c>
      <c r="K15" s="1">
        <v>30</v>
      </c>
      <c r="L15" s="34">
        <v>15</v>
      </c>
      <c r="M15" s="34">
        <f t="shared" si="0"/>
        <v>45</v>
      </c>
      <c r="N15" s="36"/>
    </row>
    <row r="16" spans="1:14" ht="19.5" customHeight="1">
      <c r="A16" s="8">
        <v>45119</v>
      </c>
      <c r="B16" s="56"/>
      <c r="C16" s="56"/>
      <c r="D16" s="23">
        <v>213.8</v>
      </c>
      <c r="E16" s="29">
        <v>949</v>
      </c>
      <c r="F16" s="33">
        <v>211.89</v>
      </c>
      <c r="G16" s="11">
        <v>0.749</v>
      </c>
      <c r="H16" s="9">
        <v>93</v>
      </c>
      <c r="I16" s="1">
        <v>0</v>
      </c>
      <c r="J16" s="1">
        <v>0</v>
      </c>
      <c r="K16" s="1">
        <v>30</v>
      </c>
      <c r="L16" s="34">
        <v>15</v>
      </c>
      <c r="M16" s="34">
        <f t="shared" si="0"/>
        <v>45</v>
      </c>
      <c r="N16" s="36"/>
    </row>
    <row r="17" spans="1:15" ht="19.5" customHeight="1">
      <c r="A17" s="8">
        <v>45120</v>
      </c>
      <c r="B17" s="56"/>
      <c r="C17" s="56"/>
      <c r="D17" s="23">
        <v>213.8</v>
      </c>
      <c r="E17" s="29">
        <v>949</v>
      </c>
      <c r="F17" s="33">
        <v>211.94</v>
      </c>
      <c r="G17" s="11">
        <v>0.755</v>
      </c>
      <c r="H17" s="9">
        <v>126</v>
      </c>
      <c r="I17" s="1">
        <v>0</v>
      </c>
      <c r="J17" s="1">
        <v>0</v>
      </c>
      <c r="K17" s="1">
        <v>50</v>
      </c>
      <c r="L17" s="34">
        <v>15</v>
      </c>
      <c r="M17" s="34">
        <f t="shared" si="0"/>
        <v>65</v>
      </c>
      <c r="N17" s="36"/>
    </row>
    <row r="18" spans="1:15" ht="19.5" customHeight="1">
      <c r="A18" s="8">
        <v>45121</v>
      </c>
      <c r="B18" s="56"/>
      <c r="C18" s="56"/>
      <c r="D18" s="23">
        <v>213.8</v>
      </c>
      <c r="E18" s="29">
        <v>949</v>
      </c>
      <c r="F18" s="33">
        <v>212</v>
      </c>
      <c r="G18" s="11">
        <v>0.76100000000000001</v>
      </c>
      <c r="H18" s="9">
        <v>138</v>
      </c>
      <c r="I18" s="1">
        <v>0</v>
      </c>
      <c r="J18" s="1">
        <v>0</v>
      </c>
      <c r="K18" s="1">
        <v>50</v>
      </c>
      <c r="L18" s="34">
        <v>15</v>
      </c>
      <c r="M18" s="34">
        <f t="shared" si="0"/>
        <v>65</v>
      </c>
      <c r="N18" s="36"/>
    </row>
    <row r="19" spans="1:15" ht="19.5" customHeight="1">
      <c r="A19" s="8">
        <v>45122</v>
      </c>
      <c r="B19" s="56"/>
      <c r="C19" s="56"/>
      <c r="D19" s="23">
        <v>213.8</v>
      </c>
      <c r="E19" s="29">
        <v>949</v>
      </c>
      <c r="F19" s="33">
        <v>212.04</v>
      </c>
      <c r="G19" s="11">
        <v>0.76500000000000001</v>
      </c>
      <c r="H19" s="9">
        <v>123</v>
      </c>
      <c r="I19" s="1">
        <v>0</v>
      </c>
      <c r="J19" s="1">
        <v>0</v>
      </c>
      <c r="K19" s="1">
        <v>60</v>
      </c>
      <c r="L19" s="34">
        <v>15</v>
      </c>
      <c r="M19" s="34">
        <f t="shared" si="0"/>
        <v>75</v>
      </c>
      <c r="N19" s="36"/>
    </row>
    <row r="20" spans="1:15" ht="19.5" customHeight="1">
      <c r="A20" s="8">
        <v>45123</v>
      </c>
      <c r="B20" s="56"/>
      <c r="C20" s="56"/>
      <c r="D20" s="23">
        <v>213.8</v>
      </c>
      <c r="E20" s="29">
        <v>949</v>
      </c>
      <c r="F20" s="33">
        <v>212.04</v>
      </c>
      <c r="G20" s="11">
        <v>0.76500000000000001</v>
      </c>
      <c r="H20" s="9">
        <v>75</v>
      </c>
      <c r="I20" s="1">
        <v>0</v>
      </c>
      <c r="J20" s="1">
        <v>0</v>
      </c>
      <c r="K20" s="1">
        <v>60</v>
      </c>
      <c r="L20" s="34">
        <v>15</v>
      </c>
      <c r="M20" s="34">
        <f t="shared" si="0"/>
        <v>75</v>
      </c>
      <c r="N20" s="36"/>
    </row>
    <row r="21" spans="1:15" ht="19.5" customHeight="1">
      <c r="A21" s="8">
        <v>45124</v>
      </c>
      <c r="B21" s="56"/>
      <c r="C21" s="56"/>
      <c r="D21" s="23">
        <v>213.8</v>
      </c>
      <c r="E21" s="29">
        <v>949</v>
      </c>
      <c r="F21" s="33">
        <v>212.04</v>
      </c>
      <c r="G21" s="11">
        <v>0.76500000000000001</v>
      </c>
      <c r="H21" s="9">
        <v>75</v>
      </c>
      <c r="I21" s="1">
        <v>0</v>
      </c>
      <c r="J21" s="1">
        <v>0</v>
      </c>
      <c r="K21" s="1">
        <v>60</v>
      </c>
      <c r="L21" s="34">
        <v>15</v>
      </c>
      <c r="M21" s="34">
        <f t="shared" si="0"/>
        <v>75</v>
      </c>
      <c r="N21" s="36"/>
    </row>
    <row r="22" spans="1:15" ht="19.5" customHeight="1">
      <c r="A22" s="8">
        <v>45125</v>
      </c>
      <c r="B22" s="56"/>
      <c r="C22" s="56"/>
      <c r="D22" s="23">
        <v>213.8</v>
      </c>
      <c r="E22" s="29">
        <v>949</v>
      </c>
      <c r="F22" s="33">
        <v>212.07</v>
      </c>
      <c r="G22" s="11">
        <v>0.76800000000000002</v>
      </c>
      <c r="H22" s="9">
        <v>111</v>
      </c>
      <c r="I22" s="1">
        <v>0</v>
      </c>
      <c r="J22" s="1">
        <v>0</v>
      </c>
      <c r="K22" s="1">
        <v>60</v>
      </c>
      <c r="L22" s="34">
        <v>15</v>
      </c>
      <c r="M22" s="34">
        <f t="shared" si="0"/>
        <v>75</v>
      </c>
      <c r="N22" s="36"/>
    </row>
    <row r="23" spans="1:15" ht="19.5" customHeight="1">
      <c r="A23" s="8">
        <v>45126</v>
      </c>
      <c r="B23" s="56"/>
      <c r="C23" s="56"/>
      <c r="D23" s="23">
        <v>213.8</v>
      </c>
      <c r="E23" s="29">
        <v>949</v>
      </c>
      <c r="F23" s="33">
        <v>212.2</v>
      </c>
      <c r="G23" s="11">
        <v>0.78200000000000003</v>
      </c>
      <c r="H23" s="9">
        <v>232</v>
      </c>
      <c r="I23" s="1">
        <v>0</v>
      </c>
      <c r="J23" s="1">
        <v>0</v>
      </c>
      <c r="K23" s="1">
        <v>60</v>
      </c>
      <c r="L23" s="34">
        <v>15</v>
      </c>
      <c r="M23" s="34">
        <f t="shared" si="0"/>
        <v>75</v>
      </c>
      <c r="N23" s="36"/>
    </row>
    <row r="24" spans="1:15" ht="19.5" customHeight="1">
      <c r="A24" s="8">
        <v>45127</v>
      </c>
      <c r="B24" s="56"/>
      <c r="C24" s="56"/>
      <c r="D24" s="23">
        <v>213.8</v>
      </c>
      <c r="E24" s="29">
        <v>949</v>
      </c>
      <c r="F24" s="33">
        <v>212.26</v>
      </c>
      <c r="G24" s="11">
        <v>0.78800000000000003</v>
      </c>
      <c r="H24" s="9">
        <v>148</v>
      </c>
      <c r="I24" s="1">
        <v>0</v>
      </c>
      <c r="J24" s="1">
        <v>0</v>
      </c>
      <c r="K24" s="1">
        <v>60</v>
      </c>
      <c r="L24" s="34">
        <v>15</v>
      </c>
      <c r="M24" s="34">
        <f t="shared" si="0"/>
        <v>75</v>
      </c>
      <c r="N24" s="36"/>
    </row>
    <row r="25" spans="1:15" ht="19.5" customHeight="1">
      <c r="A25" s="8">
        <v>45128</v>
      </c>
      <c r="B25" s="56"/>
      <c r="C25" s="56"/>
      <c r="D25" s="23">
        <v>213.8</v>
      </c>
      <c r="E25" s="29">
        <v>949</v>
      </c>
      <c r="F25" s="33">
        <v>212.3</v>
      </c>
      <c r="G25" s="11">
        <v>0.79200000000000004</v>
      </c>
      <c r="H25" s="9">
        <v>124</v>
      </c>
      <c r="I25" s="1">
        <v>0</v>
      </c>
      <c r="J25" s="1">
        <v>0</v>
      </c>
      <c r="K25" s="1">
        <v>60</v>
      </c>
      <c r="L25" s="34">
        <v>15</v>
      </c>
      <c r="M25" s="34">
        <f t="shared" si="0"/>
        <v>75</v>
      </c>
      <c r="N25" s="36"/>
    </row>
    <row r="26" spans="1:15" ht="19.5" customHeight="1">
      <c r="A26" s="8">
        <v>45129</v>
      </c>
      <c r="B26" s="56"/>
      <c r="C26" s="56"/>
      <c r="D26" s="23">
        <v>213.8</v>
      </c>
      <c r="E26" s="29">
        <v>949</v>
      </c>
      <c r="F26" s="33">
        <v>212.32</v>
      </c>
      <c r="G26" s="11">
        <v>0.79400000000000004</v>
      </c>
      <c r="H26" s="9">
        <v>99</v>
      </c>
      <c r="I26" s="1">
        <v>0</v>
      </c>
      <c r="J26" s="1">
        <v>0</v>
      </c>
      <c r="K26" s="1">
        <v>60</v>
      </c>
      <c r="L26" s="34">
        <v>15</v>
      </c>
      <c r="M26" s="34">
        <f t="shared" si="0"/>
        <v>75</v>
      </c>
      <c r="N26" s="36"/>
      <c r="O26" s="19"/>
    </row>
    <row r="27" spans="1:15" ht="19.5" customHeight="1">
      <c r="A27" s="8">
        <v>45130</v>
      </c>
      <c r="B27" s="56"/>
      <c r="C27" s="56"/>
      <c r="D27" s="23">
        <v>213.8</v>
      </c>
      <c r="E27" s="29">
        <v>949</v>
      </c>
      <c r="F27" s="33">
        <v>212.34</v>
      </c>
      <c r="G27" s="11">
        <v>0.79600000000000004</v>
      </c>
      <c r="H27" s="9">
        <v>99</v>
      </c>
      <c r="I27" s="1">
        <v>0</v>
      </c>
      <c r="J27" s="1">
        <v>0</v>
      </c>
      <c r="K27" s="1">
        <v>60</v>
      </c>
      <c r="L27" s="34">
        <v>15</v>
      </c>
      <c r="M27" s="34">
        <f t="shared" si="0"/>
        <v>75</v>
      </c>
      <c r="N27" s="36"/>
    </row>
    <row r="28" spans="1:15" ht="19.5" customHeight="1">
      <c r="A28" s="8">
        <v>45131</v>
      </c>
      <c r="B28" s="56"/>
      <c r="C28" s="56"/>
      <c r="D28" s="23">
        <v>213.8</v>
      </c>
      <c r="E28" s="29">
        <v>949</v>
      </c>
      <c r="F28" s="33">
        <v>212.36</v>
      </c>
      <c r="G28" s="11">
        <v>0.79800000000000004</v>
      </c>
      <c r="H28" s="9">
        <v>99</v>
      </c>
      <c r="I28" s="1">
        <v>0</v>
      </c>
      <c r="J28" s="1">
        <v>0</v>
      </c>
      <c r="K28" s="1">
        <v>60</v>
      </c>
      <c r="L28" s="34">
        <v>15</v>
      </c>
      <c r="M28" s="34">
        <f t="shared" si="0"/>
        <v>75</v>
      </c>
      <c r="N28" s="36"/>
    </row>
    <row r="29" spans="1:15" ht="19.5" customHeight="1">
      <c r="A29" s="8">
        <v>45132</v>
      </c>
      <c r="B29" s="56"/>
      <c r="C29" s="56"/>
      <c r="D29" s="23">
        <v>213.8</v>
      </c>
      <c r="E29" s="29">
        <v>949</v>
      </c>
      <c r="F29" s="33">
        <v>212.71</v>
      </c>
      <c r="G29" s="11">
        <v>0.83499999999999996</v>
      </c>
      <c r="H29" s="9">
        <v>498</v>
      </c>
      <c r="I29" s="1">
        <v>0</v>
      </c>
      <c r="J29" s="1">
        <v>0</v>
      </c>
      <c r="K29" s="1">
        <v>60</v>
      </c>
      <c r="L29" s="34">
        <v>15</v>
      </c>
      <c r="M29" s="34">
        <f t="shared" si="0"/>
        <v>75</v>
      </c>
      <c r="N29" s="36"/>
    </row>
    <row r="30" spans="1:15" ht="19.5" customHeight="1">
      <c r="A30" s="8">
        <v>45133</v>
      </c>
      <c r="B30" s="56"/>
      <c r="C30" s="56"/>
      <c r="D30" s="23">
        <v>213.8</v>
      </c>
      <c r="E30" s="29">
        <v>949</v>
      </c>
      <c r="F30" s="33">
        <v>212.8</v>
      </c>
      <c r="G30" s="11">
        <v>0.84399999999999997</v>
      </c>
      <c r="H30" s="9">
        <v>184</v>
      </c>
      <c r="I30" s="1">
        <v>0</v>
      </c>
      <c r="J30" s="1">
        <v>0</v>
      </c>
      <c r="K30" s="1">
        <v>60</v>
      </c>
      <c r="L30" s="34">
        <v>15</v>
      </c>
      <c r="M30" s="34">
        <f t="shared" si="0"/>
        <v>75</v>
      </c>
      <c r="N30" s="36"/>
    </row>
    <row r="31" spans="1:15" ht="21" customHeight="1">
      <c r="A31" s="8">
        <v>45134</v>
      </c>
      <c r="B31" s="56"/>
      <c r="C31" s="56"/>
      <c r="D31" s="23">
        <v>213.8</v>
      </c>
      <c r="E31" s="29">
        <v>949</v>
      </c>
      <c r="F31" s="33">
        <v>213.1</v>
      </c>
      <c r="G31" s="11">
        <v>0.876</v>
      </c>
      <c r="H31" s="9">
        <v>438</v>
      </c>
      <c r="I31" s="1">
        <v>0</v>
      </c>
      <c r="J31" s="1">
        <v>0</v>
      </c>
      <c r="K31" s="1">
        <v>60</v>
      </c>
      <c r="L31" s="34">
        <v>15</v>
      </c>
      <c r="M31" s="34">
        <f t="shared" si="0"/>
        <v>75</v>
      </c>
      <c r="N31" s="36"/>
    </row>
    <row r="32" spans="1:15" ht="21" customHeight="1">
      <c r="A32" s="8">
        <v>45135</v>
      </c>
      <c r="B32" s="56"/>
      <c r="C32" s="56"/>
      <c r="D32" s="23">
        <v>213.8</v>
      </c>
      <c r="E32" s="29">
        <v>949</v>
      </c>
      <c r="F32" s="33">
        <v>213.25</v>
      </c>
      <c r="G32" s="11">
        <v>0.89100000000000001</v>
      </c>
      <c r="H32" s="9">
        <v>302</v>
      </c>
      <c r="I32" s="1">
        <v>0</v>
      </c>
      <c r="J32" s="1">
        <v>60</v>
      </c>
      <c r="K32" s="1">
        <v>60</v>
      </c>
      <c r="L32" s="34">
        <v>15</v>
      </c>
      <c r="M32" s="34">
        <f t="shared" si="0"/>
        <v>135</v>
      </c>
      <c r="N32" s="36"/>
    </row>
    <row r="33" spans="1:15" ht="21" customHeight="1">
      <c r="A33" s="8">
        <v>45136</v>
      </c>
      <c r="B33" s="56"/>
      <c r="C33" s="56"/>
      <c r="D33" s="23">
        <v>213.8</v>
      </c>
      <c r="E33" s="29">
        <v>949</v>
      </c>
      <c r="F33" s="33">
        <v>213.26</v>
      </c>
      <c r="G33" s="11">
        <v>0.89200000000000002</v>
      </c>
      <c r="H33" s="9">
        <v>147</v>
      </c>
      <c r="I33" s="1">
        <v>0</v>
      </c>
      <c r="J33" s="1">
        <v>75</v>
      </c>
      <c r="K33" s="1">
        <v>60</v>
      </c>
      <c r="L33" s="34">
        <v>0</v>
      </c>
      <c r="M33" s="34">
        <f t="shared" si="0"/>
        <v>135</v>
      </c>
      <c r="N33" s="36"/>
    </row>
    <row r="34" spans="1:15" ht="21" customHeight="1">
      <c r="A34" s="8">
        <v>45137</v>
      </c>
      <c r="B34" s="56"/>
      <c r="C34" s="56"/>
      <c r="D34" s="23">
        <v>213.8</v>
      </c>
      <c r="E34" s="29">
        <v>949</v>
      </c>
      <c r="F34" s="33">
        <v>213.28</v>
      </c>
      <c r="G34" s="11">
        <v>0.89400000000000002</v>
      </c>
      <c r="H34" s="9">
        <v>159</v>
      </c>
      <c r="I34" s="1">
        <v>0</v>
      </c>
      <c r="J34" s="1">
        <v>75</v>
      </c>
      <c r="K34" s="1">
        <v>60</v>
      </c>
      <c r="L34" s="34">
        <v>0</v>
      </c>
      <c r="M34" s="34">
        <f t="shared" si="0"/>
        <v>135</v>
      </c>
      <c r="N34" s="36"/>
    </row>
    <row r="35" spans="1:15" ht="21" customHeight="1">
      <c r="A35" s="8">
        <v>45138</v>
      </c>
      <c r="B35" s="57"/>
      <c r="C35" s="57"/>
      <c r="D35" s="24">
        <v>213.8</v>
      </c>
      <c r="E35" s="29">
        <v>949</v>
      </c>
      <c r="F35" s="33">
        <v>213.28</v>
      </c>
      <c r="G35" s="11">
        <v>0.89400000000000002</v>
      </c>
      <c r="H35" s="9">
        <v>135</v>
      </c>
      <c r="I35" s="1">
        <v>0</v>
      </c>
      <c r="J35" s="1">
        <v>75</v>
      </c>
      <c r="K35" s="1">
        <v>60</v>
      </c>
      <c r="L35" s="34">
        <v>0</v>
      </c>
      <c r="M35" s="34">
        <f t="shared" si="0"/>
        <v>135</v>
      </c>
      <c r="N35" s="36"/>
    </row>
    <row r="36" spans="1:15" ht="21" customHeight="1">
      <c r="A36" s="12"/>
      <c r="B36" s="13"/>
      <c r="C36" s="13"/>
      <c r="D36" s="14"/>
      <c r="E36" s="14"/>
      <c r="F36" s="15"/>
      <c r="G36" s="14"/>
      <c r="H36" s="16">
        <f>SUM(H5:H35)</f>
        <v>3998</v>
      </c>
      <c r="I36" s="16"/>
      <c r="J36" s="16">
        <f>SUM(J5:J35)</f>
        <v>285</v>
      </c>
      <c r="K36" s="16">
        <f>SUM(K5:K35)</f>
        <v>1180</v>
      </c>
      <c r="L36" s="16">
        <f>SUM(L5:L35)</f>
        <v>420</v>
      </c>
      <c r="M36" s="17"/>
      <c r="N36" s="18"/>
      <c r="O36" s="20"/>
    </row>
    <row r="37" spans="1:15" ht="47.25" customHeight="1">
      <c r="A37" s="3"/>
      <c r="B37" s="4"/>
      <c r="C37" s="5"/>
      <c r="D37" s="5"/>
      <c r="E37" s="5"/>
      <c r="F37" s="5"/>
      <c r="G37" s="5"/>
      <c r="H37" s="5">
        <f>H36/11574</f>
        <v>0.3454294107482288</v>
      </c>
      <c r="I37" s="5"/>
      <c r="J37" s="5">
        <f>J36/11574</f>
        <v>2.4624157594608606E-2</v>
      </c>
      <c r="K37" s="5">
        <f>K36/11574</f>
        <v>0.10195265249697598</v>
      </c>
      <c r="L37" s="27"/>
      <c r="M37" s="27"/>
      <c r="N37" s="7"/>
    </row>
    <row r="38" spans="1:15" ht="15.75" customHeight="1">
      <c r="A38" s="58" t="s">
        <v>9</v>
      </c>
      <c r="B38" s="53"/>
      <c r="C38" s="53"/>
      <c r="D38" s="53"/>
      <c r="J38" s="58" t="s">
        <v>10</v>
      </c>
      <c r="K38" s="53"/>
      <c r="L38" s="53"/>
      <c r="M38" s="53"/>
      <c r="N38" s="7"/>
    </row>
    <row r="39" spans="1:15" ht="15.75" customHeight="1">
      <c r="A39" s="59" t="s">
        <v>16</v>
      </c>
      <c r="B39" s="53"/>
      <c r="C39" s="53"/>
      <c r="D39" s="53"/>
      <c r="J39" s="59" t="s">
        <v>16</v>
      </c>
      <c r="K39" s="53"/>
      <c r="L39" s="53"/>
      <c r="M39" s="53"/>
      <c r="N39" s="7"/>
    </row>
    <row r="40" spans="1:15" ht="15.75" customHeight="1">
      <c r="A40" s="52" t="s">
        <v>17</v>
      </c>
      <c r="B40" s="53"/>
      <c r="C40" s="53"/>
      <c r="D40" s="53"/>
      <c r="J40" s="52" t="s">
        <v>17</v>
      </c>
      <c r="K40" s="53"/>
      <c r="L40" s="53"/>
      <c r="M40" s="53"/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  <row r="102" spans="14:14" ht="15.75" customHeight="1">
      <c r="N102" s="7"/>
    </row>
  </sheetData>
  <mergeCells count="20">
    <mergeCell ref="A40:D40"/>
    <mergeCell ref="J40:M40"/>
    <mergeCell ref="N3:N4"/>
    <mergeCell ref="B5:B35"/>
    <mergeCell ref="C5:C35"/>
    <mergeCell ref="A38:D38"/>
    <mergeCell ref="J38:M38"/>
    <mergeCell ref="A39:D39"/>
    <mergeCell ref="J39:M39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02"/>
  <sheetViews>
    <sheetView topLeftCell="A16" workbookViewId="0">
      <selection activeCell="J36" sqref="J36:K36"/>
    </sheetView>
  </sheetViews>
  <sheetFormatPr defaultColWidth="14.42578125" defaultRowHeight="15" customHeight="1"/>
  <cols>
    <col min="1" max="1" width="12.42578125" style="26" customWidth="1"/>
    <col min="2" max="2" width="6.28515625" style="26" customWidth="1"/>
    <col min="3" max="3" width="5.140625" style="26" customWidth="1"/>
    <col min="4" max="4" width="10" style="26" customWidth="1"/>
    <col min="5" max="5" width="10" style="28" customWidth="1"/>
    <col min="6" max="7" width="8.7109375" style="26" customWidth="1"/>
    <col min="8" max="8" width="9.85546875" style="26" customWidth="1"/>
    <col min="9" max="9" width="8.7109375" style="26" customWidth="1"/>
    <col min="10" max="10" width="8.42578125" style="26" customWidth="1"/>
    <col min="11" max="11" width="8.7109375" style="26" customWidth="1"/>
    <col min="12" max="12" width="6.42578125" style="26" customWidth="1"/>
    <col min="13" max="13" width="8.5703125" style="26" customWidth="1"/>
    <col min="14" max="14" width="8.85546875" style="26" customWidth="1"/>
    <col min="15" max="16384" width="14.42578125" style="26"/>
  </cols>
  <sheetData>
    <row r="1" spans="1:14" ht="14.25" customHeight="1">
      <c r="A1" s="39" t="s">
        <v>28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1"/>
    </row>
    <row r="2" spans="1:14" ht="15.75" customHeight="1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4"/>
    </row>
    <row r="3" spans="1:14" ht="14.25" customHeight="1">
      <c r="A3" s="45" t="s">
        <v>0</v>
      </c>
      <c r="B3" s="47" t="s">
        <v>1</v>
      </c>
      <c r="C3" s="47" t="s">
        <v>2</v>
      </c>
      <c r="D3" s="45" t="s">
        <v>3</v>
      </c>
      <c r="E3" s="45" t="s">
        <v>20</v>
      </c>
      <c r="F3" s="45" t="s">
        <v>4</v>
      </c>
      <c r="G3" s="45" t="s">
        <v>19</v>
      </c>
      <c r="H3" s="45" t="s">
        <v>5</v>
      </c>
      <c r="I3" s="48" t="s">
        <v>6</v>
      </c>
      <c r="J3" s="49"/>
      <c r="K3" s="49"/>
      <c r="L3" s="49"/>
      <c r="M3" s="50" t="s">
        <v>7</v>
      </c>
      <c r="N3" s="54" t="s">
        <v>8</v>
      </c>
    </row>
    <row r="4" spans="1:14" ht="51.75" customHeight="1">
      <c r="A4" s="46"/>
      <c r="B4" s="46"/>
      <c r="C4" s="46"/>
      <c r="D4" s="46"/>
      <c r="E4" s="51"/>
      <c r="F4" s="46"/>
      <c r="G4" s="46"/>
      <c r="H4" s="46"/>
      <c r="I4" s="10" t="s">
        <v>15</v>
      </c>
      <c r="J4" s="10" t="s">
        <v>13</v>
      </c>
      <c r="K4" s="21" t="s">
        <v>18</v>
      </c>
      <c r="L4" s="10" t="s">
        <v>14</v>
      </c>
      <c r="M4" s="46"/>
      <c r="N4" s="46"/>
    </row>
    <row r="5" spans="1:14" ht="19.5" customHeight="1">
      <c r="A5" s="8">
        <v>45139</v>
      </c>
      <c r="B5" s="55" t="s">
        <v>11</v>
      </c>
      <c r="C5" s="55" t="s">
        <v>12</v>
      </c>
      <c r="D5" s="23">
        <v>213.8</v>
      </c>
      <c r="E5" s="29">
        <v>949</v>
      </c>
      <c r="F5" s="33">
        <v>213.28</v>
      </c>
      <c r="G5" s="11">
        <v>894.82</v>
      </c>
      <c r="H5" s="9">
        <v>145</v>
      </c>
      <c r="I5" s="34">
        <v>0</v>
      </c>
      <c r="J5" s="1">
        <v>75</v>
      </c>
      <c r="K5" s="1">
        <v>70</v>
      </c>
      <c r="L5" s="34">
        <v>0</v>
      </c>
      <c r="M5" s="34">
        <f>+I5+J5+K5+L5</f>
        <v>145</v>
      </c>
      <c r="N5" s="36"/>
    </row>
    <row r="6" spans="1:14" ht="19.5" customHeight="1">
      <c r="A6" s="8">
        <v>45140</v>
      </c>
      <c r="B6" s="56"/>
      <c r="C6" s="56"/>
      <c r="D6" s="23">
        <v>213.8</v>
      </c>
      <c r="E6" s="29">
        <v>949</v>
      </c>
      <c r="F6" s="33">
        <v>213.28</v>
      </c>
      <c r="G6" s="11">
        <v>894.82</v>
      </c>
      <c r="H6" s="9">
        <v>145</v>
      </c>
      <c r="I6" s="34">
        <v>0</v>
      </c>
      <c r="J6" s="1">
        <v>75</v>
      </c>
      <c r="K6" s="1">
        <v>70</v>
      </c>
      <c r="L6" s="34">
        <v>0</v>
      </c>
      <c r="M6" s="34">
        <f t="shared" ref="M6:M35" si="0">+I6+J6+K6+L6</f>
        <v>145</v>
      </c>
      <c r="N6" s="36"/>
    </row>
    <row r="7" spans="1:14" ht="19.5" customHeight="1">
      <c r="A7" s="8">
        <v>45141</v>
      </c>
      <c r="B7" s="56"/>
      <c r="C7" s="56"/>
      <c r="D7" s="23">
        <v>213.8</v>
      </c>
      <c r="E7" s="29">
        <v>949</v>
      </c>
      <c r="F7" s="33">
        <v>213.28</v>
      </c>
      <c r="G7" s="11">
        <v>894.82</v>
      </c>
      <c r="H7" s="9">
        <v>145</v>
      </c>
      <c r="I7" s="34">
        <v>0</v>
      </c>
      <c r="J7" s="1">
        <v>75</v>
      </c>
      <c r="K7" s="1">
        <v>70</v>
      </c>
      <c r="L7" s="34">
        <v>0</v>
      </c>
      <c r="M7" s="34">
        <f t="shared" si="0"/>
        <v>145</v>
      </c>
      <c r="N7" s="36"/>
    </row>
    <row r="8" spans="1:14" ht="19.5" customHeight="1">
      <c r="A8" s="8">
        <v>45142</v>
      </c>
      <c r="B8" s="56"/>
      <c r="C8" s="56"/>
      <c r="D8" s="23">
        <v>213.8</v>
      </c>
      <c r="E8" s="29">
        <v>949</v>
      </c>
      <c r="F8" s="33">
        <v>213.28</v>
      </c>
      <c r="G8" s="11">
        <v>894.82</v>
      </c>
      <c r="H8" s="9">
        <v>145</v>
      </c>
      <c r="I8" s="34">
        <v>0</v>
      </c>
      <c r="J8" s="1">
        <v>75</v>
      </c>
      <c r="K8" s="1">
        <v>70</v>
      </c>
      <c r="L8" s="34">
        <v>0</v>
      </c>
      <c r="M8" s="34">
        <f t="shared" si="0"/>
        <v>145</v>
      </c>
      <c r="N8" s="36"/>
    </row>
    <row r="9" spans="1:14" ht="19.5" customHeight="1">
      <c r="A9" s="8">
        <v>45143</v>
      </c>
      <c r="B9" s="56"/>
      <c r="C9" s="56"/>
      <c r="D9" s="23">
        <v>213.8</v>
      </c>
      <c r="E9" s="29">
        <v>949</v>
      </c>
      <c r="F9" s="33">
        <v>213.28</v>
      </c>
      <c r="G9" s="11">
        <v>894.82</v>
      </c>
      <c r="H9" s="9">
        <v>145</v>
      </c>
      <c r="I9" s="34">
        <v>0</v>
      </c>
      <c r="J9" s="1">
        <v>75</v>
      </c>
      <c r="K9" s="1">
        <v>70</v>
      </c>
      <c r="L9" s="34">
        <v>0</v>
      </c>
      <c r="M9" s="34">
        <f t="shared" si="0"/>
        <v>145</v>
      </c>
      <c r="N9" s="36"/>
    </row>
    <row r="10" spans="1:14" ht="19.5" customHeight="1">
      <c r="A10" s="8">
        <v>45144</v>
      </c>
      <c r="B10" s="56"/>
      <c r="C10" s="56"/>
      <c r="D10" s="23">
        <v>213.8</v>
      </c>
      <c r="E10" s="29">
        <v>949</v>
      </c>
      <c r="F10" s="33">
        <v>213.28</v>
      </c>
      <c r="G10" s="11">
        <v>894.82</v>
      </c>
      <c r="H10" s="9">
        <v>145</v>
      </c>
      <c r="I10" s="34">
        <v>0</v>
      </c>
      <c r="J10" s="1">
        <v>75</v>
      </c>
      <c r="K10" s="1">
        <v>70</v>
      </c>
      <c r="L10" s="34">
        <v>0</v>
      </c>
      <c r="M10" s="34">
        <f t="shared" si="0"/>
        <v>145</v>
      </c>
      <c r="N10" s="36"/>
    </row>
    <row r="11" spans="1:14" ht="19.5" customHeight="1">
      <c r="A11" s="8">
        <v>45145</v>
      </c>
      <c r="B11" s="56"/>
      <c r="C11" s="56"/>
      <c r="D11" s="23">
        <v>213.8</v>
      </c>
      <c r="E11" s="29">
        <v>949</v>
      </c>
      <c r="F11" s="33">
        <v>213.28</v>
      </c>
      <c r="G11" s="11">
        <v>894.82</v>
      </c>
      <c r="H11" s="9">
        <v>145</v>
      </c>
      <c r="I11" s="34">
        <v>0</v>
      </c>
      <c r="J11" s="1">
        <v>75</v>
      </c>
      <c r="K11" s="1">
        <v>70</v>
      </c>
      <c r="L11" s="34">
        <v>0</v>
      </c>
      <c r="M11" s="34">
        <f t="shared" si="0"/>
        <v>145</v>
      </c>
      <c r="N11" s="36"/>
    </row>
    <row r="12" spans="1:14" ht="19.5" customHeight="1">
      <c r="A12" s="8">
        <v>45146</v>
      </c>
      <c r="B12" s="56"/>
      <c r="C12" s="56"/>
      <c r="D12" s="23">
        <v>213.8</v>
      </c>
      <c r="E12" s="29">
        <v>949</v>
      </c>
      <c r="F12" s="33">
        <v>213.28</v>
      </c>
      <c r="G12" s="11">
        <v>894.82</v>
      </c>
      <c r="H12" s="9">
        <v>145</v>
      </c>
      <c r="I12" s="34">
        <v>0</v>
      </c>
      <c r="J12" s="1">
        <v>75</v>
      </c>
      <c r="K12" s="1">
        <v>70</v>
      </c>
      <c r="L12" s="34">
        <v>0</v>
      </c>
      <c r="M12" s="34">
        <f t="shared" si="0"/>
        <v>145</v>
      </c>
      <c r="N12" s="36"/>
    </row>
    <row r="13" spans="1:14" ht="19.5" customHeight="1">
      <c r="A13" s="8">
        <v>45147</v>
      </c>
      <c r="B13" s="56"/>
      <c r="C13" s="56"/>
      <c r="D13" s="23">
        <v>213.8</v>
      </c>
      <c r="E13" s="29">
        <v>949</v>
      </c>
      <c r="F13" s="33">
        <v>213.21</v>
      </c>
      <c r="G13" s="11">
        <v>887.50099999999998</v>
      </c>
      <c r="H13" s="9">
        <v>60</v>
      </c>
      <c r="I13" s="34">
        <v>0</v>
      </c>
      <c r="J13" s="1">
        <v>75</v>
      </c>
      <c r="K13" s="1">
        <v>70</v>
      </c>
      <c r="L13" s="34">
        <v>0</v>
      </c>
      <c r="M13" s="34">
        <f t="shared" si="0"/>
        <v>145</v>
      </c>
      <c r="N13" s="36"/>
    </row>
    <row r="14" spans="1:14" ht="19.5" customHeight="1">
      <c r="A14" s="8">
        <v>45148</v>
      </c>
      <c r="B14" s="56"/>
      <c r="C14" s="56"/>
      <c r="D14" s="23">
        <v>213.8</v>
      </c>
      <c r="E14" s="29">
        <v>949</v>
      </c>
      <c r="F14" s="33">
        <v>213.14</v>
      </c>
      <c r="G14" s="11">
        <v>880.18200000000002</v>
      </c>
      <c r="H14" s="9">
        <v>60</v>
      </c>
      <c r="I14" s="34">
        <v>0</v>
      </c>
      <c r="J14" s="1">
        <v>75</v>
      </c>
      <c r="K14" s="1">
        <v>70</v>
      </c>
      <c r="L14" s="34">
        <v>0</v>
      </c>
      <c r="M14" s="34">
        <f t="shared" si="0"/>
        <v>145</v>
      </c>
      <c r="N14" s="36"/>
    </row>
    <row r="15" spans="1:14" ht="19.5" customHeight="1">
      <c r="A15" s="8">
        <v>45149</v>
      </c>
      <c r="B15" s="56"/>
      <c r="C15" s="56"/>
      <c r="D15" s="23">
        <v>213.8</v>
      </c>
      <c r="E15" s="29">
        <v>949</v>
      </c>
      <c r="F15" s="33">
        <v>213.05</v>
      </c>
      <c r="G15" s="11">
        <v>870.77200000000005</v>
      </c>
      <c r="H15" s="9">
        <v>36</v>
      </c>
      <c r="I15" s="34">
        <v>0</v>
      </c>
      <c r="J15" s="1">
        <v>75</v>
      </c>
      <c r="K15" s="1">
        <v>70</v>
      </c>
      <c r="L15" s="34">
        <v>0</v>
      </c>
      <c r="M15" s="34">
        <f t="shared" si="0"/>
        <v>145</v>
      </c>
      <c r="N15" s="36"/>
    </row>
    <row r="16" spans="1:14" ht="19.5" customHeight="1">
      <c r="A16" s="8">
        <v>45150</v>
      </c>
      <c r="B16" s="56"/>
      <c r="C16" s="56"/>
      <c r="D16" s="23">
        <v>213.8</v>
      </c>
      <c r="E16" s="29">
        <v>949</v>
      </c>
      <c r="F16" s="33">
        <v>212.98</v>
      </c>
      <c r="G16" s="11">
        <v>863.45299999999997</v>
      </c>
      <c r="H16" s="9">
        <v>60</v>
      </c>
      <c r="I16" s="34">
        <v>0</v>
      </c>
      <c r="J16" s="1">
        <v>75</v>
      </c>
      <c r="K16" s="1">
        <v>70</v>
      </c>
      <c r="L16" s="34">
        <v>0</v>
      </c>
      <c r="M16" s="34">
        <f t="shared" si="0"/>
        <v>145</v>
      </c>
      <c r="N16" s="36"/>
    </row>
    <row r="17" spans="1:15" ht="19.5" customHeight="1">
      <c r="A17" s="8">
        <v>45151</v>
      </c>
      <c r="B17" s="56"/>
      <c r="C17" s="56"/>
      <c r="D17" s="23">
        <v>213.8</v>
      </c>
      <c r="E17" s="29">
        <v>949</v>
      </c>
      <c r="F17" s="33">
        <v>212.92</v>
      </c>
      <c r="G17" s="11">
        <v>857.18</v>
      </c>
      <c r="H17" s="9">
        <v>72</v>
      </c>
      <c r="I17" s="34">
        <v>0</v>
      </c>
      <c r="J17" s="1">
        <v>75</v>
      </c>
      <c r="K17" s="1">
        <v>70</v>
      </c>
      <c r="L17" s="34">
        <v>0</v>
      </c>
      <c r="M17" s="34">
        <f t="shared" si="0"/>
        <v>145</v>
      </c>
      <c r="N17" s="36"/>
    </row>
    <row r="18" spans="1:15" ht="19.5" customHeight="1">
      <c r="A18" s="8">
        <v>45152</v>
      </c>
      <c r="B18" s="56"/>
      <c r="C18" s="56"/>
      <c r="D18" s="23">
        <v>213.8</v>
      </c>
      <c r="E18" s="29">
        <v>949</v>
      </c>
      <c r="F18" s="33">
        <v>212.87</v>
      </c>
      <c r="G18" s="11">
        <v>851.952</v>
      </c>
      <c r="H18" s="9">
        <v>84</v>
      </c>
      <c r="I18" s="34">
        <v>0</v>
      </c>
      <c r="J18" s="1">
        <v>75</v>
      </c>
      <c r="K18" s="1">
        <v>70</v>
      </c>
      <c r="L18" s="34">
        <v>0</v>
      </c>
      <c r="M18" s="34">
        <f t="shared" si="0"/>
        <v>145</v>
      </c>
      <c r="N18" s="36"/>
    </row>
    <row r="19" spans="1:15" ht="19.5" customHeight="1">
      <c r="A19" s="8">
        <v>45153</v>
      </c>
      <c r="B19" s="56"/>
      <c r="C19" s="56"/>
      <c r="D19" s="23">
        <v>213.8</v>
      </c>
      <c r="E19" s="29">
        <v>949</v>
      </c>
      <c r="F19" s="33">
        <v>212.81</v>
      </c>
      <c r="G19" s="11">
        <v>845.678</v>
      </c>
      <c r="H19" s="9">
        <v>72</v>
      </c>
      <c r="I19" s="34">
        <v>0</v>
      </c>
      <c r="J19" s="1">
        <v>75</v>
      </c>
      <c r="K19" s="1">
        <v>70</v>
      </c>
      <c r="L19" s="34">
        <v>0</v>
      </c>
      <c r="M19" s="34">
        <f t="shared" si="0"/>
        <v>145</v>
      </c>
      <c r="N19" s="36"/>
    </row>
    <row r="20" spans="1:15" ht="19.5" customHeight="1">
      <c r="A20" s="8">
        <v>45154</v>
      </c>
      <c r="B20" s="56"/>
      <c r="C20" s="56"/>
      <c r="D20" s="23">
        <v>213.8</v>
      </c>
      <c r="E20" s="29">
        <v>949</v>
      </c>
      <c r="F20" s="33">
        <v>212.76</v>
      </c>
      <c r="G20" s="11">
        <v>840.45100000000002</v>
      </c>
      <c r="H20" s="9">
        <v>84</v>
      </c>
      <c r="I20" s="34">
        <v>0</v>
      </c>
      <c r="J20" s="1">
        <v>75</v>
      </c>
      <c r="K20" s="1">
        <v>70</v>
      </c>
      <c r="L20" s="34">
        <v>0</v>
      </c>
      <c r="M20" s="34">
        <f t="shared" si="0"/>
        <v>145</v>
      </c>
      <c r="N20" s="36"/>
    </row>
    <row r="21" spans="1:15" ht="19.5" customHeight="1">
      <c r="A21" s="8">
        <v>45155</v>
      </c>
      <c r="B21" s="56"/>
      <c r="C21" s="56"/>
      <c r="D21" s="23">
        <v>213.8</v>
      </c>
      <c r="E21" s="29">
        <v>949</v>
      </c>
      <c r="F21" s="33">
        <v>212.7</v>
      </c>
      <c r="G21" s="11">
        <v>834.17700000000002</v>
      </c>
      <c r="H21" s="9">
        <v>72</v>
      </c>
      <c r="I21" s="34">
        <v>0</v>
      </c>
      <c r="J21" s="1">
        <v>75</v>
      </c>
      <c r="K21" s="1">
        <v>70</v>
      </c>
      <c r="L21" s="34">
        <v>0</v>
      </c>
      <c r="M21" s="34">
        <f t="shared" si="0"/>
        <v>145</v>
      </c>
      <c r="N21" s="36"/>
    </row>
    <row r="22" spans="1:15" ht="19.5" customHeight="1">
      <c r="A22" s="8">
        <v>45156</v>
      </c>
      <c r="B22" s="56"/>
      <c r="C22" s="56"/>
      <c r="D22" s="23">
        <v>213.8</v>
      </c>
      <c r="E22" s="29">
        <v>949</v>
      </c>
      <c r="F22" s="33">
        <v>212.63</v>
      </c>
      <c r="G22" s="11">
        <v>826.85799999999995</v>
      </c>
      <c r="H22" s="9">
        <v>60</v>
      </c>
      <c r="I22" s="34">
        <v>0</v>
      </c>
      <c r="J22" s="1">
        <v>75</v>
      </c>
      <c r="K22" s="1">
        <v>70</v>
      </c>
      <c r="L22" s="34">
        <v>0</v>
      </c>
      <c r="M22" s="34">
        <f t="shared" si="0"/>
        <v>145</v>
      </c>
      <c r="N22" s="36"/>
    </row>
    <row r="23" spans="1:15" ht="19.5" customHeight="1">
      <c r="A23" s="8">
        <v>45157</v>
      </c>
      <c r="B23" s="56"/>
      <c r="C23" s="56"/>
      <c r="D23" s="23">
        <v>213.8</v>
      </c>
      <c r="E23" s="29">
        <v>949</v>
      </c>
      <c r="F23" s="33">
        <v>212.55</v>
      </c>
      <c r="G23" s="11">
        <v>818.49400000000003</v>
      </c>
      <c r="H23" s="9">
        <v>48</v>
      </c>
      <c r="I23" s="34">
        <v>0</v>
      </c>
      <c r="J23" s="1">
        <v>75</v>
      </c>
      <c r="K23" s="1">
        <v>70</v>
      </c>
      <c r="L23" s="34">
        <v>0</v>
      </c>
      <c r="M23" s="34">
        <f t="shared" si="0"/>
        <v>145</v>
      </c>
      <c r="N23" s="36"/>
    </row>
    <row r="24" spans="1:15" ht="19.5" customHeight="1">
      <c r="A24" s="8">
        <v>45158</v>
      </c>
      <c r="B24" s="56"/>
      <c r="C24" s="56"/>
      <c r="D24" s="23">
        <v>213.8</v>
      </c>
      <c r="E24" s="29">
        <v>949</v>
      </c>
      <c r="F24" s="33">
        <v>212.5</v>
      </c>
      <c r="G24" s="11">
        <v>813.26620000000003</v>
      </c>
      <c r="H24" s="9">
        <v>84</v>
      </c>
      <c r="I24" s="34">
        <v>0</v>
      </c>
      <c r="J24" s="1">
        <v>75</v>
      </c>
      <c r="K24" s="1">
        <v>70</v>
      </c>
      <c r="L24" s="34">
        <v>0</v>
      </c>
      <c r="M24" s="34">
        <f t="shared" si="0"/>
        <v>145</v>
      </c>
      <c r="N24" s="36"/>
    </row>
    <row r="25" spans="1:15" ht="19.5" customHeight="1">
      <c r="A25" s="8">
        <v>45159</v>
      </c>
      <c r="B25" s="56"/>
      <c r="C25" s="56"/>
      <c r="D25" s="23">
        <v>213.8</v>
      </c>
      <c r="E25" s="29">
        <v>949</v>
      </c>
      <c r="F25" s="33">
        <v>212.44</v>
      </c>
      <c r="G25" s="11">
        <v>806.99199999999996</v>
      </c>
      <c r="H25" s="9">
        <v>72</v>
      </c>
      <c r="I25" s="34">
        <v>0</v>
      </c>
      <c r="J25" s="1">
        <v>75</v>
      </c>
      <c r="K25" s="1">
        <v>70</v>
      </c>
      <c r="L25" s="34">
        <v>0</v>
      </c>
      <c r="M25" s="34">
        <f t="shared" si="0"/>
        <v>145</v>
      </c>
      <c r="N25" s="36"/>
    </row>
    <row r="26" spans="1:15" ht="19.5" customHeight="1">
      <c r="A26" s="8">
        <v>45160</v>
      </c>
      <c r="B26" s="56"/>
      <c r="C26" s="56"/>
      <c r="D26" s="23">
        <v>213.8</v>
      </c>
      <c r="E26" s="29">
        <v>949</v>
      </c>
      <c r="F26" s="33">
        <v>212.42</v>
      </c>
      <c r="G26" s="11">
        <v>804.90099999999995</v>
      </c>
      <c r="H26" s="9">
        <v>121</v>
      </c>
      <c r="I26" s="34">
        <v>0</v>
      </c>
      <c r="J26" s="1">
        <v>75</v>
      </c>
      <c r="K26" s="1">
        <v>70</v>
      </c>
      <c r="L26" s="34">
        <v>0</v>
      </c>
      <c r="M26" s="34">
        <f t="shared" si="0"/>
        <v>145</v>
      </c>
      <c r="N26" s="36"/>
      <c r="O26" s="19"/>
    </row>
    <row r="27" spans="1:15" ht="19.5" customHeight="1">
      <c r="A27" s="8">
        <v>45161</v>
      </c>
      <c r="B27" s="56"/>
      <c r="C27" s="56"/>
      <c r="D27" s="23">
        <v>213.8</v>
      </c>
      <c r="E27" s="29">
        <v>949</v>
      </c>
      <c r="F27" s="33">
        <v>212.41</v>
      </c>
      <c r="G27" s="11">
        <v>803.85599999999999</v>
      </c>
      <c r="H27" s="9">
        <v>132</v>
      </c>
      <c r="I27" s="34">
        <v>0</v>
      </c>
      <c r="J27" s="1">
        <v>75</v>
      </c>
      <c r="K27" s="1">
        <v>70</v>
      </c>
      <c r="L27" s="34">
        <v>0</v>
      </c>
      <c r="M27" s="34">
        <f t="shared" si="0"/>
        <v>145</v>
      </c>
      <c r="N27" s="36"/>
    </row>
    <row r="28" spans="1:15" ht="19.5" customHeight="1">
      <c r="A28" s="8">
        <v>45162</v>
      </c>
      <c r="B28" s="56"/>
      <c r="C28" s="56"/>
      <c r="D28" s="23">
        <v>213.8</v>
      </c>
      <c r="E28" s="29">
        <v>949</v>
      </c>
      <c r="F28" s="33">
        <v>212.37</v>
      </c>
      <c r="G28" s="11">
        <v>799.673</v>
      </c>
      <c r="H28" s="9">
        <v>95</v>
      </c>
      <c r="I28" s="34">
        <v>0</v>
      </c>
      <c r="J28" s="1">
        <v>75</v>
      </c>
      <c r="K28" s="1">
        <v>70</v>
      </c>
      <c r="L28" s="34">
        <v>0</v>
      </c>
      <c r="M28" s="34">
        <f t="shared" si="0"/>
        <v>145</v>
      </c>
      <c r="N28" s="36"/>
    </row>
    <row r="29" spans="1:15" ht="19.5" customHeight="1">
      <c r="A29" s="8">
        <v>45163</v>
      </c>
      <c r="B29" s="56"/>
      <c r="C29" s="56"/>
      <c r="D29" s="23">
        <v>213.8</v>
      </c>
      <c r="E29" s="29">
        <v>949</v>
      </c>
      <c r="F29" s="33">
        <v>212.31</v>
      </c>
      <c r="G29" s="11">
        <v>793.4</v>
      </c>
      <c r="H29" s="9">
        <v>72</v>
      </c>
      <c r="I29" s="34">
        <v>0</v>
      </c>
      <c r="J29" s="1">
        <v>75</v>
      </c>
      <c r="K29" s="1">
        <v>70</v>
      </c>
      <c r="L29" s="34">
        <v>0</v>
      </c>
      <c r="M29" s="34">
        <f t="shared" si="0"/>
        <v>145</v>
      </c>
      <c r="N29" s="36"/>
    </row>
    <row r="30" spans="1:15" ht="19.5" customHeight="1">
      <c r="A30" s="8">
        <v>45164</v>
      </c>
      <c r="B30" s="56"/>
      <c r="C30" s="56"/>
      <c r="D30" s="23">
        <v>213.8</v>
      </c>
      <c r="E30" s="29">
        <v>949</v>
      </c>
      <c r="F30" s="33">
        <v>212.27</v>
      </c>
      <c r="G30" s="11">
        <v>789.21799999999996</v>
      </c>
      <c r="H30" s="9">
        <v>96</v>
      </c>
      <c r="I30" s="34">
        <v>0</v>
      </c>
      <c r="J30" s="1">
        <v>75</v>
      </c>
      <c r="K30" s="1">
        <v>70</v>
      </c>
      <c r="L30" s="34">
        <v>0</v>
      </c>
      <c r="M30" s="34">
        <f t="shared" si="0"/>
        <v>145</v>
      </c>
      <c r="N30" s="36"/>
    </row>
    <row r="31" spans="1:15" ht="21" customHeight="1">
      <c r="A31" s="8">
        <v>45165</v>
      </c>
      <c r="B31" s="56"/>
      <c r="C31" s="56"/>
      <c r="D31" s="23">
        <v>213.8</v>
      </c>
      <c r="E31" s="29">
        <v>949</v>
      </c>
      <c r="F31" s="33">
        <v>212.25</v>
      </c>
      <c r="G31" s="11">
        <v>787.12599999999998</v>
      </c>
      <c r="H31" s="9">
        <v>120</v>
      </c>
      <c r="I31" s="34">
        <v>0</v>
      </c>
      <c r="J31" s="1">
        <v>75</v>
      </c>
      <c r="K31" s="1">
        <v>70</v>
      </c>
      <c r="L31" s="34">
        <v>0</v>
      </c>
      <c r="M31" s="34">
        <f t="shared" si="0"/>
        <v>145</v>
      </c>
      <c r="N31" s="36"/>
    </row>
    <row r="32" spans="1:15" ht="21" customHeight="1">
      <c r="A32" s="8">
        <v>45166</v>
      </c>
      <c r="B32" s="56"/>
      <c r="C32" s="56"/>
      <c r="D32" s="23">
        <v>213.8</v>
      </c>
      <c r="E32" s="29">
        <v>949</v>
      </c>
      <c r="F32" s="33">
        <v>212.2</v>
      </c>
      <c r="G32" s="11">
        <v>781.899</v>
      </c>
      <c r="H32" s="9">
        <v>84</v>
      </c>
      <c r="I32" s="34">
        <v>0</v>
      </c>
      <c r="J32" s="1">
        <v>75</v>
      </c>
      <c r="K32" s="1">
        <v>70</v>
      </c>
      <c r="L32" s="34">
        <v>0</v>
      </c>
      <c r="M32" s="34">
        <f t="shared" si="0"/>
        <v>145</v>
      </c>
      <c r="N32" s="36"/>
    </row>
    <row r="33" spans="1:15" ht="21" customHeight="1">
      <c r="A33" s="8">
        <v>45167</v>
      </c>
      <c r="B33" s="56"/>
      <c r="C33" s="56"/>
      <c r="D33" s="23">
        <v>213.8</v>
      </c>
      <c r="E33" s="29">
        <v>949</v>
      </c>
      <c r="F33" s="33">
        <v>212.14</v>
      </c>
      <c r="G33" s="11">
        <v>775.625</v>
      </c>
      <c r="H33" s="9">
        <v>72</v>
      </c>
      <c r="I33" s="34">
        <v>0</v>
      </c>
      <c r="J33" s="1">
        <v>75</v>
      </c>
      <c r="K33" s="1">
        <v>70</v>
      </c>
      <c r="L33" s="34">
        <v>0</v>
      </c>
      <c r="M33" s="34">
        <f t="shared" si="0"/>
        <v>145</v>
      </c>
      <c r="N33" s="36"/>
    </row>
    <row r="34" spans="1:15" ht="21" customHeight="1">
      <c r="A34" s="8">
        <v>45168</v>
      </c>
      <c r="B34" s="56"/>
      <c r="C34" s="56"/>
      <c r="D34" s="23">
        <v>213.8</v>
      </c>
      <c r="E34" s="29">
        <v>949</v>
      </c>
      <c r="F34" s="33">
        <v>212.06</v>
      </c>
      <c r="G34" s="11">
        <v>767.26099999999997</v>
      </c>
      <c r="H34" s="9">
        <v>48</v>
      </c>
      <c r="I34" s="34">
        <v>0</v>
      </c>
      <c r="J34" s="1">
        <v>75</v>
      </c>
      <c r="K34" s="1">
        <v>70</v>
      </c>
      <c r="L34" s="34">
        <v>0</v>
      </c>
      <c r="M34" s="34">
        <f t="shared" si="0"/>
        <v>145</v>
      </c>
      <c r="N34" s="36"/>
    </row>
    <row r="35" spans="1:15" ht="21" customHeight="1">
      <c r="A35" s="8">
        <v>45169</v>
      </c>
      <c r="B35" s="57"/>
      <c r="C35" s="57"/>
      <c r="D35" s="24">
        <v>213.8</v>
      </c>
      <c r="E35" s="29">
        <v>949</v>
      </c>
      <c r="F35" s="33">
        <v>211.97</v>
      </c>
      <c r="G35" s="11">
        <v>757.85</v>
      </c>
      <c r="H35" s="9">
        <v>36</v>
      </c>
      <c r="I35" s="34">
        <v>0</v>
      </c>
      <c r="J35" s="1">
        <v>75</v>
      </c>
      <c r="K35" s="1">
        <v>70</v>
      </c>
      <c r="L35" s="34">
        <v>0</v>
      </c>
      <c r="M35" s="34">
        <f t="shared" si="0"/>
        <v>145</v>
      </c>
      <c r="N35" s="36"/>
    </row>
    <row r="36" spans="1:15" ht="21" customHeight="1">
      <c r="A36" s="12"/>
      <c r="B36" s="13"/>
      <c r="C36" s="13"/>
      <c r="D36" s="14"/>
      <c r="E36" s="14"/>
      <c r="F36" s="15"/>
      <c r="G36" s="14"/>
      <c r="H36" s="16">
        <f>SUM(H5:H35)</f>
        <v>2900</v>
      </c>
      <c r="I36" s="16"/>
      <c r="J36" s="16">
        <f>SUM(J5:J35)</f>
        <v>2325</v>
      </c>
      <c r="K36" s="16">
        <f>SUM(K5:K35)</f>
        <v>2170</v>
      </c>
      <c r="L36" s="17"/>
      <c r="M36" s="17"/>
      <c r="N36" s="18"/>
      <c r="O36" s="20"/>
    </row>
    <row r="37" spans="1:15" ht="47.25" customHeight="1">
      <c r="A37" s="3"/>
      <c r="B37" s="4"/>
      <c r="C37" s="5"/>
      <c r="D37" s="5"/>
      <c r="E37" s="5"/>
      <c r="F37" s="5"/>
      <c r="G37" s="5"/>
      <c r="H37" s="5">
        <f>H36/11574</f>
        <v>0.25056160359426299</v>
      </c>
      <c r="I37" s="5"/>
      <c r="J37" s="5">
        <f>J36/11574</f>
        <v>0.20088128564022809</v>
      </c>
      <c r="K37" s="5">
        <f>K36/11574</f>
        <v>0.18748919993087956</v>
      </c>
      <c r="L37" s="27"/>
      <c r="M37" s="27"/>
      <c r="N37" s="7"/>
    </row>
    <row r="38" spans="1:15" ht="15.75" customHeight="1">
      <c r="A38" s="58" t="s">
        <v>9</v>
      </c>
      <c r="B38" s="53"/>
      <c r="C38" s="53"/>
      <c r="D38" s="53"/>
      <c r="J38" s="58" t="s">
        <v>10</v>
      </c>
      <c r="K38" s="53"/>
      <c r="L38" s="53"/>
      <c r="M38" s="53"/>
      <c r="N38" s="7"/>
    </row>
    <row r="39" spans="1:15" ht="15.75" customHeight="1">
      <c r="A39" s="59" t="s">
        <v>16</v>
      </c>
      <c r="B39" s="53"/>
      <c r="C39" s="53"/>
      <c r="D39" s="53"/>
      <c r="J39" s="59" t="s">
        <v>16</v>
      </c>
      <c r="K39" s="53"/>
      <c r="L39" s="53"/>
      <c r="M39" s="53"/>
      <c r="N39" s="7"/>
    </row>
    <row r="40" spans="1:15" ht="15.75" customHeight="1">
      <c r="A40" s="52" t="s">
        <v>17</v>
      </c>
      <c r="B40" s="53"/>
      <c r="C40" s="53"/>
      <c r="D40" s="53"/>
      <c r="J40" s="52" t="s">
        <v>17</v>
      </c>
      <c r="K40" s="53"/>
      <c r="L40" s="53"/>
      <c r="M40" s="53"/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  <row r="102" spans="14:14" ht="15.75" customHeight="1">
      <c r="N102" s="7"/>
    </row>
  </sheetData>
  <mergeCells count="20">
    <mergeCell ref="A40:D40"/>
    <mergeCell ref="J40:M40"/>
    <mergeCell ref="N3:N4"/>
    <mergeCell ref="B5:B35"/>
    <mergeCell ref="C5:C35"/>
    <mergeCell ref="A38:D38"/>
    <mergeCell ref="J38:M38"/>
    <mergeCell ref="A39:D39"/>
    <mergeCell ref="J39:M39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O101"/>
  <sheetViews>
    <sheetView topLeftCell="A16" workbookViewId="0">
      <selection activeCell="J35" sqref="J35:K35"/>
    </sheetView>
  </sheetViews>
  <sheetFormatPr defaultColWidth="14.42578125" defaultRowHeight="15" customHeight="1"/>
  <cols>
    <col min="1" max="1" width="12.42578125" style="26" customWidth="1"/>
    <col min="2" max="2" width="6.28515625" style="26" customWidth="1"/>
    <col min="3" max="3" width="5.140625" style="26" customWidth="1"/>
    <col min="4" max="4" width="10" style="26" customWidth="1"/>
    <col min="5" max="5" width="10" style="28" customWidth="1"/>
    <col min="6" max="7" width="8.7109375" style="26" customWidth="1"/>
    <col min="8" max="8" width="9.85546875" style="26" customWidth="1"/>
    <col min="9" max="9" width="8.7109375" style="26" customWidth="1"/>
    <col min="10" max="10" width="8.42578125" style="26" customWidth="1"/>
    <col min="11" max="11" width="8.7109375" style="26" customWidth="1"/>
    <col min="12" max="12" width="6.42578125" style="26" customWidth="1"/>
    <col min="13" max="13" width="8.5703125" style="26" customWidth="1"/>
    <col min="14" max="14" width="8.85546875" style="26" customWidth="1"/>
    <col min="15" max="16384" width="14.42578125" style="26"/>
  </cols>
  <sheetData>
    <row r="1" spans="1:14" ht="14.25" customHeight="1">
      <c r="A1" s="39" t="s">
        <v>29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1"/>
    </row>
    <row r="2" spans="1:14" ht="15.75" customHeight="1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4"/>
    </row>
    <row r="3" spans="1:14" ht="14.25" customHeight="1">
      <c r="A3" s="45" t="s">
        <v>0</v>
      </c>
      <c r="B3" s="47" t="s">
        <v>1</v>
      </c>
      <c r="C3" s="47" t="s">
        <v>2</v>
      </c>
      <c r="D3" s="45" t="s">
        <v>3</v>
      </c>
      <c r="E3" s="45" t="s">
        <v>20</v>
      </c>
      <c r="F3" s="45" t="s">
        <v>4</v>
      </c>
      <c r="G3" s="45" t="s">
        <v>19</v>
      </c>
      <c r="H3" s="45" t="s">
        <v>5</v>
      </c>
      <c r="I3" s="48" t="s">
        <v>6</v>
      </c>
      <c r="J3" s="49"/>
      <c r="K3" s="49"/>
      <c r="L3" s="49"/>
      <c r="M3" s="50" t="s">
        <v>7</v>
      </c>
      <c r="N3" s="54" t="s">
        <v>8</v>
      </c>
    </row>
    <row r="4" spans="1:14" ht="51.75" customHeight="1">
      <c r="A4" s="46"/>
      <c r="B4" s="46"/>
      <c r="C4" s="46"/>
      <c r="D4" s="46"/>
      <c r="E4" s="51"/>
      <c r="F4" s="46"/>
      <c r="G4" s="46"/>
      <c r="H4" s="46"/>
      <c r="I4" s="10" t="s">
        <v>15</v>
      </c>
      <c r="J4" s="10" t="s">
        <v>13</v>
      </c>
      <c r="K4" s="21" t="s">
        <v>18</v>
      </c>
      <c r="L4" s="10" t="s">
        <v>14</v>
      </c>
      <c r="M4" s="46"/>
      <c r="N4" s="46"/>
    </row>
    <row r="5" spans="1:14" ht="19.5" customHeight="1">
      <c r="A5" s="8">
        <v>45170</v>
      </c>
      <c r="B5" s="55" t="s">
        <v>11</v>
      </c>
      <c r="C5" s="55" t="s">
        <v>12</v>
      </c>
      <c r="D5" s="23">
        <v>213.8</v>
      </c>
      <c r="E5" s="29">
        <v>949</v>
      </c>
      <c r="F5" s="33">
        <v>211.91</v>
      </c>
      <c r="G5" s="11">
        <v>751.577</v>
      </c>
      <c r="H5" s="9">
        <v>72</v>
      </c>
      <c r="I5" s="34">
        <v>0</v>
      </c>
      <c r="J5" s="1">
        <v>75</v>
      </c>
      <c r="K5" s="1">
        <v>70</v>
      </c>
      <c r="L5" s="34">
        <v>0</v>
      </c>
      <c r="M5" s="34">
        <f>+I5+J5+K5+L5</f>
        <v>145</v>
      </c>
      <c r="N5" s="36"/>
    </row>
    <row r="6" spans="1:14" ht="19.5" customHeight="1">
      <c r="A6" s="8">
        <v>45171</v>
      </c>
      <c r="B6" s="56"/>
      <c r="C6" s="56"/>
      <c r="D6" s="23">
        <v>213.8</v>
      </c>
      <c r="E6" s="29">
        <v>949</v>
      </c>
      <c r="F6" s="33">
        <v>211.86</v>
      </c>
      <c r="G6" s="11">
        <v>746.34900000000005</v>
      </c>
      <c r="H6" s="9">
        <v>84</v>
      </c>
      <c r="I6" s="34">
        <v>0</v>
      </c>
      <c r="J6" s="1">
        <v>75</v>
      </c>
      <c r="K6" s="1">
        <v>70</v>
      </c>
      <c r="L6" s="34">
        <v>0</v>
      </c>
      <c r="M6" s="34">
        <f t="shared" ref="M6:M34" si="0">+I6+J6+K6+L6</f>
        <v>145</v>
      </c>
      <c r="N6" s="36"/>
    </row>
    <row r="7" spans="1:14" ht="19.5" customHeight="1">
      <c r="A7" s="8">
        <v>45172</v>
      </c>
      <c r="B7" s="56"/>
      <c r="C7" s="56"/>
      <c r="D7" s="23">
        <v>213.8</v>
      </c>
      <c r="E7" s="29">
        <v>949</v>
      </c>
      <c r="F7" s="33">
        <v>211.92</v>
      </c>
      <c r="G7" s="11">
        <v>753.62300000000005</v>
      </c>
      <c r="H7" s="9">
        <v>202</v>
      </c>
      <c r="I7" s="34">
        <v>0</v>
      </c>
      <c r="J7" s="1">
        <v>70</v>
      </c>
      <c r="K7" s="1">
        <v>60</v>
      </c>
      <c r="L7" s="34">
        <v>0</v>
      </c>
      <c r="M7" s="34">
        <f t="shared" si="0"/>
        <v>130</v>
      </c>
      <c r="N7" s="36"/>
    </row>
    <row r="8" spans="1:14" ht="19.5" customHeight="1">
      <c r="A8" s="8">
        <v>45173</v>
      </c>
      <c r="B8" s="56"/>
      <c r="C8" s="56"/>
      <c r="D8" s="23">
        <v>213.8</v>
      </c>
      <c r="E8" s="29">
        <v>949</v>
      </c>
      <c r="F8" s="33">
        <v>211.94</v>
      </c>
      <c r="G8" s="11">
        <v>754.71400000000006</v>
      </c>
      <c r="H8" s="9">
        <v>154</v>
      </c>
      <c r="I8" s="34">
        <v>0</v>
      </c>
      <c r="J8" s="1">
        <v>70</v>
      </c>
      <c r="K8" s="1">
        <v>60</v>
      </c>
      <c r="L8" s="34">
        <v>0</v>
      </c>
      <c r="M8" s="34">
        <f t="shared" si="0"/>
        <v>130</v>
      </c>
      <c r="N8" s="36"/>
    </row>
    <row r="9" spans="1:14" ht="19.5" customHeight="1">
      <c r="A9" s="8">
        <v>45174</v>
      </c>
      <c r="B9" s="56"/>
      <c r="C9" s="56"/>
      <c r="D9" s="23">
        <v>213.8</v>
      </c>
      <c r="E9" s="29">
        <v>949</v>
      </c>
      <c r="F9" s="33">
        <v>212</v>
      </c>
      <c r="G9" s="11">
        <v>760.98699999999997</v>
      </c>
      <c r="H9" s="9">
        <v>202</v>
      </c>
      <c r="I9" s="34">
        <v>0</v>
      </c>
      <c r="J9" s="1">
        <v>70</v>
      </c>
      <c r="K9" s="1">
        <v>60</v>
      </c>
      <c r="L9" s="34">
        <v>0</v>
      </c>
      <c r="M9" s="34">
        <f t="shared" si="0"/>
        <v>130</v>
      </c>
      <c r="N9" s="36"/>
    </row>
    <row r="10" spans="1:14" ht="19.5" customHeight="1">
      <c r="A10" s="8">
        <v>45175</v>
      </c>
      <c r="B10" s="56"/>
      <c r="C10" s="56"/>
      <c r="D10" s="23">
        <v>213.8</v>
      </c>
      <c r="E10" s="29">
        <v>949</v>
      </c>
      <c r="F10" s="33">
        <v>212.04</v>
      </c>
      <c r="G10" s="11">
        <v>765.16899999999998</v>
      </c>
      <c r="H10" s="9">
        <v>178</v>
      </c>
      <c r="I10" s="34">
        <v>0</v>
      </c>
      <c r="J10" s="1">
        <v>70</v>
      </c>
      <c r="K10" s="1">
        <v>60</v>
      </c>
      <c r="L10" s="34">
        <v>0</v>
      </c>
      <c r="M10" s="34">
        <f t="shared" si="0"/>
        <v>130</v>
      </c>
      <c r="N10" s="36"/>
    </row>
    <row r="11" spans="1:14" ht="19.5" customHeight="1">
      <c r="A11" s="8">
        <v>45176</v>
      </c>
      <c r="B11" s="56"/>
      <c r="C11" s="56"/>
      <c r="D11" s="23">
        <v>213.8</v>
      </c>
      <c r="E11" s="29">
        <v>949</v>
      </c>
      <c r="F11" s="33">
        <v>212.08</v>
      </c>
      <c r="G11" s="11">
        <v>769.35199999999998</v>
      </c>
      <c r="H11" s="9">
        <v>178</v>
      </c>
      <c r="I11" s="34">
        <v>0</v>
      </c>
      <c r="J11" s="1">
        <v>70</v>
      </c>
      <c r="K11" s="1">
        <v>60</v>
      </c>
      <c r="L11" s="34">
        <v>0</v>
      </c>
      <c r="M11" s="34">
        <f t="shared" si="0"/>
        <v>130</v>
      </c>
      <c r="N11" s="36"/>
    </row>
    <row r="12" spans="1:14" ht="19.5" customHeight="1">
      <c r="A12" s="8">
        <v>45177</v>
      </c>
      <c r="B12" s="56"/>
      <c r="C12" s="56"/>
      <c r="D12" s="23">
        <v>213.8</v>
      </c>
      <c r="E12" s="29">
        <v>949</v>
      </c>
      <c r="F12" s="33">
        <v>212.14</v>
      </c>
      <c r="G12" s="11">
        <v>775.625</v>
      </c>
      <c r="H12" s="9">
        <v>202</v>
      </c>
      <c r="I12" s="34">
        <v>0</v>
      </c>
      <c r="J12" s="1">
        <v>70</v>
      </c>
      <c r="K12" s="1">
        <v>60</v>
      </c>
      <c r="L12" s="34">
        <v>0</v>
      </c>
      <c r="M12" s="34">
        <f t="shared" si="0"/>
        <v>130</v>
      </c>
      <c r="N12" s="36"/>
    </row>
    <row r="13" spans="1:14" ht="19.5" customHeight="1">
      <c r="A13" s="8">
        <v>45178</v>
      </c>
      <c r="B13" s="56"/>
      <c r="C13" s="56"/>
      <c r="D13" s="23">
        <v>213.8</v>
      </c>
      <c r="E13" s="29">
        <v>949</v>
      </c>
      <c r="F13" s="33">
        <v>212.14</v>
      </c>
      <c r="G13" s="11">
        <v>775.625</v>
      </c>
      <c r="H13" s="9">
        <v>130</v>
      </c>
      <c r="I13" s="34">
        <v>0</v>
      </c>
      <c r="J13" s="1">
        <v>70</v>
      </c>
      <c r="K13" s="1">
        <v>60</v>
      </c>
      <c r="L13" s="34">
        <v>0</v>
      </c>
      <c r="M13" s="34">
        <f t="shared" si="0"/>
        <v>130</v>
      </c>
      <c r="N13" s="36"/>
    </row>
    <row r="14" spans="1:14" ht="19.5" customHeight="1">
      <c r="A14" s="8">
        <v>45179</v>
      </c>
      <c r="B14" s="56"/>
      <c r="C14" s="56"/>
      <c r="D14" s="23">
        <v>213.8</v>
      </c>
      <c r="E14" s="29">
        <v>949</v>
      </c>
      <c r="F14" s="33">
        <v>212.11</v>
      </c>
      <c r="G14" s="11">
        <v>772.48900000000003</v>
      </c>
      <c r="H14" s="9">
        <v>93</v>
      </c>
      <c r="I14" s="34">
        <v>0</v>
      </c>
      <c r="J14" s="1">
        <v>70</v>
      </c>
      <c r="K14" s="1">
        <v>60</v>
      </c>
      <c r="L14" s="34">
        <v>0</v>
      </c>
      <c r="M14" s="34">
        <f t="shared" si="0"/>
        <v>130</v>
      </c>
      <c r="N14" s="36"/>
    </row>
    <row r="15" spans="1:14" ht="19.5" customHeight="1">
      <c r="A15" s="8">
        <v>45180</v>
      </c>
      <c r="B15" s="56"/>
      <c r="C15" s="56"/>
      <c r="D15" s="23">
        <v>213.8</v>
      </c>
      <c r="E15" s="29">
        <v>949</v>
      </c>
      <c r="F15" s="33">
        <v>212.15</v>
      </c>
      <c r="G15" s="11">
        <v>776.67100000000005</v>
      </c>
      <c r="H15" s="9">
        <v>178</v>
      </c>
      <c r="I15" s="34">
        <v>0</v>
      </c>
      <c r="J15" s="1">
        <v>70</v>
      </c>
      <c r="K15" s="1">
        <v>60</v>
      </c>
      <c r="L15" s="34">
        <v>0</v>
      </c>
      <c r="M15" s="34">
        <f t="shared" si="0"/>
        <v>130</v>
      </c>
      <c r="N15" s="36"/>
    </row>
    <row r="16" spans="1:14" ht="19.5" customHeight="1">
      <c r="A16" s="8">
        <v>45181</v>
      </c>
      <c r="B16" s="56"/>
      <c r="C16" s="56"/>
      <c r="D16" s="23">
        <v>213.8</v>
      </c>
      <c r="E16" s="29">
        <v>949</v>
      </c>
      <c r="F16" s="33">
        <v>212.15</v>
      </c>
      <c r="G16" s="11">
        <v>776.67100000000005</v>
      </c>
      <c r="H16" s="9">
        <v>130</v>
      </c>
      <c r="I16" s="34">
        <v>0</v>
      </c>
      <c r="J16" s="1">
        <v>70</v>
      </c>
      <c r="K16" s="1">
        <v>60</v>
      </c>
      <c r="L16" s="34">
        <v>0</v>
      </c>
      <c r="M16" s="34">
        <f t="shared" si="0"/>
        <v>130</v>
      </c>
      <c r="N16" s="36"/>
    </row>
    <row r="17" spans="1:15" ht="19.5" customHeight="1">
      <c r="A17" s="8">
        <v>45182</v>
      </c>
      <c r="B17" s="56"/>
      <c r="C17" s="56"/>
      <c r="D17" s="23">
        <v>213.8</v>
      </c>
      <c r="E17" s="29">
        <v>949</v>
      </c>
      <c r="F17" s="33">
        <v>212.24</v>
      </c>
      <c r="G17" s="11">
        <v>786.08100000000002</v>
      </c>
      <c r="H17" s="9">
        <v>238</v>
      </c>
      <c r="I17" s="34">
        <v>0</v>
      </c>
      <c r="J17" s="1">
        <v>70</v>
      </c>
      <c r="K17" s="1">
        <v>60</v>
      </c>
      <c r="L17" s="34">
        <v>0</v>
      </c>
      <c r="M17" s="34">
        <f t="shared" si="0"/>
        <v>130</v>
      </c>
      <c r="N17" s="36"/>
    </row>
    <row r="18" spans="1:15" ht="19.5" customHeight="1">
      <c r="A18" s="8">
        <v>45183</v>
      </c>
      <c r="B18" s="56"/>
      <c r="C18" s="56"/>
      <c r="D18" s="23">
        <v>213.8</v>
      </c>
      <c r="E18" s="29">
        <v>949</v>
      </c>
      <c r="F18" s="33">
        <v>212.34</v>
      </c>
      <c r="G18" s="11">
        <v>796.53700000000003</v>
      </c>
      <c r="H18" s="9">
        <v>251</v>
      </c>
      <c r="I18" s="34">
        <v>0</v>
      </c>
      <c r="J18" s="1">
        <v>70</v>
      </c>
      <c r="K18" s="1">
        <v>60</v>
      </c>
      <c r="L18" s="34">
        <v>0</v>
      </c>
      <c r="M18" s="34">
        <f t="shared" si="0"/>
        <v>130</v>
      </c>
      <c r="N18" s="36"/>
    </row>
    <row r="19" spans="1:15" ht="19.5" customHeight="1">
      <c r="A19" s="8">
        <v>45184</v>
      </c>
      <c r="B19" s="56"/>
      <c r="C19" s="56"/>
      <c r="D19" s="23">
        <v>213.8</v>
      </c>
      <c r="E19" s="29">
        <v>949</v>
      </c>
      <c r="F19" s="33">
        <v>212.4</v>
      </c>
      <c r="G19" s="11">
        <v>802.81</v>
      </c>
      <c r="H19" s="9">
        <v>202</v>
      </c>
      <c r="I19" s="34">
        <v>0</v>
      </c>
      <c r="J19" s="1">
        <v>70</v>
      </c>
      <c r="K19" s="1">
        <v>60</v>
      </c>
      <c r="L19" s="34">
        <v>0</v>
      </c>
      <c r="M19" s="34">
        <f t="shared" si="0"/>
        <v>130</v>
      </c>
      <c r="N19" s="36"/>
    </row>
    <row r="20" spans="1:15" ht="19.5" customHeight="1">
      <c r="A20" s="8">
        <v>45185</v>
      </c>
      <c r="B20" s="56"/>
      <c r="C20" s="56"/>
      <c r="D20" s="23">
        <v>213.8</v>
      </c>
      <c r="E20" s="29">
        <v>949</v>
      </c>
      <c r="F20" s="33">
        <v>212.43</v>
      </c>
      <c r="G20" s="11">
        <v>805.947</v>
      </c>
      <c r="H20" s="9">
        <v>166</v>
      </c>
      <c r="I20" s="34">
        <v>0</v>
      </c>
      <c r="J20" s="1">
        <v>70</v>
      </c>
      <c r="K20" s="1">
        <v>60</v>
      </c>
      <c r="L20" s="34">
        <v>0</v>
      </c>
      <c r="M20" s="34">
        <f t="shared" si="0"/>
        <v>130</v>
      </c>
      <c r="N20" s="36"/>
    </row>
    <row r="21" spans="1:15" ht="19.5" customHeight="1">
      <c r="A21" s="8">
        <v>45186</v>
      </c>
      <c r="B21" s="56"/>
      <c r="C21" s="56"/>
      <c r="D21" s="23">
        <v>213.8</v>
      </c>
      <c r="E21" s="29">
        <v>949</v>
      </c>
      <c r="F21" s="33">
        <v>212.45</v>
      </c>
      <c r="G21" s="11">
        <v>808.03800000000001</v>
      </c>
      <c r="H21" s="9">
        <v>154</v>
      </c>
      <c r="I21" s="34">
        <v>0</v>
      </c>
      <c r="J21" s="1">
        <v>70</v>
      </c>
      <c r="K21" s="1">
        <v>60</v>
      </c>
      <c r="L21" s="34">
        <v>0</v>
      </c>
      <c r="M21" s="34">
        <f t="shared" si="0"/>
        <v>130</v>
      </c>
      <c r="N21" s="36"/>
    </row>
    <row r="22" spans="1:15" ht="19.5" customHeight="1">
      <c r="A22" s="8">
        <v>45187</v>
      </c>
      <c r="B22" s="56"/>
      <c r="C22" s="56"/>
      <c r="D22" s="23">
        <v>213.8</v>
      </c>
      <c r="E22" s="29">
        <v>949</v>
      </c>
      <c r="F22" s="33">
        <v>212.45</v>
      </c>
      <c r="G22" s="11">
        <v>808.03800000000001</v>
      </c>
      <c r="H22" s="9">
        <v>130</v>
      </c>
      <c r="I22" s="34">
        <v>0</v>
      </c>
      <c r="J22" s="1">
        <v>70</v>
      </c>
      <c r="K22" s="1">
        <v>60</v>
      </c>
      <c r="L22" s="34">
        <v>0</v>
      </c>
      <c r="M22" s="34">
        <f t="shared" si="0"/>
        <v>130</v>
      </c>
      <c r="N22" s="36"/>
    </row>
    <row r="23" spans="1:15" ht="19.5" customHeight="1">
      <c r="A23" s="8">
        <v>45188</v>
      </c>
      <c r="B23" s="56"/>
      <c r="C23" s="56"/>
      <c r="D23" s="23">
        <v>213.8</v>
      </c>
      <c r="E23" s="29">
        <v>949</v>
      </c>
      <c r="F23" s="33">
        <v>212.42</v>
      </c>
      <c r="G23" s="11">
        <v>804.90099999999995</v>
      </c>
      <c r="H23" s="9">
        <v>93</v>
      </c>
      <c r="I23" s="34">
        <v>0</v>
      </c>
      <c r="J23" s="1">
        <v>70</v>
      </c>
      <c r="K23" s="1">
        <v>60</v>
      </c>
      <c r="L23" s="34">
        <v>0</v>
      </c>
      <c r="M23" s="34">
        <f t="shared" si="0"/>
        <v>130</v>
      </c>
      <c r="N23" s="36"/>
    </row>
    <row r="24" spans="1:15" ht="19.5" customHeight="1">
      <c r="A24" s="8">
        <v>45189</v>
      </c>
      <c r="B24" s="56"/>
      <c r="C24" s="56"/>
      <c r="D24" s="23">
        <v>213.8</v>
      </c>
      <c r="E24" s="29">
        <v>949</v>
      </c>
      <c r="F24" s="33">
        <v>212.42</v>
      </c>
      <c r="G24" s="11">
        <v>804.90099999999995</v>
      </c>
      <c r="H24" s="9">
        <v>130</v>
      </c>
      <c r="I24" s="34">
        <v>0</v>
      </c>
      <c r="J24" s="1">
        <v>70</v>
      </c>
      <c r="K24" s="1">
        <v>60</v>
      </c>
      <c r="L24" s="34">
        <v>0</v>
      </c>
      <c r="M24" s="34">
        <f t="shared" si="0"/>
        <v>130</v>
      </c>
      <c r="N24" s="36"/>
    </row>
    <row r="25" spans="1:15" ht="19.5" customHeight="1">
      <c r="A25" s="8">
        <v>45190</v>
      </c>
      <c r="B25" s="56"/>
      <c r="C25" s="56"/>
      <c r="D25" s="23">
        <v>213.8</v>
      </c>
      <c r="E25" s="29">
        <v>949</v>
      </c>
      <c r="F25" s="33">
        <v>212.45</v>
      </c>
      <c r="G25" s="11">
        <v>808.03800000000001</v>
      </c>
      <c r="H25" s="9">
        <v>166</v>
      </c>
      <c r="I25" s="34">
        <v>0</v>
      </c>
      <c r="J25" s="1">
        <v>70</v>
      </c>
      <c r="K25" s="1">
        <v>60</v>
      </c>
      <c r="L25" s="34">
        <v>0</v>
      </c>
      <c r="M25" s="34">
        <f t="shared" si="0"/>
        <v>130</v>
      </c>
      <c r="N25" s="36"/>
    </row>
    <row r="26" spans="1:15" ht="19.5" customHeight="1">
      <c r="A26" s="8">
        <v>45191</v>
      </c>
      <c r="B26" s="56"/>
      <c r="C26" s="56"/>
      <c r="D26" s="23">
        <v>213.8</v>
      </c>
      <c r="E26" s="29">
        <v>949</v>
      </c>
      <c r="F26" s="33">
        <v>212.42</v>
      </c>
      <c r="G26" s="11">
        <v>804.90099999999995</v>
      </c>
      <c r="H26" s="9">
        <v>93</v>
      </c>
      <c r="I26" s="34">
        <v>0</v>
      </c>
      <c r="J26" s="1">
        <v>70</v>
      </c>
      <c r="K26" s="1">
        <v>60</v>
      </c>
      <c r="L26" s="34">
        <v>0</v>
      </c>
      <c r="M26" s="34">
        <f t="shared" si="0"/>
        <v>130</v>
      </c>
      <c r="N26" s="36"/>
      <c r="O26" s="19"/>
    </row>
    <row r="27" spans="1:15" ht="19.5" customHeight="1">
      <c r="A27" s="8">
        <v>45192</v>
      </c>
      <c r="B27" s="56"/>
      <c r="C27" s="56"/>
      <c r="D27" s="23">
        <v>213.8</v>
      </c>
      <c r="E27" s="29">
        <v>949</v>
      </c>
      <c r="F27" s="33">
        <v>212.4</v>
      </c>
      <c r="G27" s="11">
        <v>802.81</v>
      </c>
      <c r="H27" s="9">
        <v>105</v>
      </c>
      <c r="I27" s="34">
        <v>0</v>
      </c>
      <c r="J27" s="1">
        <v>70</v>
      </c>
      <c r="K27" s="1">
        <v>60</v>
      </c>
      <c r="L27" s="34">
        <v>0</v>
      </c>
      <c r="M27" s="34">
        <f t="shared" si="0"/>
        <v>130</v>
      </c>
      <c r="N27" s="36"/>
    </row>
    <row r="28" spans="1:15" ht="19.5" customHeight="1">
      <c r="A28" s="8">
        <v>45193</v>
      </c>
      <c r="B28" s="56"/>
      <c r="C28" s="56"/>
      <c r="D28" s="23">
        <v>213.8</v>
      </c>
      <c r="E28" s="29">
        <v>949</v>
      </c>
      <c r="F28" s="33">
        <v>212.4</v>
      </c>
      <c r="G28" s="11">
        <v>802.81</v>
      </c>
      <c r="H28" s="9">
        <v>130</v>
      </c>
      <c r="I28" s="34">
        <v>0</v>
      </c>
      <c r="J28" s="1">
        <v>70</v>
      </c>
      <c r="K28" s="1">
        <v>60</v>
      </c>
      <c r="L28" s="34">
        <v>0</v>
      </c>
      <c r="M28" s="34">
        <f t="shared" si="0"/>
        <v>130</v>
      </c>
      <c r="N28" s="36"/>
    </row>
    <row r="29" spans="1:15" ht="19.5" customHeight="1">
      <c r="A29" s="8">
        <v>45194</v>
      </c>
      <c r="B29" s="56"/>
      <c r="C29" s="56"/>
      <c r="D29" s="23">
        <v>213.8</v>
      </c>
      <c r="E29" s="29">
        <v>949</v>
      </c>
      <c r="F29" s="33">
        <v>212.36</v>
      </c>
      <c r="G29" s="11">
        <v>798.62800000000004</v>
      </c>
      <c r="H29" s="9">
        <v>81</v>
      </c>
      <c r="I29" s="34">
        <v>0</v>
      </c>
      <c r="J29" s="1">
        <v>70</v>
      </c>
      <c r="K29" s="1">
        <v>60</v>
      </c>
      <c r="L29" s="34">
        <v>0</v>
      </c>
      <c r="M29" s="34">
        <f t="shared" si="0"/>
        <v>130</v>
      </c>
      <c r="N29" s="36"/>
    </row>
    <row r="30" spans="1:15" ht="19.5" customHeight="1">
      <c r="A30" s="8">
        <v>45195</v>
      </c>
      <c r="B30" s="56"/>
      <c r="C30" s="56"/>
      <c r="D30" s="23">
        <v>213.8</v>
      </c>
      <c r="E30" s="29">
        <v>949</v>
      </c>
      <c r="F30" s="33">
        <v>212.34</v>
      </c>
      <c r="G30" s="11">
        <v>796.53700000000003</v>
      </c>
      <c r="H30" s="9">
        <v>105</v>
      </c>
      <c r="I30" s="34">
        <v>0</v>
      </c>
      <c r="J30" s="1">
        <v>70</v>
      </c>
      <c r="K30" s="1">
        <v>60</v>
      </c>
      <c r="L30" s="34">
        <v>0</v>
      </c>
      <c r="M30" s="34">
        <f t="shared" si="0"/>
        <v>130</v>
      </c>
      <c r="N30" s="36"/>
    </row>
    <row r="31" spans="1:15" ht="21" customHeight="1">
      <c r="A31" s="8">
        <v>45196</v>
      </c>
      <c r="B31" s="56"/>
      <c r="C31" s="56"/>
      <c r="D31" s="23">
        <v>213.8</v>
      </c>
      <c r="E31" s="29">
        <v>949</v>
      </c>
      <c r="F31" s="33">
        <v>212.31</v>
      </c>
      <c r="G31" s="11">
        <v>793.4</v>
      </c>
      <c r="H31" s="9">
        <v>93</v>
      </c>
      <c r="I31" s="34">
        <v>0</v>
      </c>
      <c r="J31" s="1">
        <v>70</v>
      </c>
      <c r="K31" s="1">
        <v>60</v>
      </c>
      <c r="L31" s="34">
        <v>0</v>
      </c>
      <c r="M31" s="34">
        <f t="shared" si="0"/>
        <v>130</v>
      </c>
      <c r="N31" s="36"/>
    </row>
    <row r="32" spans="1:15" ht="21" customHeight="1">
      <c r="A32" s="8">
        <v>45197</v>
      </c>
      <c r="B32" s="56"/>
      <c r="C32" s="56"/>
      <c r="D32" s="23">
        <v>213.8</v>
      </c>
      <c r="E32" s="29">
        <v>949</v>
      </c>
      <c r="F32" s="33">
        <v>212.28</v>
      </c>
      <c r="G32" s="11">
        <v>790.26300000000003</v>
      </c>
      <c r="H32" s="9">
        <v>93</v>
      </c>
      <c r="I32" s="34">
        <v>0</v>
      </c>
      <c r="J32" s="1">
        <v>70</v>
      </c>
      <c r="K32" s="1">
        <v>60</v>
      </c>
      <c r="L32" s="34">
        <v>0</v>
      </c>
      <c r="M32" s="34">
        <f t="shared" si="0"/>
        <v>130</v>
      </c>
      <c r="N32" s="36"/>
    </row>
    <row r="33" spans="1:15" ht="21" customHeight="1">
      <c r="A33" s="8">
        <v>45198</v>
      </c>
      <c r="B33" s="56"/>
      <c r="C33" s="56"/>
      <c r="D33" s="23">
        <v>213.8</v>
      </c>
      <c r="E33" s="29">
        <v>949</v>
      </c>
      <c r="F33" s="33">
        <v>212.25</v>
      </c>
      <c r="G33" s="11">
        <v>787.12599999999998</v>
      </c>
      <c r="H33" s="9">
        <v>93</v>
      </c>
      <c r="I33" s="34">
        <v>0</v>
      </c>
      <c r="J33" s="1">
        <v>70</v>
      </c>
      <c r="K33" s="1">
        <v>60</v>
      </c>
      <c r="L33" s="34">
        <v>0</v>
      </c>
      <c r="M33" s="34">
        <f t="shared" si="0"/>
        <v>130</v>
      </c>
      <c r="N33" s="36"/>
    </row>
    <row r="34" spans="1:15" ht="21" customHeight="1">
      <c r="A34" s="8">
        <v>45199</v>
      </c>
      <c r="B34" s="57"/>
      <c r="C34" s="57"/>
      <c r="D34" s="24">
        <v>213.8</v>
      </c>
      <c r="E34" s="29">
        <v>949</v>
      </c>
      <c r="F34" s="33">
        <v>212.23</v>
      </c>
      <c r="G34" s="11">
        <v>785.03499999999997</v>
      </c>
      <c r="H34" s="9">
        <v>105</v>
      </c>
      <c r="I34" s="34">
        <v>0</v>
      </c>
      <c r="J34" s="1">
        <v>70</v>
      </c>
      <c r="K34" s="1">
        <v>60</v>
      </c>
      <c r="L34" s="34">
        <v>0</v>
      </c>
      <c r="M34" s="34">
        <f t="shared" si="0"/>
        <v>130</v>
      </c>
      <c r="N34" s="36"/>
    </row>
    <row r="35" spans="1:15" ht="21" customHeight="1">
      <c r="A35" s="12"/>
      <c r="B35" s="13"/>
      <c r="C35" s="13"/>
      <c r="D35" s="14"/>
      <c r="E35" s="31"/>
      <c r="F35" s="15"/>
      <c r="G35" s="14"/>
      <c r="H35" s="16">
        <f>SUM(H5:H34)</f>
        <v>4231</v>
      </c>
      <c r="I35" s="16"/>
      <c r="J35" s="16">
        <f>SUM(J5:J34)</f>
        <v>2110</v>
      </c>
      <c r="K35" s="16">
        <f>SUM(K5:K34)</f>
        <v>1820</v>
      </c>
      <c r="L35" s="17"/>
      <c r="M35" s="17"/>
      <c r="N35" s="18"/>
      <c r="O35" s="20"/>
    </row>
    <row r="36" spans="1:15" ht="47.25" customHeight="1">
      <c r="A36" s="3"/>
      <c r="B36" s="4"/>
      <c r="C36" s="5"/>
      <c r="D36" s="5"/>
      <c r="E36" s="5"/>
      <c r="F36" s="5"/>
      <c r="G36" s="5"/>
      <c r="H36" s="5">
        <f>H35/11574</f>
        <v>0.36556073958873336</v>
      </c>
      <c r="I36" s="5"/>
      <c r="J36" s="5">
        <f>J35/11574</f>
        <v>0.18230516675306721</v>
      </c>
      <c r="K36" s="5">
        <f>K35/11574</f>
        <v>0.15724900639364092</v>
      </c>
      <c r="L36" s="27"/>
      <c r="M36" s="27"/>
      <c r="N36" s="7"/>
    </row>
    <row r="37" spans="1:15" ht="15.75" customHeight="1">
      <c r="A37" s="58" t="s">
        <v>9</v>
      </c>
      <c r="B37" s="53"/>
      <c r="C37" s="53"/>
      <c r="D37" s="53"/>
      <c r="J37" s="58" t="s">
        <v>10</v>
      </c>
      <c r="K37" s="53"/>
      <c r="L37" s="53"/>
      <c r="M37" s="53"/>
      <c r="N37" s="7"/>
    </row>
    <row r="38" spans="1:15" ht="15.75" customHeight="1">
      <c r="A38" s="59" t="s">
        <v>16</v>
      </c>
      <c r="B38" s="53"/>
      <c r="C38" s="53"/>
      <c r="D38" s="53"/>
      <c r="J38" s="59" t="s">
        <v>16</v>
      </c>
      <c r="K38" s="53"/>
      <c r="L38" s="53"/>
      <c r="M38" s="53"/>
      <c r="N38" s="7"/>
    </row>
    <row r="39" spans="1:15" ht="15.75" customHeight="1">
      <c r="A39" s="52" t="s">
        <v>17</v>
      </c>
      <c r="B39" s="53"/>
      <c r="C39" s="53"/>
      <c r="D39" s="53"/>
      <c r="J39" s="52" t="s">
        <v>17</v>
      </c>
      <c r="K39" s="53"/>
      <c r="L39" s="53"/>
      <c r="M39" s="53"/>
      <c r="N39" s="7"/>
    </row>
    <row r="40" spans="1:15" ht="15.75" customHeight="1"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</sheetData>
  <mergeCells count="20">
    <mergeCell ref="A39:D39"/>
    <mergeCell ref="J39:M39"/>
    <mergeCell ref="N3:N4"/>
    <mergeCell ref="B5:B34"/>
    <mergeCell ref="C5:C34"/>
    <mergeCell ref="A37:D37"/>
    <mergeCell ref="J37:M37"/>
    <mergeCell ref="A38:D38"/>
    <mergeCell ref="J38:M38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102"/>
  <sheetViews>
    <sheetView topLeftCell="A16" workbookViewId="0">
      <selection activeCell="J36" sqref="J36:K36"/>
    </sheetView>
  </sheetViews>
  <sheetFormatPr defaultColWidth="14.42578125" defaultRowHeight="15" customHeight="1"/>
  <cols>
    <col min="1" max="1" width="12.42578125" style="26" customWidth="1"/>
    <col min="2" max="2" width="6.28515625" style="26" customWidth="1"/>
    <col min="3" max="3" width="5.140625" style="26" customWidth="1"/>
    <col min="4" max="4" width="10" style="26" customWidth="1"/>
    <col min="5" max="5" width="10" style="28" customWidth="1"/>
    <col min="6" max="7" width="8.7109375" style="26" customWidth="1"/>
    <col min="8" max="8" width="9.85546875" style="26" customWidth="1"/>
    <col min="9" max="9" width="8.7109375" style="26" customWidth="1"/>
    <col min="10" max="10" width="8.42578125" style="26" customWidth="1"/>
    <col min="11" max="11" width="8.7109375" style="26" customWidth="1"/>
    <col min="12" max="12" width="6.42578125" style="26" customWidth="1"/>
    <col min="13" max="13" width="8.5703125" style="26" customWidth="1"/>
    <col min="14" max="14" width="8.85546875" style="26" customWidth="1"/>
    <col min="15" max="16384" width="14.42578125" style="26"/>
  </cols>
  <sheetData>
    <row r="1" spans="1:14" ht="14.25" customHeight="1">
      <c r="A1" s="39" t="s">
        <v>30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1"/>
    </row>
    <row r="2" spans="1:14" ht="15.75" customHeight="1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4"/>
    </row>
    <row r="3" spans="1:14" ht="14.25" customHeight="1">
      <c r="A3" s="45" t="s">
        <v>0</v>
      </c>
      <c r="B3" s="47" t="s">
        <v>1</v>
      </c>
      <c r="C3" s="47" t="s">
        <v>2</v>
      </c>
      <c r="D3" s="45" t="s">
        <v>3</v>
      </c>
      <c r="E3" s="45" t="s">
        <v>20</v>
      </c>
      <c r="F3" s="45" t="s">
        <v>4</v>
      </c>
      <c r="G3" s="45" t="s">
        <v>19</v>
      </c>
      <c r="H3" s="45" t="s">
        <v>5</v>
      </c>
      <c r="I3" s="48" t="s">
        <v>6</v>
      </c>
      <c r="J3" s="49"/>
      <c r="K3" s="49"/>
      <c r="L3" s="49"/>
      <c r="M3" s="50" t="s">
        <v>7</v>
      </c>
      <c r="N3" s="54" t="s">
        <v>8</v>
      </c>
    </row>
    <row r="4" spans="1:14" ht="51.75" customHeight="1">
      <c r="A4" s="46"/>
      <c r="B4" s="46"/>
      <c r="C4" s="46"/>
      <c r="D4" s="46"/>
      <c r="E4" s="51"/>
      <c r="F4" s="46"/>
      <c r="G4" s="46"/>
      <c r="H4" s="46"/>
      <c r="I4" s="10" t="s">
        <v>15</v>
      </c>
      <c r="J4" s="10" t="s">
        <v>13</v>
      </c>
      <c r="K4" s="21" t="s">
        <v>18</v>
      </c>
      <c r="L4" s="10" t="s">
        <v>14</v>
      </c>
      <c r="M4" s="46"/>
      <c r="N4" s="46"/>
    </row>
    <row r="5" spans="1:14" ht="19.5" customHeight="1">
      <c r="A5" s="8">
        <v>45200</v>
      </c>
      <c r="B5" s="55" t="s">
        <v>11</v>
      </c>
      <c r="C5" s="55" t="s">
        <v>12</v>
      </c>
      <c r="D5" s="23">
        <v>213.8</v>
      </c>
      <c r="E5" s="29">
        <v>949</v>
      </c>
      <c r="F5" s="33">
        <v>212.2</v>
      </c>
      <c r="G5" s="11">
        <v>781.899</v>
      </c>
      <c r="H5" s="9">
        <v>93</v>
      </c>
      <c r="I5" s="34">
        <v>0</v>
      </c>
      <c r="J5" s="1">
        <v>70</v>
      </c>
      <c r="K5" s="1">
        <v>60</v>
      </c>
      <c r="L5" s="34">
        <v>0</v>
      </c>
      <c r="M5" s="34">
        <f>L5+K5+J5+I5</f>
        <v>130</v>
      </c>
      <c r="N5" s="36"/>
    </row>
    <row r="6" spans="1:14" ht="19.5" customHeight="1">
      <c r="A6" s="8">
        <v>45201</v>
      </c>
      <c r="B6" s="56"/>
      <c r="C6" s="56"/>
      <c r="D6" s="23">
        <v>213.8</v>
      </c>
      <c r="E6" s="29">
        <v>949</v>
      </c>
      <c r="F6" s="33">
        <v>212.18</v>
      </c>
      <c r="G6" s="11">
        <v>779.80700000000002</v>
      </c>
      <c r="H6" s="9">
        <v>105</v>
      </c>
      <c r="I6" s="34">
        <v>0</v>
      </c>
      <c r="J6" s="1">
        <v>70</v>
      </c>
      <c r="K6" s="1">
        <v>60</v>
      </c>
      <c r="L6" s="34">
        <v>0</v>
      </c>
      <c r="M6" s="34">
        <f t="shared" ref="M6:M35" si="0">L6+K6+J6+I6</f>
        <v>130</v>
      </c>
      <c r="N6" s="36"/>
    </row>
    <row r="7" spans="1:14" ht="19.5" customHeight="1">
      <c r="A7" s="8">
        <v>45202</v>
      </c>
      <c r="B7" s="56"/>
      <c r="C7" s="56"/>
      <c r="D7" s="23">
        <v>213.8</v>
      </c>
      <c r="E7" s="29">
        <v>949</v>
      </c>
      <c r="F7" s="33">
        <v>212.1</v>
      </c>
      <c r="G7" s="11">
        <v>771.44299999999998</v>
      </c>
      <c r="H7" s="9">
        <v>33</v>
      </c>
      <c r="I7" s="34">
        <v>0</v>
      </c>
      <c r="J7" s="1">
        <v>70</v>
      </c>
      <c r="K7" s="1">
        <v>60</v>
      </c>
      <c r="L7" s="34">
        <v>0</v>
      </c>
      <c r="M7" s="34">
        <f t="shared" si="0"/>
        <v>130</v>
      </c>
      <c r="N7" s="36"/>
    </row>
    <row r="8" spans="1:14" ht="19.5" customHeight="1">
      <c r="A8" s="8">
        <v>45203</v>
      </c>
      <c r="B8" s="56"/>
      <c r="C8" s="56"/>
      <c r="D8" s="23">
        <v>213.8</v>
      </c>
      <c r="E8" s="29">
        <v>949</v>
      </c>
      <c r="F8" s="33">
        <v>212.07</v>
      </c>
      <c r="G8" s="11">
        <v>768.30399999999997</v>
      </c>
      <c r="H8" s="9">
        <v>93</v>
      </c>
      <c r="I8" s="34">
        <v>0</v>
      </c>
      <c r="J8" s="1">
        <v>70</v>
      </c>
      <c r="K8" s="1">
        <v>60</v>
      </c>
      <c r="L8" s="34">
        <v>0</v>
      </c>
      <c r="M8" s="34">
        <f t="shared" si="0"/>
        <v>130</v>
      </c>
      <c r="N8" s="36"/>
    </row>
    <row r="9" spans="1:14" ht="19.5" customHeight="1">
      <c r="A9" s="8">
        <v>45204</v>
      </c>
      <c r="B9" s="56"/>
      <c r="C9" s="56"/>
      <c r="D9" s="23">
        <v>213.8</v>
      </c>
      <c r="E9" s="29">
        <v>949</v>
      </c>
      <c r="F9" s="33">
        <v>212</v>
      </c>
      <c r="G9" s="11">
        <v>760.98699999999997</v>
      </c>
      <c r="H9" s="9">
        <v>45</v>
      </c>
      <c r="I9" s="34">
        <v>0</v>
      </c>
      <c r="J9" s="1">
        <v>70</v>
      </c>
      <c r="K9" s="1">
        <v>60</v>
      </c>
      <c r="L9" s="34">
        <v>0</v>
      </c>
      <c r="M9" s="34">
        <f t="shared" si="0"/>
        <v>130</v>
      </c>
      <c r="N9" s="36"/>
    </row>
    <row r="10" spans="1:14" ht="19.5" customHeight="1">
      <c r="A10" s="8">
        <v>45205</v>
      </c>
      <c r="B10" s="56"/>
      <c r="C10" s="56"/>
      <c r="D10" s="23">
        <v>213.8</v>
      </c>
      <c r="E10" s="29">
        <v>949</v>
      </c>
      <c r="F10" s="33">
        <v>211.93</v>
      </c>
      <c r="G10" s="11">
        <v>753.66800000000001</v>
      </c>
      <c r="H10" s="9">
        <v>45</v>
      </c>
      <c r="I10" s="34">
        <v>0</v>
      </c>
      <c r="J10" s="1">
        <v>70</v>
      </c>
      <c r="K10" s="1">
        <v>60</v>
      </c>
      <c r="L10" s="34">
        <v>0</v>
      </c>
      <c r="M10" s="34">
        <f t="shared" si="0"/>
        <v>130</v>
      </c>
      <c r="N10" s="36"/>
    </row>
    <row r="11" spans="1:14" ht="19.5" customHeight="1">
      <c r="A11" s="8">
        <v>45206</v>
      </c>
      <c r="B11" s="56"/>
      <c r="C11" s="56"/>
      <c r="D11" s="23">
        <v>213.8</v>
      </c>
      <c r="E11" s="29">
        <v>949</v>
      </c>
      <c r="F11" s="33">
        <v>211.88</v>
      </c>
      <c r="G11" s="11">
        <v>748.44</v>
      </c>
      <c r="H11" s="9">
        <v>69</v>
      </c>
      <c r="I11" s="34">
        <v>0</v>
      </c>
      <c r="J11" s="1">
        <v>70</v>
      </c>
      <c r="K11" s="1">
        <v>60</v>
      </c>
      <c r="L11" s="34">
        <v>0</v>
      </c>
      <c r="M11" s="34">
        <f t="shared" si="0"/>
        <v>130</v>
      </c>
      <c r="N11" s="36"/>
    </row>
    <row r="12" spans="1:14" ht="19.5" customHeight="1">
      <c r="A12" s="8">
        <v>45207</v>
      </c>
      <c r="B12" s="56"/>
      <c r="C12" s="56"/>
      <c r="D12" s="23">
        <v>213.8</v>
      </c>
      <c r="E12" s="29">
        <v>949</v>
      </c>
      <c r="F12" s="33">
        <v>211.81</v>
      </c>
      <c r="G12" s="11">
        <v>741.12099999999998</v>
      </c>
      <c r="H12" s="9">
        <v>45</v>
      </c>
      <c r="I12" s="34">
        <v>0</v>
      </c>
      <c r="J12" s="1">
        <v>70</v>
      </c>
      <c r="K12" s="1">
        <v>60</v>
      </c>
      <c r="L12" s="34">
        <v>0</v>
      </c>
      <c r="M12" s="34">
        <f t="shared" si="0"/>
        <v>130</v>
      </c>
      <c r="N12" s="36"/>
    </row>
    <row r="13" spans="1:14" ht="19.5" customHeight="1">
      <c r="A13" s="8">
        <v>45208</v>
      </c>
      <c r="B13" s="56"/>
      <c r="C13" s="56"/>
      <c r="D13" s="23">
        <v>213.8</v>
      </c>
      <c r="E13" s="29">
        <v>949</v>
      </c>
      <c r="F13" s="35">
        <v>211.75</v>
      </c>
      <c r="G13" s="33">
        <v>734.85799999999995</v>
      </c>
      <c r="H13" s="9">
        <v>57</v>
      </c>
      <c r="I13" s="34">
        <v>0</v>
      </c>
      <c r="J13" s="1">
        <v>70</v>
      </c>
      <c r="K13" s="1">
        <v>60</v>
      </c>
      <c r="L13" s="34">
        <v>0</v>
      </c>
      <c r="M13" s="34">
        <f t="shared" si="0"/>
        <v>130</v>
      </c>
      <c r="N13" s="36"/>
    </row>
    <row r="14" spans="1:14" ht="19.5" customHeight="1">
      <c r="A14" s="8">
        <v>45209</v>
      </c>
      <c r="B14" s="56"/>
      <c r="C14" s="56"/>
      <c r="D14" s="23">
        <v>213.8</v>
      </c>
      <c r="E14" s="29">
        <v>949</v>
      </c>
      <c r="F14" s="33">
        <v>211.68</v>
      </c>
      <c r="G14" s="11">
        <v>727.529</v>
      </c>
      <c r="H14" s="9">
        <v>45</v>
      </c>
      <c r="I14" s="34">
        <v>0</v>
      </c>
      <c r="J14" s="1">
        <v>70</v>
      </c>
      <c r="K14" s="1">
        <v>60</v>
      </c>
      <c r="L14" s="34">
        <v>0</v>
      </c>
      <c r="M14" s="34">
        <f t="shared" si="0"/>
        <v>130</v>
      </c>
      <c r="N14" s="36"/>
    </row>
    <row r="15" spans="1:14" ht="19.5" customHeight="1">
      <c r="A15" s="8">
        <v>45210</v>
      </c>
      <c r="B15" s="56"/>
      <c r="C15" s="56"/>
      <c r="D15" s="23">
        <v>213.8</v>
      </c>
      <c r="E15" s="29">
        <v>949</v>
      </c>
      <c r="F15" s="33">
        <v>211.6</v>
      </c>
      <c r="G15" s="11">
        <v>719.16399999999999</v>
      </c>
      <c r="H15" s="9">
        <v>33</v>
      </c>
      <c r="I15" s="34">
        <v>0</v>
      </c>
      <c r="J15" s="1">
        <v>70</v>
      </c>
      <c r="K15" s="1">
        <v>60</v>
      </c>
      <c r="L15" s="34">
        <v>0</v>
      </c>
      <c r="M15" s="34">
        <f t="shared" si="0"/>
        <v>130</v>
      </c>
      <c r="N15" s="36"/>
    </row>
    <row r="16" spans="1:14" ht="19.5" customHeight="1">
      <c r="A16" s="8">
        <v>45211</v>
      </c>
      <c r="B16" s="56"/>
      <c r="C16" s="56"/>
      <c r="D16" s="23">
        <v>213.8</v>
      </c>
      <c r="E16" s="29">
        <v>949</v>
      </c>
      <c r="F16" s="33">
        <v>211.6</v>
      </c>
      <c r="G16" s="11">
        <v>710.8</v>
      </c>
      <c r="H16" s="9">
        <v>33</v>
      </c>
      <c r="I16" s="34">
        <v>0</v>
      </c>
      <c r="J16" s="1">
        <v>70</v>
      </c>
      <c r="K16" s="1">
        <v>60</v>
      </c>
      <c r="L16" s="34">
        <v>0</v>
      </c>
      <c r="M16" s="34">
        <f t="shared" si="0"/>
        <v>130</v>
      </c>
      <c r="N16" s="36"/>
    </row>
    <row r="17" spans="1:15" ht="19.5" customHeight="1">
      <c r="A17" s="8">
        <v>45212</v>
      </c>
      <c r="B17" s="56"/>
      <c r="C17" s="56"/>
      <c r="D17" s="23">
        <v>213.8</v>
      </c>
      <c r="E17" s="29">
        <v>949</v>
      </c>
      <c r="F17" s="33">
        <v>211.45</v>
      </c>
      <c r="G17" s="11">
        <v>703.48099999999999</v>
      </c>
      <c r="H17" s="9">
        <v>45</v>
      </c>
      <c r="I17" s="34">
        <v>0</v>
      </c>
      <c r="J17" s="1">
        <v>70</v>
      </c>
      <c r="K17" s="1">
        <v>60</v>
      </c>
      <c r="L17" s="34">
        <v>0</v>
      </c>
      <c r="M17" s="34">
        <f t="shared" si="0"/>
        <v>130</v>
      </c>
      <c r="N17" s="36"/>
    </row>
    <row r="18" spans="1:15" ht="19.5" customHeight="1">
      <c r="A18" s="8">
        <v>45213</v>
      </c>
      <c r="B18" s="56"/>
      <c r="C18" s="56"/>
      <c r="D18" s="23">
        <v>213.8</v>
      </c>
      <c r="E18" s="29">
        <v>949</v>
      </c>
      <c r="F18" s="33">
        <v>211.36</v>
      </c>
      <c r="G18" s="11">
        <v>694.07100000000003</v>
      </c>
      <c r="H18" s="9">
        <v>21</v>
      </c>
      <c r="I18" s="34">
        <v>0</v>
      </c>
      <c r="J18" s="1">
        <v>70</v>
      </c>
      <c r="K18" s="1">
        <v>60</v>
      </c>
      <c r="L18" s="34">
        <v>0</v>
      </c>
      <c r="M18" s="34">
        <f t="shared" si="0"/>
        <v>130</v>
      </c>
      <c r="N18" s="36"/>
    </row>
    <row r="19" spans="1:15" ht="19.5" customHeight="1">
      <c r="A19" s="8">
        <v>45214</v>
      </c>
      <c r="B19" s="56"/>
      <c r="C19" s="56"/>
      <c r="D19" s="23">
        <v>213.8</v>
      </c>
      <c r="E19" s="29">
        <v>949</v>
      </c>
      <c r="F19" s="33">
        <v>211.28</v>
      </c>
      <c r="G19" s="11">
        <v>685.70600000000002</v>
      </c>
      <c r="H19" s="9">
        <v>33</v>
      </c>
      <c r="I19" s="34">
        <v>0</v>
      </c>
      <c r="J19" s="1">
        <v>70</v>
      </c>
      <c r="K19" s="1">
        <v>60</v>
      </c>
      <c r="L19" s="34">
        <v>0</v>
      </c>
      <c r="M19" s="34">
        <f t="shared" si="0"/>
        <v>130</v>
      </c>
      <c r="N19" s="36"/>
    </row>
    <row r="20" spans="1:15" ht="19.5" customHeight="1">
      <c r="A20" s="8">
        <v>45215</v>
      </c>
      <c r="B20" s="56"/>
      <c r="C20" s="56"/>
      <c r="D20" s="23">
        <v>213.8</v>
      </c>
      <c r="E20" s="29">
        <v>949</v>
      </c>
      <c r="F20" s="33">
        <v>211.2</v>
      </c>
      <c r="G20" s="11">
        <v>677.34199999999998</v>
      </c>
      <c r="H20" s="9">
        <v>33</v>
      </c>
      <c r="I20" s="34">
        <v>0</v>
      </c>
      <c r="J20" s="1">
        <v>70</v>
      </c>
      <c r="K20" s="1">
        <v>60</v>
      </c>
      <c r="L20" s="34">
        <v>0</v>
      </c>
      <c r="M20" s="34">
        <f t="shared" si="0"/>
        <v>130</v>
      </c>
      <c r="N20" s="36"/>
    </row>
    <row r="21" spans="1:15" ht="19.5" customHeight="1">
      <c r="A21" s="8">
        <v>45216</v>
      </c>
      <c r="B21" s="56"/>
      <c r="C21" s="56"/>
      <c r="D21" s="23">
        <v>213.8</v>
      </c>
      <c r="E21" s="29">
        <v>949</v>
      </c>
      <c r="F21" s="33">
        <v>211.13</v>
      </c>
      <c r="G21" s="11">
        <v>670.02300000000002</v>
      </c>
      <c r="H21" s="9">
        <v>45</v>
      </c>
      <c r="I21" s="34">
        <v>0</v>
      </c>
      <c r="J21" s="1">
        <v>70</v>
      </c>
      <c r="K21" s="1">
        <v>60</v>
      </c>
      <c r="L21" s="34">
        <v>0</v>
      </c>
      <c r="M21" s="34">
        <f t="shared" si="0"/>
        <v>130</v>
      </c>
      <c r="N21" s="36"/>
    </row>
    <row r="22" spans="1:15" ht="19.5" customHeight="1">
      <c r="A22" s="8">
        <v>45217</v>
      </c>
      <c r="B22" s="56"/>
      <c r="C22" s="56"/>
      <c r="D22" s="23">
        <v>213.8</v>
      </c>
      <c r="E22" s="29">
        <v>949</v>
      </c>
      <c r="F22" s="33">
        <v>211.05</v>
      </c>
      <c r="G22" s="11">
        <v>661.65800000000002</v>
      </c>
      <c r="H22" s="9">
        <v>33</v>
      </c>
      <c r="I22" s="34">
        <v>0</v>
      </c>
      <c r="J22" s="1">
        <v>70</v>
      </c>
      <c r="K22" s="1">
        <v>60</v>
      </c>
      <c r="L22" s="34">
        <v>0</v>
      </c>
      <c r="M22" s="34">
        <f t="shared" si="0"/>
        <v>130</v>
      </c>
      <c r="N22" s="36"/>
    </row>
    <row r="23" spans="1:15" ht="19.5" customHeight="1">
      <c r="A23" s="8">
        <v>45218</v>
      </c>
      <c r="B23" s="56"/>
      <c r="C23" s="56"/>
      <c r="D23" s="23">
        <v>213.8</v>
      </c>
      <c r="E23" s="29">
        <v>949</v>
      </c>
      <c r="F23" s="33">
        <v>210.95</v>
      </c>
      <c r="G23" s="11">
        <v>651.702</v>
      </c>
      <c r="H23" s="9">
        <v>14</v>
      </c>
      <c r="I23" s="34">
        <v>0</v>
      </c>
      <c r="J23" s="1">
        <v>70</v>
      </c>
      <c r="K23" s="1">
        <v>60</v>
      </c>
      <c r="L23" s="34">
        <v>0</v>
      </c>
      <c r="M23" s="34">
        <f t="shared" si="0"/>
        <v>130</v>
      </c>
      <c r="N23" s="36"/>
    </row>
    <row r="24" spans="1:15" ht="19.5" customHeight="1">
      <c r="A24" s="8">
        <v>45219</v>
      </c>
      <c r="B24" s="56"/>
      <c r="C24" s="56"/>
      <c r="D24" s="23">
        <v>213.8</v>
      </c>
      <c r="E24" s="29">
        <v>949</v>
      </c>
      <c r="F24" s="33">
        <v>210.89</v>
      </c>
      <c r="G24" s="11">
        <v>645.82899999999995</v>
      </c>
      <c r="H24" s="9">
        <v>0</v>
      </c>
      <c r="I24" s="34">
        <v>0</v>
      </c>
      <c r="J24" s="1">
        <v>70</v>
      </c>
      <c r="K24" s="1">
        <v>60</v>
      </c>
      <c r="L24" s="34">
        <v>0</v>
      </c>
      <c r="M24" s="34">
        <f t="shared" si="0"/>
        <v>130</v>
      </c>
      <c r="N24" s="36"/>
    </row>
    <row r="25" spans="1:15" ht="19.5" customHeight="1">
      <c r="A25" s="8">
        <v>45220</v>
      </c>
      <c r="B25" s="56"/>
      <c r="C25" s="56"/>
      <c r="D25" s="23">
        <v>213.8</v>
      </c>
      <c r="E25" s="29">
        <v>949</v>
      </c>
      <c r="F25" s="33">
        <v>210.81</v>
      </c>
      <c r="G25" s="11">
        <v>636.66399999999999</v>
      </c>
      <c r="H25" s="9">
        <v>23</v>
      </c>
      <c r="I25" s="34">
        <v>0</v>
      </c>
      <c r="J25" s="1">
        <v>70</v>
      </c>
      <c r="K25" s="1">
        <v>60</v>
      </c>
      <c r="L25" s="34">
        <v>0</v>
      </c>
      <c r="M25" s="34">
        <f t="shared" si="0"/>
        <v>130</v>
      </c>
      <c r="N25" s="36"/>
    </row>
    <row r="26" spans="1:15" ht="19.5" customHeight="1">
      <c r="A26" s="8">
        <v>45221</v>
      </c>
      <c r="B26" s="56"/>
      <c r="C26" s="56"/>
      <c r="D26" s="23">
        <v>213.8</v>
      </c>
      <c r="E26" s="29">
        <v>949</v>
      </c>
      <c r="F26" s="33">
        <v>210.72</v>
      </c>
      <c r="G26" s="11">
        <v>628.58799999999997</v>
      </c>
      <c r="H26" s="9">
        <v>36</v>
      </c>
      <c r="I26" s="34">
        <v>0</v>
      </c>
      <c r="J26" s="1">
        <v>70</v>
      </c>
      <c r="K26" s="1">
        <v>60</v>
      </c>
      <c r="L26" s="34">
        <v>0</v>
      </c>
      <c r="M26" s="34">
        <f t="shared" si="0"/>
        <v>130</v>
      </c>
      <c r="N26" s="36"/>
      <c r="O26" s="19"/>
    </row>
    <row r="27" spans="1:15" ht="19.5" customHeight="1">
      <c r="A27" s="8">
        <v>45222</v>
      </c>
      <c r="B27" s="56"/>
      <c r="C27" s="56"/>
      <c r="D27" s="23">
        <v>213.8</v>
      </c>
      <c r="E27" s="29">
        <v>949</v>
      </c>
      <c r="F27" s="33">
        <v>210.65</v>
      </c>
      <c r="G27" s="11">
        <v>622.524</v>
      </c>
      <c r="H27" s="9">
        <v>60</v>
      </c>
      <c r="I27" s="34">
        <v>0</v>
      </c>
      <c r="J27" s="1">
        <v>70</v>
      </c>
      <c r="K27" s="1">
        <v>60</v>
      </c>
      <c r="L27" s="34">
        <v>0</v>
      </c>
      <c r="M27" s="34">
        <f t="shared" si="0"/>
        <v>130</v>
      </c>
      <c r="N27" s="36"/>
    </row>
    <row r="28" spans="1:15" ht="19.5" customHeight="1">
      <c r="A28" s="8">
        <v>45223</v>
      </c>
      <c r="B28" s="56"/>
      <c r="C28" s="56"/>
      <c r="D28" s="23">
        <v>213.8</v>
      </c>
      <c r="E28" s="29">
        <v>949</v>
      </c>
      <c r="F28" s="33">
        <v>210.55</v>
      </c>
      <c r="G28" s="11">
        <v>613.86</v>
      </c>
      <c r="H28" s="9">
        <v>30</v>
      </c>
      <c r="I28" s="34">
        <v>0</v>
      </c>
      <c r="J28" s="1">
        <v>70</v>
      </c>
      <c r="K28" s="1">
        <v>60</v>
      </c>
      <c r="L28" s="34">
        <v>0</v>
      </c>
      <c r="M28" s="34">
        <f t="shared" si="0"/>
        <v>130</v>
      </c>
      <c r="N28" s="36"/>
    </row>
    <row r="29" spans="1:15" ht="19.5" customHeight="1">
      <c r="A29" s="8">
        <v>45224</v>
      </c>
      <c r="B29" s="56"/>
      <c r="C29" s="56"/>
      <c r="D29" s="23">
        <v>213.8</v>
      </c>
      <c r="E29" s="29">
        <v>949</v>
      </c>
      <c r="F29" s="33">
        <v>210.44</v>
      </c>
      <c r="G29" s="11">
        <v>604.33100000000002</v>
      </c>
      <c r="H29" s="9">
        <v>19</v>
      </c>
      <c r="I29" s="34">
        <v>0</v>
      </c>
      <c r="J29" s="1">
        <v>70</v>
      </c>
      <c r="K29" s="1">
        <v>60</v>
      </c>
      <c r="L29" s="34">
        <v>0</v>
      </c>
      <c r="M29" s="34">
        <f t="shared" si="0"/>
        <v>130</v>
      </c>
      <c r="N29" s="36"/>
    </row>
    <row r="30" spans="1:15" ht="19.5" customHeight="1">
      <c r="A30" s="8">
        <v>45225</v>
      </c>
      <c r="B30" s="56"/>
      <c r="C30" s="56"/>
      <c r="D30" s="23">
        <v>213.8</v>
      </c>
      <c r="E30" s="29">
        <v>949</v>
      </c>
      <c r="F30" s="33">
        <v>210.38</v>
      </c>
      <c r="G30" s="11">
        <v>599.13300000000004</v>
      </c>
      <c r="H30" s="9">
        <v>70</v>
      </c>
      <c r="I30" s="34">
        <v>0</v>
      </c>
      <c r="J30" s="1">
        <v>70</v>
      </c>
      <c r="K30" s="1">
        <v>60</v>
      </c>
      <c r="L30" s="34">
        <v>0</v>
      </c>
      <c r="M30" s="34">
        <f t="shared" si="0"/>
        <v>130</v>
      </c>
      <c r="N30" s="36"/>
    </row>
    <row r="31" spans="1:15" ht="21" customHeight="1">
      <c r="A31" s="8">
        <v>45226</v>
      </c>
      <c r="B31" s="56"/>
      <c r="C31" s="56"/>
      <c r="D31" s="23">
        <v>213.8</v>
      </c>
      <c r="E31" s="29">
        <v>949</v>
      </c>
      <c r="F31" s="33">
        <v>210.3</v>
      </c>
      <c r="G31" s="11">
        <v>592.202</v>
      </c>
      <c r="H31" s="9">
        <v>50</v>
      </c>
      <c r="I31" s="34">
        <v>0</v>
      </c>
      <c r="J31" s="1">
        <v>70</v>
      </c>
      <c r="K31" s="1">
        <v>60</v>
      </c>
      <c r="L31" s="34">
        <v>0</v>
      </c>
      <c r="M31" s="34">
        <f t="shared" si="0"/>
        <v>130</v>
      </c>
      <c r="N31" s="36"/>
    </row>
    <row r="32" spans="1:15" ht="21" customHeight="1">
      <c r="A32" s="8">
        <v>45227</v>
      </c>
      <c r="B32" s="56"/>
      <c r="C32" s="56"/>
      <c r="D32" s="23">
        <v>213.8</v>
      </c>
      <c r="E32" s="29">
        <v>949</v>
      </c>
      <c r="F32" s="33">
        <v>210.2</v>
      </c>
      <c r="G32" s="11">
        <v>583.53899999999999</v>
      </c>
      <c r="H32" s="9">
        <v>35</v>
      </c>
      <c r="I32" s="34">
        <v>0</v>
      </c>
      <c r="J32" s="1">
        <v>75</v>
      </c>
      <c r="K32" s="1">
        <v>60</v>
      </c>
      <c r="L32" s="34">
        <v>0</v>
      </c>
      <c r="M32" s="34">
        <f t="shared" si="0"/>
        <v>135</v>
      </c>
      <c r="N32" s="36"/>
    </row>
    <row r="33" spans="1:15" ht="21" customHeight="1">
      <c r="A33" s="8">
        <v>45228</v>
      </c>
      <c r="B33" s="56"/>
      <c r="C33" s="56"/>
      <c r="D33" s="23">
        <v>213.8</v>
      </c>
      <c r="E33" s="29">
        <v>949</v>
      </c>
      <c r="F33" s="33">
        <v>210.1</v>
      </c>
      <c r="G33" s="11">
        <v>574.87599999999998</v>
      </c>
      <c r="H33" s="9">
        <v>35</v>
      </c>
      <c r="I33" s="34">
        <v>0</v>
      </c>
      <c r="J33" s="1">
        <v>75</v>
      </c>
      <c r="K33" s="1">
        <v>60</v>
      </c>
      <c r="L33" s="34">
        <v>0</v>
      </c>
      <c r="M33" s="34">
        <f t="shared" si="0"/>
        <v>135</v>
      </c>
      <c r="N33" s="36"/>
    </row>
    <row r="34" spans="1:15" ht="21" customHeight="1">
      <c r="A34" s="8">
        <v>45229</v>
      </c>
      <c r="B34" s="56"/>
      <c r="C34" s="56"/>
      <c r="D34" s="23">
        <v>213.8</v>
      </c>
      <c r="E34" s="29">
        <v>949</v>
      </c>
      <c r="F34" s="33">
        <v>210</v>
      </c>
      <c r="G34" s="11">
        <v>566.21299999999997</v>
      </c>
      <c r="H34" s="9">
        <v>35</v>
      </c>
      <c r="I34" s="34">
        <v>0</v>
      </c>
      <c r="J34" s="1">
        <v>75</v>
      </c>
      <c r="K34" s="1">
        <v>60</v>
      </c>
      <c r="L34" s="34">
        <v>0</v>
      </c>
      <c r="M34" s="34">
        <f t="shared" si="0"/>
        <v>135</v>
      </c>
      <c r="N34" s="36"/>
    </row>
    <row r="35" spans="1:15" ht="21" customHeight="1">
      <c r="A35" s="8">
        <v>45230</v>
      </c>
      <c r="B35" s="57"/>
      <c r="C35" s="57"/>
      <c r="D35" s="24">
        <v>213.8</v>
      </c>
      <c r="E35" s="29">
        <v>949</v>
      </c>
      <c r="F35" s="33">
        <v>209.89</v>
      </c>
      <c r="G35" s="11">
        <v>556.68299999999999</v>
      </c>
      <c r="H35" s="9">
        <v>24</v>
      </c>
      <c r="I35" s="34">
        <v>0</v>
      </c>
      <c r="J35" s="1">
        <v>75</v>
      </c>
      <c r="K35" s="1">
        <v>60</v>
      </c>
      <c r="L35" s="34">
        <v>0</v>
      </c>
      <c r="M35" s="34">
        <f t="shared" si="0"/>
        <v>135</v>
      </c>
      <c r="N35" s="36"/>
    </row>
    <row r="36" spans="1:15" ht="21" customHeight="1">
      <c r="A36" s="12"/>
      <c r="B36" s="13"/>
      <c r="C36" s="13"/>
      <c r="D36" s="14"/>
      <c r="E36" s="14"/>
      <c r="F36" s="15"/>
      <c r="G36" s="14"/>
      <c r="H36" s="16">
        <f>SUM(H5:H35)</f>
        <v>1337</v>
      </c>
      <c r="I36" s="16"/>
      <c r="J36" s="16">
        <f>SUM(J5:J35)</f>
        <v>2190</v>
      </c>
      <c r="K36" s="16">
        <f>SUM(K5:K35)</f>
        <v>1860</v>
      </c>
      <c r="L36" s="17"/>
      <c r="M36" s="17"/>
      <c r="N36" s="18"/>
      <c r="O36" s="20"/>
    </row>
    <row r="37" spans="1:15" ht="47.25" customHeight="1">
      <c r="A37" s="3"/>
      <c r="B37" s="4"/>
      <c r="C37" s="5"/>
      <c r="D37" s="5"/>
      <c r="E37" s="5"/>
      <c r="F37" s="5"/>
      <c r="G37" s="5"/>
      <c r="H37" s="5">
        <f>H36/11574</f>
        <v>0.1155175393122516</v>
      </c>
      <c r="I37" s="5"/>
      <c r="J37" s="5">
        <f>J36/11574</f>
        <v>0.18921721099015035</v>
      </c>
      <c r="K37" s="5">
        <f>K36/11574</f>
        <v>0.16070502851218249</v>
      </c>
      <c r="L37" s="27"/>
      <c r="M37" s="27"/>
      <c r="N37" s="7"/>
    </row>
    <row r="38" spans="1:15" ht="15.75" customHeight="1">
      <c r="A38" s="58" t="s">
        <v>9</v>
      </c>
      <c r="B38" s="53"/>
      <c r="C38" s="53"/>
      <c r="D38" s="53"/>
      <c r="J38" s="58" t="s">
        <v>10</v>
      </c>
      <c r="K38" s="53"/>
      <c r="L38" s="53"/>
      <c r="M38" s="53"/>
      <c r="N38" s="7"/>
    </row>
    <row r="39" spans="1:15" ht="15.75" customHeight="1">
      <c r="A39" s="59" t="s">
        <v>16</v>
      </c>
      <c r="B39" s="53"/>
      <c r="C39" s="53"/>
      <c r="D39" s="53"/>
      <c r="J39" s="59" t="s">
        <v>16</v>
      </c>
      <c r="K39" s="53"/>
      <c r="L39" s="53"/>
      <c r="M39" s="53"/>
      <c r="N39" s="7"/>
    </row>
    <row r="40" spans="1:15" ht="15.75" customHeight="1">
      <c r="A40" s="52" t="s">
        <v>17</v>
      </c>
      <c r="B40" s="53"/>
      <c r="C40" s="53"/>
      <c r="D40" s="53"/>
      <c r="J40" s="52" t="s">
        <v>17</v>
      </c>
      <c r="K40" s="53"/>
      <c r="L40" s="53"/>
      <c r="M40" s="53"/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  <row r="102" spans="14:14" ht="15.75" customHeight="1">
      <c r="N102" s="7"/>
    </row>
  </sheetData>
  <mergeCells count="20">
    <mergeCell ref="A40:D40"/>
    <mergeCell ref="J40:M40"/>
    <mergeCell ref="N3:N4"/>
    <mergeCell ref="B5:B35"/>
    <mergeCell ref="C5:C35"/>
    <mergeCell ref="A38:D38"/>
    <mergeCell ref="J38:M38"/>
    <mergeCell ref="A39:D39"/>
    <mergeCell ref="J39:M39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101"/>
  <sheetViews>
    <sheetView topLeftCell="A16" workbookViewId="0">
      <selection activeCell="J35" sqref="J35:K35"/>
    </sheetView>
  </sheetViews>
  <sheetFormatPr defaultColWidth="14.42578125" defaultRowHeight="15" customHeight="1"/>
  <cols>
    <col min="1" max="1" width="12.42578125" style="26" customWidth="1"/>
    <col min="2" max="2" width="6.28515625" style="26" customWidth="1"/>
    <col min="3" max="3" width="5.140625" style="26" customWidth="1"/>
    <col min="4" max="4" width="10" style="26" customWidth="1"/>
    <col min="5" max="5" width="10" style="28" customWidth="1"/>
    <col min="6" max="7" width="8.7109375" style="26" customWidth="1"/>
    <col min="8" max="8" width="9.85546875" style="26" customWidth="1"/>
    <col min="9" max="9" width="8.7109375" style="26" customWidth="1"/>
    <col min="10" max="10" width="8.42578125" style="26" customWidth="1"/>
    <col min="11" max="11" width="8.7109375" style="26" customWidth="1"/>
    <col min="12" max="12" width="6.42578125" style="26" customWidth="1"/>
    <col min="13" max="13" width="8.5703125" style="26" customWidth="1"/>
    <col min="14" max="14" width="8.85546875" style="26" customWidth="1"/>
    <col min="15" max="16384" width="14.42578125" style="26"/>
  </cols>
  <sheetData>
    <row r="1" spans="1:14" ht="14.25" customHeight="1">
      <c r="A1" s="39" t="s">
        <v>31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1"/>
    </row>
    <row r="2" spans="1:14" ht="15.75" customHeight="1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4"/>
    </row>
    <row r="3" spans="1:14" ht="14.25" customHeight="1">
      <c r="A3" s="45" t="s">
        <v>0</v>
      </c>
      <c r="B3" s="47" t="s">
        <v>1</v>
      </c>
      <c r="C3" s="47" t="s">
        <v>2</v>
      </c>
      <c r="D3" s="45" t="s">
        <v>3</v>
      </c>
      <c r="E3" s="45" t="s">
        <v>20</v>
      </c>
      <c r="F3" s="45" t="s">
        <v>4</v>
      </c>
      <c r="G3" s="45" t="s">
        <v>19</v>
      </c>
      <c r="H3" s="45" t="s">
        <v>5</v>
      </c>
      <c r="I3" s="48" t="s">
        <v>6</v>
      </c>
      <c r="J3" s="49"/>
      <c r="K3" s="49"/>
      <c r="L3" s="49"/>
      <c r="M3" s="50" t="s">
        <v>7</v>
      </c>
      <c r="N3" s="54" t="s">
        <v>8</v>
      </c>
    </row>
    <row r="4" spans="1:14" ht="51.75" customHeight="1">
      <c r="A4" s="46"/>
      <c r="B4" s="46"/>
      <c r="C4" s="46"/>
      <c r="D4" s="46"/>
      <c r="E4" s="51"/>
      <c r="F4" s="46"/>
      <c r="G4" s="46"/>
      <c r="H4" s="46"/>
      <c r="I4" s="10" t="s">
        <v>15</v>
      </c>
      <c r="J4" s="10" t="s">
        <v>13</v>
      </c>
      <c r="K4" s="21" t="s">
        <v>18</v>
      </c>
      <c r="L4" s="10" t="s">
        <v>14</v>
      </c>
      <c r="M4" s="46"/>
      <c r="N4" s="46"/>
    </row>
    <row r="5" spans="1:14" ht="19.5" customHeight="1">
      <c r="A5" s="8">
        <v>45231</v>
      </c>
      <c r="B5" s="55" t="s">
        <v>11</v>
      </c>
      <c r="C5" s="55" t="s">
        <v>12</v>
      </c>
      <c r="D5" s="23">
        <v>213.8</v>
      </c>
      <c r="E5" s="29">
        <v>949</v>
      </c>
      <c r="F5" s="33">
        <v>209.81</v>
      </c>
      <c r="G5" s="11">
        <v>549.75300000000004</v>
      </c>
      <c r="H5" s="9">
        <v>54</v>
      </c>
      <c r="I5" s="34">
        <v>0</v>
      </c>
      <c r="J5" s="1">
        <v>75</v>
      </c>
      <c r="K5" s="1">
        <v>60</v>
      </c>
      <c r="L5" s="34">
        <v>0</v>
      </c>
      <c r="M5" s="34">
        <f>L5+K5+J5+I5</f>
        <v>135</v>
      </c>
      <c r="N5" s="36"/>
    </row>
    <row r="6" spans="1:14" ht="19.5" customHeight="1">
      <c r="A6" s="8">
        <v>45232</v>
      </c>
      <c r="B6" s="56"/>
      <c r="C6" s="56"/>
      <c r="D6" s="23">
        <v>213.8</v>
      </c>
      <c r="E6" s="29">
        <v>949</v>
      </c>
      <c r="F6" s="33">
        <v>209.71</v>
      </c>
      <c r="G6" s="11">
        <v>541.09</v>
      </c>
      <c r="H6" s="9">
        <v>34</v>
      </c>
      <c r="I6" s="34">
        <v>0</v>
      </c>
      <c r="J6" s="1">
        <v>75</v>
      </c>
      <c r="K6" s="1">
        <v>60</v>
      </c>
      <c r="L6" s="34">
        <v>0</v>
      </c>
      <c r="M6" s="34">
        <f t="shared" ref="M6:M34" si="0">L6+K6+J6+I6</f>
        <v>135</v>
      </c>
      <c r="N6" s="36"/>
    </row>
    <row r="7" spans="1:14" ht="19.5" customHeight="1">
      <c r="A7" s="8">
        <v>45233</v>
      </c>
      <c r="B7" s="56"/>
      <c r="C7" s="56"/>
      <c r="D7" s="23">
        <v>213.8</v>
      </c>
      <c r="E7" s="29">
        <v>949</v>
      </c>
      <c r="F7" s="33">
        <v>209.61</v>
      </c>
      <c r="G7" s="11">
        <v>532.42600000000004</v>
      </c>
      <c r="H7" s="9">
        <v>34</v>
      </c>
      <c r="I7" s="34">
        <v>0</v>
      </c>
      <c r="J7" s="1">
        <v>75</v>
      </c>
      <c r="K7" s="1">
        <v>60</v>
      </c>
      <c r="L7" s="34">
        <v>0</v>
      </c>
      <c r="M7" s="34">
        <f t="shared" si="0"/>
        <v>135</v>
      </c>
      <c r="N7" s="36"/>
    </row>
    <row r="8" spans="1:14" ht="19.5" customHeight="1">
      <c r="A8" s="8">
        <v>45234</v>
      </c>
      <c r="B8" s="56"/>
      <c r="C8" s="56"/>
      <c r="D8" s="23">
        <v>213.8</v>
      </c>
      <c r="E8" s="29">
        <v>949</v>
      </c>
      <c r="F8" s="33">
        <v>209.53</v>
      </c>
      <c r="G8" s="11">
        <v>525.49599999999998</v>
      </c>
      <c r="H8" s="9">
        <v>55</v>
      </c>
      <c r="I8" s="34">
        <v>0</v>
      </c>
      <c r="J8" s="1">
        <v>75</v>
      </c>
      <c r="K8" s="1">
        <v>60</v>
      </c>
      <c r="L8" s="34">
        <v>0</v>
      </c>
      <c r="M8" s="34">
        <f t="shared" si="0"/>
        <v>135</v>
      </c>
      <c r="N8" s="36"/>
    </row>
    <row r="9" spans="1:14" ht="19.5" customHeight="1">
      <c r="A9" s="8">
        <v>45235</v>
      </c>
      <c r="B9" s="56"/>
      <c r="C9" s="56"/>
      <c r="D9" s="23">
        <v>213.8</v>
      </c>
      <c r="E9" s="29">
        <v>949</v>
      </c>
      <c r="F9" s="33">
        <v>209.43</v>
      </c>
      <c r="G9" s="11">
        <v>516.83299999999997</v>
      </c>
      <c r="H9" s="9">
        <v>35</v>
      </c>
      <c r="I9" s="34">
        <v>0</v>
      </c>
      <c r="J9" s="1">
        <v>75</v>
      </c>
      <c r="K9" s="1">
        <v>60</v>
      </c>
      <c r="L9" s="34">
        <v>0</v>
      </c>
      <c r="M9" s="34">
        <f t="shared" si="0"/>
        <v>135</v>
      </c>
      <c r="N9" s="36"/>
    </row>
    <row r="10" spans="1:14" ht="19.5" customHeight="1">
      <c r="A10" s="8">
        <v>45236</v>
      </c>
      <c r="B10" s="56"/>
      <c r="C10" s="56"/>
      <c r="D10" s="23">
        <v>213.8</v>
      </c>
      <c r="E10" s="29">
        <v>949</v>
      </c>
      <c r="F10" s="33">
        <v>209.35</v>
      </c>
      <c r="G10" s="11">
        <v>508.16899999999998</v>
      </c>
      <c r="H10" s="9">
        <v>35</v>
      </c>
      <c r="I10" s="34">
        <v>0</v>
      </c>
      <c r="J10" s="1">
        <v>75</v>
      </c>
      <c r="K10" s="1">
        <v>60</v>
      </c>
      <c r="L10" s="34">
        <v>0</v>
      </c>
      <c r="M10" s="34">
        <f t="shared" si="0"/>
        <v>135</v>
      </c>
      <c r="N10" s="36"/>
    </row>
    <row r="11" spans="1:14" ht="19.5" customHeight="1">
      <c r="A11" s="8">
        <v>45237</v>
      </c>
      <c r="B11" s="56"/>
      <c r="C11" s="56"/>
      <c r="D11" s="23">
        <v>213.8</v>
      </c>
      <c r="E11" s="29">
        <v>949</v>
      </c>
      <c r="F11" s="33">
        <v>209.28</v>
      </c>
      <c r="G11" s="11">
        <v>503.83800000000002</v>
      </c>
      <c r="H11" s="9">
        <v>25</v>
      </c>
      <c r="I11" s="34">
        <v>0</v>
      </c>
      <c r="J11" s="1">
        <v>75</v>
      </c>
      <c r="K11" s="1">
        <v>0</v>
      </c>
      <c r="L11" s="34">
        <v>0</v>
      </c>
      <c r="M11" s="34">
        <f t="shared" si="0"/>
        <v>75</v>
      </c>
      <c r="N11" s="36"/>
    </row>
    <row r="12" spans="1:14" ht="19.5" customHeight="1">
      <c r="A12" s="8">
        <v>45238</v>
      </c>
      <c r="B12" s="56"/>
      <c r="C12" s="56"/>
      <c r="D12" s="23">
        <v>213.8</v>
      </c>
      <c r="E12" s="29">
        <v>949</v>
      </c>
      <c r="F12" s="33">
        <v>209.19</v>
      </c>
      <c r="G12" s="11">
        <v>496.041</v>
      </c>
      <c r="H12" s="9">
        <v>44</v>
      </c>
      <c r="I12" s="34">
        <v>0</v>
      </c>
      <c r="J12" s="1">
        <v>75</v>
      </c>
      <c r="K12" s="1">
        <v>60</v>
      </c>
      <c r="L12" s="34">
        <v>0</v>
      </c>
      <c r="M12" s="34">
        <f t="shared" si="0"/>
        <v>135</v>
      </c>
      <c r="N12" s="36"/>
    </row>
    <row r="13" spans="1:14" ht="19.5" customHeight="1">
      <c r="A13" s="8">
        <v>45239</v>
      </c>
      <c r="B13" s="56"/>
      <c r="C13" s="56"/>
      <c r="D13" s="23">
        <v>213.8</v>
      </c>
      <c r="E13" s="29">
        <v>949</v>
      </c>
      <c r="F13" s="35">
        <v>209.09</v>
      </c>
      <c r="G13" s="33">
        <v>487.37799999999999</v>
      </c>
      <c r="H13" s="9">
        <v>34</v>
      </c>
      <c r="I13" s="34">
        <v>0</v>
      </c>
      <c r="J13" s="1">
        <v>75</v>
      </c>
      <c r="K13" s="1">
        <v>60</v>
      </c>
      <c r="L13" s="34">
        <v>0</v>
      </c>
      <c r="M13" s="34">
        <f t="shared" si="0"/>
        <v>135</v>
      </c>
      <c r="N13" s="36"/>
    </row>
    <row r="14" spans="1:14" ht="19.5" customHeight="1">
      <c r="A14" s="8">
        <v>45240</v>
      </c>
      <c r="B14" s="56"/>
      <c r="C14" s="56"/>
      <c r="D14" s="23">
        <v>213.8</v>
      </c>
      <c r="E14" s="29">
        <v>949</v>
      </c>
      <c r="F14" s="33">
        <v>208.98</v>
      </c>
      <c r="G14" s="11">
        <v>477.84800000000001</v>
      </c>
      <c r="H14" s="9">
        <v>24</v>
      </c>
      <c r="I14" s="34">
        <v>0</v>
      </c>
      <c r="J14" s="1">
        <v>75</v>
      </c>
      <c r="K14" s="1">
        <v>60</v>
      </c>
      <c r="L14" s="34">
        <v>0</v>
      </c>
      <c r="M14" s="34">
        <f t="shared" si="0"/>
        <v>135</v>
      </c>
      <c r="N14" s="36"/>
    </row>
    <row r="15" spans="1:14" ht="19.5" customHeight="1">
      <c r="A15" s="8">
        <v>45241</v>
      </c>
      <c r="B15" s="56"/>
      <c r="C15" s="56"/>
      <c r="D15" s="23">
        <v>213.8</v>
      </c>
      <c r="E15" s="29">
        <v>949</v>
      </c>
      <c r="F15" s="33">
        <v>208.9</v>
      </c>
      <c r="G15" s="11">
        <v>470.91800000000001</v>
      </c>
      <c r="H15" s="9">
        <v>55</v>
      </c>
      <c r="I15" s="34">
        <v>0</v>
      </c>
      <c r="J15" s="1">
        <v>75</v>
      </c>
      <c r="K15" s="1">
        <v>60</v>
      </c>
      <c r="L15" s="34">
        <v>0</v>
      </c>
      <c r="M15" s="34">
        <f t="shared" si="0"/>
        <v>135</v>
      </c>
      <c r="N15" s="36"/>
    </row>
    <row r="16" spans="1:14" ht="19.5" customHeight="1">
      <c r="A16" s="8">
        <v>45242</v>
      </c>
      <c r="B16" s="56"/>
      <c r="C16" s="56"/>
      <c r="D16" s="23">
        <v>213.8</v>
      </c>
      <c r="E16" s="29">
        <v>949</v>
      </c>
      <c r="F16" s="33">
        <v>208.77</v>
      </c>
      <c r="G16" s="11">
        <v>460.11099999999999</v>
      </c>
      <c r="H16" s="9">
        <v>10</v>
      </c>
      <c r="I16" s="34">
        <v>0</v>
      </c>
      <c r="J16" s="1">
        <v>75</v>
      </c>
      <c r="K16" s="1">
        <v>60</v>
      </c>
      <c r="L16" s="34">
        <v>0</v>
      </c>
      <c r="M16" s="34">
        <f t="shared" si="0"/>
        <v>135</v>
      </c>
      <c r="N16" s="36"/>
    </row>
    <row r="17" spans="1:15" ht="19.5" customHeight="1">
      <c r="A17" s="8">
        <v>45243</v>
      </c>
      <c r="B17" s="56"/>
      <c r="C17" s="56"/>
      <c r="D17" s="23">
        <v>213.8</v>
      </c>
      <c r="E17" s="29">
        <v>949</v>
      </c>
      <c r="F17" s="33">
        <v>208.67</v>
      </c>
      <c r="G17" s="11">
        <v>452.96499999999997</v>
      </c>
      <c r="H17" s="9">
        <v>52</v>
      </c>
      <c r="I17" s="34">
        <v>0</v>
      </c>
      <c r="J17" s="1">
        <v>75</v>
      </c>
      <c r="K17" s="1">
        <v>60</v>
      </c>
      <c r="L17" s="34">
        <v>0</v>
      </c>
      <c r="M17" s="34">
        <f t="shared" si="0"/>
        <v>135</v>
      </c>
      <c r="N17" s="36"/>
    </row>
    <row r="18" spans="1:15" ht="19.5" customHeight="1">
      <c r="A18" s="8">
        <v>45244</v>
      </c>
      <c r="B18" s="56"/>
      <c r="C18" s="56"/>
      <c r="D18" s="23">
        <v>213.8</v>
      </c>
      <c r="E18" s="29">
        <v>949</v>
      </c>
      <c r="F18" s="33">
        <v>208.57</v>
      </c>
      <c r="G18" s="11">
        <v>445.81900000000002</v>
      </c>
      <c r="H18" s="9">
        <v>52</v>
      </c>
      <c r="I18" s="34">
        <v>0</v>
      </c>
      <c r="J18" s="1">
        <v>75</v>
      </c>
      <c r="K18" s="1">
        <v>60</v>
      </c>
      <c r="L18" s="34">
        <v>0</v>
      </c>
      <c r="M18" s="34">
        <f t="shared" si="0"/>
        <v>135</v>
      </c>
      <c r="N18" s="36"/>
    </row>
    <row r="19" spans="1:15" ht="19.5" customHeight="1">
      <c r="A19" s="8">
        <v>45245</v>
      </c>
      <c r="B19" s="56"/>
      <c r="C19" s="56"/>
      <c r="D19" s="23">
        <v>213.8</v>
      </c>
      <c r="E19" s="29">
        <v>949</v>
      </c>
      <c r="F19" s="33">
        <v>208.47</v>
      </c>
      <c r="G19" s="11">
        <v>438.673</v>
      </c>
      <c r="H19" s="9">
        <v>52</v>
      </c>
      <c r="I19" s="34">
        <v>0</v>
      </c>
      <c r="J19" s="1">
        <v>75</v>
      </c>
      <c r="K19" s="1">
        <v>60</v>
      </c>
      <c r="L19" s="34">
        <v>0</v>
      </c>
      <c r="M19" s="34">
        <f t="shared" si="0"/>
        <v>135</v>
      </c>
      <c r="N19" s="36"/>
    </row>
    <row r="20" spans="1:15" ht="19.5" customHeight="1">
      <c r="A20" s="8">
        <v>45246</v>
      </c>
      <c r="B20" s="56"/>
      <c r="C20" s="56"/>
      <c r="D20" s="23">
        <v>213.8</v>
      </c>
      <c r="E20" s="29">
        <v>949</v>
      </c>
      <c r="F20" s="33">
        <v>208.38</v>
      </c>
      <c r="G20" s="11">
        <v>432.95699999999999</v>
      </c>
      <c r="H20" s="9">
        <v>68</v>
      </c>
      <c r="I20" s="34">
        <v>0</v>
      </c>
      <c r="J20" s="1">
        <v>75</v>
      </c>
      <c r="K20" s="1">
        <v>60</v>
      </c>
      <c r="L20" s="34">
        <v>0</v>
      </c>
      <c r="M20" s="34">
        <f t="shared" si="0"/>
        <v>135</v>
      </c>
      <c r="N20" s="36"/>
    </row>
    <row r="21" spans="1:15" ht="19.5" customHeight="1">
      <c r="A21" s="8">
        <v>45247</v>
      </c>
      <c r="B21" s="56"/>
      <c r="C21" s="56"/>
      <c r="D21" s="23">
        <v>213.8</v>
      </c>
      <c r="E21" s="29">
        <v>949</v>
      </c>
      <c r="F21" s="33">
        <v>208.27</v>
      </c>
      <c r="G21" s="11">
        <v>424.38200000000001</v>
      </c>
      <c r="H21" s="9">
        <v>35</v>
      </c>
      <c r="I21" s="34">
        <v>0</v>
      </c>
      <c r="J21" s="1">
        <v>75</v>
      </c>
      <c r="K21" s="1">
        <v>60</v>
      </c>
      <c r="L21" s="34">
        <v>0</v>
      </c>
      <c r="M21" s="34">
        <f t="shared" si="0"/>
        <v>135</v>
      </c>
      <c r="N21" s="36"/>
    </row>
    <row r="22" spans="1:15" ht="19.5" customHeight="1">
      <c r="A22" s="8">
        <v>45248</v>
      </c>
      <c r="B22" s="56"/>
      <c r="C22" s="56"/>
      <c r="D22" s="23">
        <v>213.8</v>
      </c>
      <c r="E22" s="29">
        <v>949</v>
      </c>
      <c r="F22" s="33">
        <v>208.17</v>
      </c>
      <c r="G22" s="11">
        <v>417.32600000000002</v>
      </c>
      <c r="H22" s="9">
        <v>53</v>
      </c>
      <c r="I22" s="34">
        <v>0</v>
      </c>
      <c r="J22" s="1">
        <v>75</v>
      </c>
      <c r="K22" s="1">
        <v>60</v>
      </c>
      <c r="L22" s="34">
        <v>0</v>
      </c>
      <c r="M22" s="34">
        <f t="shared" si="0"/>
        <v>135</v>
      </c>
      <c r="N22" s="36"/>
    </row>
    <row r="23" spans="1:15" ht="19.5" customHeight="1">
      <c r="A23" s="8">
        <v>45249</v>
      </c>
      <c r="B23" s="56"/>
      <c r="C23" s="56"/>
      <c r="D23" s="23">
        <v>213.8</v>
      </c>
      <c r="E23" s="29">
        <v>949</v>
      </c>
      <c r="F23" s="33">
        <v>208.07</v>
      </c>
      <c r="G23" s="11">
        <v>410.3</v>
      </c>
      <c r="H23" s="9">
        <v>53</v>
      </c>
      <c r="I23" s="34">
        <v>0</v>
      </c>
      <c r="J23" s="1">
        <v>75</v>
      </c>
      <c r="K23" s="1">
        <v>60</v>
      </c>
      <c r="L23" s="34">
        <v>0</v>
      </c>
      <c r="M23" s="34">
        <f t="shared" si="0"/>
        <v>135</v>
      </c>
      <c r="N23" s="36"/>
    </row>
    <row r="24" spans="1:15" ht="19.5" customHeight="1">
      <c r="A24" s="8">
        <v>45250</v>
      </c>
      <c r="B24" s="56"/>
      <c r="C24" s="56"/>
      <c r="D24" s="23">
        <v>213.8</v>
      </c>
      <c r="E24" s="29">
        <v>949</v>
      </c>
      <c r="F24" s="33">
        <v>207.98</v>
      </c>
      <c r="G24" s="11">
        <v>403.65899999999999</v>
      </c>
      <c r="H24" s="9">
        <v>58</v>
      </c>
      <c r="I24" s="34">
        <v>0</v>
      </c>
      <c r="J24" s="1">
        <v>75</v>
      </c>
      <c r="K24" s="1">
        <v>60</v>
      </c>
      <c r="L24" s="34">
        <v>0</v>
      </c>
      <c r="M24" s="34">
        <f t="shared" si="0"/>
        <v>135</v>
      </c>
      <c r="N24" s="36"/>
    </row>
    <row r="25" spans="1:15" ht="19.5" customHeight="1">
      <c r="A25" s="8">
        <v>45251</v>
      </c>
      <c r="B25" s="56"/>
      <c r="C25" s="56"/>
      <c r="D25" s="23">
        <v>213.8</v>
      </c>
      <c r="E25" s="29">
        <v>949</v>
      </c>
      <c r="F25" s="33">
        <v>207.88</v>
      </c>
      <c r="G25" s="11">
        <v>396.51299999999998</v>
      </c>
      <c r="H25" s="9">
        <v>52</v>
      </c>
      <c r="I25" s="34">
        <v>0</v>
      </c>
      <c r="J25" s="1">
        <v>75</v>
      </c>
      <c r="K25" s="1">
        <v>60</v>
      </c>
      <c r="L25" s="34">
        <v>0</v>
      </c>
      <c r="M25" s="34">
        <f t="shared" si="0"/>
        <v>135</v>
      </c>
      <c r="N25" s="36"/>
    </row>
    <row r="26" spans="1:15" ht="19.5" customHeight="1">
      <c r="A26" s="8">
        <v>45252</v>
      </c>
      <c r="B26" s="56"/>
      <c r="C26" s="56"/>
      <c r="D26" s="23">
        <v>213.8</v>
      </c>
      <c r="E26" s="29">
        <v>949</v>
      </c>
      <c r="F26" s="33">
        <v>207.81</v>
      </c>
      <c r="G26" s="11">
        <v>391.51100000000002</v>
      </c>
      <c r="H26" s="9">
        <v>72</v>
      </c>
      <c r="I26" s="34">
        <v>0</v>
      </c>
      <c r="J26" s="1">
        <v>70</v>
      </c>
      <c r="K26" s="1">
        <v>60</v>
      </c>
      <c r="L26" s="34">
        <v>0</v>
      </c>
      <c r="M26" s="34">
        <f t="shared" si="0"/>
        <v>130</v>
      </c>
      <c r="N26" s="36"/>
      <c r="O26" s="19"/>
    </row>
    <row r="27" spans="1:15" ht="19.5" customHeight="1">
      <c r="A27" s="8">
        <v>45253</v>
      </c>
      <c r="B27" s="56"/>
      <c r="C27" s="56"/>
      <c r="D27" s="23">
        <v>213.8</v>
      </c>
      <c r="E27" s="29">
        <v>949</v>
      </c>
      <c r="F27" s="33">
        <v>207.71</v>
      </c>
      <c r="G27" s="11">
        <v>384.36599999999999</v>
      </c>
      <c r="H27" s="9">
        <v>47</v>
      </c>
      <c r="I27" s="34">
        <v>0</v>
      </c>
      <c r="J27" s="1">
        <v>70</v>
      </c>
      <c r="K27" s="1">
        <v>60</v>
      </c>
      <c r="L27" s="34">
        <v>0</v>
      </c>
      <c r="M27" s="34">
        <f t="shared" si="0"/>
        <v>130</v>
      </c>
      <c r="N27" s="36"/>
    </row>
    <row r="28" spans="1:15" ht="19.5" customHeight="1">
      <c r="A28" s="8">
        <v>45254</v>
      </c>
      <c r="B28" s="56"/>
      <c r="C28" s="56"/>
      <c r="D28" s="23">
        <v>213.8</v>
      </c>
      <c r="E28" s="29">
        <v>949</v>
      </c>
      <c r="F28" s="33">
        <v>207.62</v>
      </c>
      <c r="G28" s="11">
        <v>377.935</v>
      </c>
      <c r="H28" s="9">
        <v>55</v>
      </c>
      <c r="I28" s="34">
        <v>0</v>
      </c>
      <c r="J28" s="1">
        <v>70</v>
      </c>
      <c r="K28" s="1">
        <v>60</v>
      </c>
      <c r="L28" s="34">
        <v>0</v>
      </c>
      <c r="M28" s="34">
        <f t="shared" si="0"/>
        <v>130</v>
      </c>
      <c r="N28" s="36"/>
    </row>
    <row r="29" spans="1:15" ht="19.5" customHeight="1">
      <c r="A29" s="8">
        <v>45255</v>
      </c>
      <c r="B29" s="56"/>
      <c r="C29" s="56"/>
      <c r="D29" s="23">
        <v>213.8</v>
      </c>
      <c r="E29" s="29">
        <v>949</v>
      </c>
      <c r="F29" s="33">
        <v>207.52</v>
      </c>
      <c r="G29" s="11">
        <v>370.78899999999999</v>
      </c>
      <c r="H29" s="9">
        <v>47</v>
      </c>
      <c r="I29" s="34">
        <v>0</v>
      </c>
      <c r="J29" s="1">
        <v>70</v>
      </c>
      <c r="K29" s="1">
        <v>60</v>
      </c>
      <c r="L29" s="34">
        <v>0</v>
      </c>
      <c r="M29" s="34">
        <f t="shared" si="0"/>
        <v>130</v>
      </c>
      <c r="N29" s="36"/>
    </row>
    <row r="30" spans="1:15" ht="19.5" customHeight="1">
      <c r="A30" s="8">
        <v>45256</v>
      </c>
      <c r="B30" s="56"/>
      <c r="C30" s="56"/>
      <c r="D30" s="23">
        <v>213.8</v>
      </c>
      <c r="E30" s="29">
        <v>949</v>
      </c>
      <c r="F30" s="33">
        <v>207.42</v>
      </c>
      <c r="G30" s="11">
        <v>363.64299999999997</v>
      </c>
      <c r="H30" s="9">
        <v>47</v>
      </c>
      <c r="I30" s="34">
        <v>0</v>
      </c>
      <c r="J30" s="1">
        <v>70</v>
      </c>
      <c r="K30" s="1">
        <v>60</v>
      </c>
      <c r="L30" s="34">
        <v>0</v>
      </c>
      <c r="M30" s="34">
        <f t="shared" si="0"/>
        <v>130</v>
      </c>
      <c r="N30" s="36"/>
    </row>
    <row r="31" spans="1:15" ht="21" customHeight="1">
      <c r="A31" s="8">
        <v>45257</v>
      </c>
      <c r="B31" s="56"/>
      <c r="C31" s="56"/>
      <c r="D31" s="23">
        <v>213.8</v>
      </c>
      <c r="E31" s="29">
        <v>949</v>
      </c>
      <c r="F31" s="33">
        <v>207.32</v>
      </c>
      <c r="G31" s="11">
        <v>356.49700000000001</v>
      </c>
      <c r="H31" s="9">
        <v>47</v>
      </c>
      <c r="I31" s="34">
        <v>0</v>
      </c>
      <c r="J31" s="1">
        <v>70</v>
      </c>
      <c r="K31" s="1">
        <v>60</v>
      </c>
      <c r="L31" s="34">
        <v>0</v>
      </c>
      <c r="M31" s="34">
        <f t="shared" si="0"/>
        <v>130</v>
      </c>
      <c r="N31" s="36"/>
    </row>
    <row r="32" spans="1:15" ht="21" customHeight="1">
      <c r="A32" s="8">
        <v>45258</v>
      </c>
      <c r="B32" s="56"/>
      <c r="C32" s="56"/>
      <c r="D32" s="23">
        <v>213.8</v>
      </c>
      <c r="E32" s="29">
        <v>949</v>
      </c>
      <c r="F32" s="33">
        <v>207.22</v>
      </c>
      <c r="G32" s="11">
        <v>349.35199999999998</v>
      </c>
      <c r="H32" s="9">
        <v>47</v>
      </c>
      <c r="I32" s="34">
        <v>0</v>
      </c>
      <c r="J32" s="1">
        <v>70</v>
      </c>
      <c r="K32" s="1">
        <v>60</v>
      </c>
      <c r="L32" s="34">
        <v>0</v>
      </c>
      <c r="M32" s="34">
        <f t="shared" si="0"/>
        <v>130</v>
      </c>
      <c r="N32" s="36"/>
    </row>
    <row r="33" spans="1:15" ht="21" customHeight="1">
      <c r="A33" s="8">
        <v>45259</v>
      </c>
      <c r="B33" s="56"/>
      <c r="C33" s="56"/>
      <c r="D33" s="23">
        <v>213.8</v>
      </c>
      <c r="E33" s="30">
        <v>949</v>
      </c>
      <c r="F33" s="33">
        <v>207.17</v>
      </c>
      <c r="G33" s="11">
        <v>345.779</v>
      </c>
      <c r="H33" s="9">
        <v>28</v>
      </c>
      <c r="I33" s="34">
        <v>0</v>
      </c>
      <c r="J33" s="1">
        <v>70</v>
      </c>
      <c r="K33" s="1">
        <v>0</v>
      </c>
      <c r="L33" s="34">
        <v>0</v>
      </c>
      <c r="M33" s="34">
        <f t="shared" si="0"/>
        <v>70</v>
      </c>
      <c r="N33" s="36"/>
    </row>
    <row r="34" spans="1:15" ht="21" customHeight="1">
      <c r="A34" s="8">
        <v>45260</v>
      </c>
      <c r="B34" s="57"/>
      <c r="C34" s="57"/>
      <c r="D34" s="24">
        <v>213.8</v>
      </c>
      <c r="E34" s="29">
        <v>949</v>
      </c>
      <c r="F34" s="33">
        <v>207.11</v>
      </c>
      <c r="G34" s="11">
        <v>341.49099999999999</v>
      </c>
      <c r="H34" s="9">
        <v>20</v>
      </c>
      <c r="I34" s="34">
        <v>0</v>
      </c>
      <c r="J34" s="1">
        <v>70</v>
      </c>
      <c r="K34" s="1">
        <v>0</v>
      </c>
      <c r="L34" s="34">
        <v>0</v>
      </c>
      <c r="M34" s="34">
        <f t="shared" si="0"/>
        <v>70</v>
      </c>
      <c r="N34" s="36"/>
    </row>
    <row r="35" spans="1:15" ht="21" customHeight="1">
      <c r="A35" s="12"/>
      <c r="B35" s="13"/>
      <c r="C35" s="13"/>
      <c r="D35" s="14"/>
      <c r="E35" s="31"/>
      <c r="F35" s="15"/>
      <c r="G35" s="14"/>
      <c r="H35" s="16">
        <f>SUM(H5:H34)</f>
        <v>1324</v>
      </c>
      <c r="I35" s="16"/>
      <c r="J35" s="16">
        <f>SUM(J5:J34)</f>
        <v>2205</v>
      </c>
      <c r="K35" s="16">
        <f>SUM(K5:K34)</f>
        <v>1620</v>
      </c>
      <c r="L35" s="17"/>
      <c r="M35" s="17"/>
      <c r="N35" s="18"/>
      <c r="O35" s="20"/>
    </row>
    <row r="36" spans="1:15" ht="47.25" customHeight="1">
      <c r="A36" s="3"/>
      <c r="B36" s="4"/>
      <c r="C36" s="5"/>
      <c r="D36" s="5"/>
      <c r="E36" s="5"/>
      <c r="F36" s="5"/>
      <c r="G36" s="5"/>
      <c r="H36" s="5">
        <f>H35/11574</f>
        <v>0.11439433212372559</v>
      </c>
      <c r="I36" s="5"/>
      <c r="J36" s="5">
        <f>J35/11574</f>
        <v>0.19051321928460341</v>
      </c>
      <c r="K36" s="5">
        <f>K35/11574</f>
        <v>0.13996889580093314</v>
      </c>
      <c r="L36" s="27"/>
      <c r="M36" s="27"/>
      <c r="N36" s="7"/>
    </row>
    <row r="37" spans="1:15" ht="15.75" customHeight="1">
      <c r="A37" s="58" t="s">
        <v>9</v>
      </c>
      <c r="B37" s="53"/>
      <c r="C37" s="53"/>
      <c r="D37" s="53"/>
      <c r="J37" s="58" t="s">
        <v>10</v>
      </c>
      <c r="K37" s="53"/>
      <c r="L37" s="53"/>
      <c r="M37" s="53"/>
      <c r="N37" s="7"/>
    </row>
    <row r="38" spans="1:15" ht="15.75" customHeight="1">
      <c r="A38" s="59" t="s">
        <v>16</v>
      </c>
      <c r="B38" s="53"/>
      <c r="C38" s="53"/>
      <c r="D38" s="53"/>
      <c r="J38" s="59" t="s">
        <v>16</v>
      </c>
      <c r="K38" s="53"/>
      <c r="L38" s="53"/>
      <c r="M38" s="53"/>
      <c r="N38" s="7"/>
    </row>
    <row r="39" spans="1:15" ht="15.75" customHeight="1">
      <c r="A39" s="52" t="s">
        <v>17</v>
      </c>
      <c r="B39" s="53"/>
      <c r="C39" s="53"/>
      <c r="D39" s="53"/>
      <c r="J39" s="52" t="s">
        <v>17</v>
      </c>
      <c r="K39" s="53"/>
      <c r="L39" s="53"/>
      <c r="M39" s="53"/>
      <c r="N39" s="7"/>
    </row>
    <row r="40" spans="1:15" ht="15.75" customHeight="1"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</sheetData>
  <mergeCells count="20">
    <mergeCell ref="A39:D39"/>
    <mergeCell ref="J39:M39"/>
    <mergeCell ref="N3:N4"/>
    <mergeCell ref="B5:B34"/>
    <mergeCell ref="C5:C34"/>
    <mergeCell ref="A37:D37"/>
    <mergeCell ref="J37:M37"/>
    <mergeCell ref="A38:D38"/>
    <mergeCell ref="J38:M38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102"/>
  <sheetViews>
    <sheetView topLeftCell="A19" workbookViewId="0">
      <selection activeCell="J36" sqref="J36:K36"/>
    </sheetView>
  </sheetViews>
  <sheetFormatPr defaultColWidth="14.42578125" defaultRowHeight="15" customHeight="1"/>
  <cols>
    <col min="1" max="1" width="12.42578125" customWidth="1"/>
    <col min="2" max="2" width="6.28515625" customWidth="1"/>
    <col min="3" max="3" width="5.140625" customWidth="1"/>
    <col min="4" max="4" width="10" customWidth="1"/>
    <col min="5" max="5" width="10" style="28" customWidth="1"/>
    <col min="6" max="7" width="8.7109375" customWidth="1"/>
    <col min="8" max="8" width="9.85546875" customWidth="1"/>
    <col min="9" max="9" width="8.7109375" customWidth="1"/>
    <col min="10" max="10" width="8.42578125" customWidth="1"/>
    <col min="11" max="11" width="8.7109375" customWidth="1"/>
    <col min="12" max="12" width="6.42578125" customWidth="1"/>
    <col min="13" max="13" width="8.5703125" customWidth="1"/>
    <col min="14" max="14" width="8.85546875" customWidth="1"/>
  </cols>
  <sheetData>
    <row r="1" spans="1:14" ht="14.25" customHeight="1">
      <c r="A1" s="39" t="s">
        <v>32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1"/>
    </row>
    <row r="2" spans="1:14" ht="15.75" customHeight="1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4"/>
    </row>
    <row r="3" spans="1:14" ht="14.25" customHeight="1">
      <c r="A3" s="45" t="s">
        <v>0</v>
      </c>
      <c r="B3" s="47" t="s">
        <v>1</v>
      </c>
      <c r="C3" s="47" t="s">
        <v>2</v>
      </c>
      <c r="D3" s="45" t="s">
        <v>3</v>
      </c>
      <c r="E3" s="45" t="s">
        <v>20</v>
      </c>
      <c r="F3" s="45" t="s">
        <v>4</v>
      </c>
      <c r="G3" s="45" t="s">
        <v>19</v>
      </c>
      <c r="H3" s="45" t="s">
        <v>5</v>
      </c>
      <c r="I3" s="48" t="s">
        <v>6</v>
      </c>
      <c r="J3" s="49"/>
      <c r="K3" s="49"/>
      <c r="L3" s="49"/>
      <c r="M3" s="50" t="s">
        <v>7</v>
      </c>
      <c r="N3" s="54" t="s">
        <v>8</v>
      </c>
    </row>
    <row r="4" spans="1:14" ht="51.75" customHeight="1">
      <c r="A4" s="46"/>
      <c r="B4" s="46"/>
      <c r="C4" s="46"/>
      <c r="D4" s="46"/>
      <c r="E4" s="51"/>
      <c r="F4" s="46"/>
      <c r="G4" s="46"/>
      <c r="H4" s="46"/>
      <c r="I4" s="10" t="s">
        <v>15</v>
      </c>
      <c r="J4" s="10" t="s">
        <v>13</v>
      </c>
      <c r="K4" s="21" t="s">
        <v>18</v>
      </c>
      <c r="L4" s="10" t="s">
        <v>14</v>
      </c>
      <c r="M4" s="46"/>
      <c r="N4" s="46"/>
    </row>
    <row r="5" spans="1:14" ht="19.5" customHeight="1">
      <c r="A5" s="8">
        <v>45261</v>
      </c>
      <c r="B5" s="55" t="s">
        <v>11</v>
      </c>
      <c r="C5" s="55" t="s">
        <v>12</v>
      </c>
      <c r="D5" s="23">
        <v>213.8</v>
      </c>
      <c r="E5" s="29">
        <v>949</v>
      </c>
      <c r="F5" s="33">
        <v>207.07</v>
      </c>
      <c r="G5" s="11">
        <v>338.63299999999998</v>
      </c>
      <c r="H5" s="9">
        <v>37</v>
      </c>
      <c r="I5" s="34">
        <v>0</v>
      </c>
      <c r="J5" s="1">
        <v>70</v>
      </c>
      <c r="K5" s="1">
        <v>0</v>
      </c>
      <c r="L5" s="34">
        <v>0</v>
      </c>
      <c r="M5" s="34">
        <f>L5+K5+J5+I5</f>
        <v>70</v>
      </c>
      <c r="N5" s="2"/>
    </row>
    <row r="6" spans="1:14" ht="19.5" customHeight="1">
      <c r="A6" s="8">
        <v>45262</v>
      </c>
      <c r="B6" s="56"/>
      <c r="C6" s="56"/>
      <c r="D6" s="23">
        <v>213.8</v>
      </c>
      <c r="E6" s="29">
        <v>949</v>
      </c>
      <c r="F6" s="33">
        <v>206.99</v>
      </c>
      <c r="G6" s="11">
        <v>332.916</v>
      </c>
      <c r="H6" s="9">
        <v>3</v>
      </c>
      <c r="I6" s="34">
        <v>0</v>
      </c>
      <c r="J6" s="1">
        <v>70</v>
      </c>
      <c r="K6" s="1">
        <v>0</v>
      </c>
      <c r="L6" s="34">
        <v>0</v>
      </c>
      <c r="M6" s="34">
        <f t="shared" ref="M6:M35" si="0">L6+K6+J6+I6</f>
        <v>70</v>
      </c>
      <c r="N6" s="2"/>
    </row>
    <row r="7" spans="1:14" ht="19.5" customHeight="1">
      <c r="A7" s="8">
        <v>45263</v>
      </c>
      <c r="B7" s="56"/>
      <c r="C7" s="56"/>
      <c r="D7" s="23">
        <v>213.8</v>
      </c>
      <c r="E7" s="29">
        <v>949</v>
      </c>
      <c r="F7" s="33">
        <v>206.95</v>
      </c>
      <c r="G7" s="11">
        <v>330.05799999999999</v>
      </c>
      <c r="H7" s="9">
        <v>36</v>
      </c>
      <c r="I7" s="34">
        <v>0</v>
      </c>
      <c r="J7" s="1">
        <v>70</v>
      </c>
      <c r="K7" s="1">
        <v>0</v>
      </c>
      <c r="L7" s="34">
        <v>0</v>
      </c>
      <c r="M7" s="34">
        <f t="shared" si="0"/>
        <v>70</v>
      </c>
      <c r="N7" s="2"/>
    </row>
    <row r="8" spans="1:14" ht="19.5" customHeight="1">
      <c r="A8" s="8">
        <v>45264</v>
      </c>
      <c r="B8" s="56"/>
      <c r="C8" s="56"/>
      <c r="D8" s="23">
        <v>213.8</v>
      </c>
      <c r="E8" s="29">
        <v>949</v>
      </c>
      <c r="F8" s="33">
        <v>206.88</v>
      </c>
      <c r="G8" s="11">
        <v>325.05599999999998</v>
      </c>
      <c r="H8" s="9">
        <v>12</v>
      </c>
      <c r="I8" s="34">
        <v>0</v>
      </c>
      <c r="J8" s="1">
        <v>70</v>
      </c>
      <c r="K8" s="1">
        <v>0</v>
      </c>
      <c r="L8" s="34">
        <v>0</v>
      </c>
      <c r="M8" s="34">
        <f t="shared" si="0"/>
        <v>70</v>
      </c>
      <c r="N8" s="2"/>
    </row>
    <row r="9" spans="1:14" ht="19.5" customHeight="1">
      <c r="A9" s="8">
        <v>45265</v>
      </c>
      <c r="B9" s="56"/>
      <c r="C9" s="56"/>
      <c r="D9" s="23">
        <v>213.8</v>
      </c>
      <c r="E9" s="29">
        <v>949</v>
      </c>
      <c r="F9" s="33">
        <v>206.93</v>
      </c>
      <c r="G9" s="11">
        <v>328.62900000000002</v>
      </c>
      <c r="H9" s="9">
        <v>111</v>
      </c>
      <c r="I9" s="34">
        <v>0</v>
      </c>
      <c r="J9" s="1">
        <v>70</v>
      </c>
      <c r="K9" s="1">
        <v>0</v>
      </c>
      <c r="L9" s="34">
        <v>0</v>
      </c>
      <c r="M9" s="34">
        <f t="shared" si="0"/>
        <v>70</v>
      </c>
      <c r="N9" s="2"/>
    </row>
    <row r="10" spans="1:14" ht="19.5" customHeight="1">
      <c r="A10" s="8">
        <v>45266</v>
      </c>
      <c r="B10" s="56"/>
      <c r="C10" s="56"/>
      <c r="D10" s="23">
        <v>213.8</v>
      </c>
      <c r="E10" s="29">
        <v>949</v>
      </c>
      <c r="F10" s="33">
        <v>207.9</v>
      </c>
      <c r="G10" s="11">
        <v>397.94299999999998</v>
      </c>
      <c r="H10" s="9">
        <v>802</v>
      </c>
      <c r="I10" s="34">
        <v>0</v>
      </c>
      <c r="J10" s="1">
        <v>0</v>
      </c>
      <c r="K10" s="1">
        <v>0</v>
      </c>
      <c r="L10" s="34">
        <v>0</v>
      </c>
      <c r="M10" s="34">
        <f t="shared" si="0"/>
        <v>0</v>
      </c>
      <c r="N10" s="2"/>
    </row>
    <row r="11" spans="1:14" ht="19.5" customHeight="1">
      <c r="A11" s="8">
        <v>45267</v>
      </c>
      <c r="B11" s="56"/>
      <c r="C11" s="56"/>
      <c r="D11" s="23">
        <v>213.8</v>
      </c>
      <c r="E11" s="29">
        <v>949</v>
      </c>
      <c r="F11" s="33">
        <v>209.85</v>
      </c>
      <c r="G11" s="11">
        <v>553.21799999999996</v>
      </c>
      <c r="H11" s="9">
        <v>1797</v>
      </c>
      <c r="I11" s="34">
        <v>0</v>
      </c>
      <c r="J11" s="1">
        <v>0</v>
      </c>
      <c r="K11" s="1">
        <v>0</v>
      </c>
      <c r="L11" s="34">
        <v>0</v>
      </c>
      <c r="M11" s="34">
        <f t="shared" si="0"/>
        <v>0</v>
      </c>
      <c r="N11" s="2"/>
    </row>
    <row r="12" spans="1:14" ht="19.5" customHeight="1">
      <c r="A12" s="8">
        <v>45268</v>
      </c>
      <c r="B12" s="56"/>
      <c r="C12" s="56"/>
      <c r="D12" s="23">
        <v>213.8</v>
      </c>
      <c r="E12" s="29">
        <v>949</v>
      </c>
      <c r="F12" s="33">
        <v>210.4</v>
      </c>
      <c r="G12" s="11">
        <v>600.86599999999999</v>
      </c>
      <c r="H12" s="9">
        <v>551</v>
      </c>
      <c r="I12" s="34">
        <v>0</v>
      </c>
      <c r="J12" s="1">
        <v>0</v>
      </c>
      <c r="K12" s="1">
        <v>0</v>
      </c>
      <c r="L12" s="34">
        <v>0</v>
      </c>
      <c r="M12" s="34">
        <f t="shared" si="0"/>
        <v>0</v>
      </c>
      <c r="N12" s="2"/>
    </row>
    <row r="13" spans="1:14" ht="19.5" customHeight="1">
      <c r="A13" s="8">
        <v>45269</v>
      </c>
      <c r="B13" s="56"/>
      <c r="C13" s="56"/>
      <c r="D13" s="23">
        <v>213.8</v>
      </c>
      <c r="E13" s="29">
        <v>949</v>
      </c>
      <c r="F13" s="35">
        <v>210.74</v>
      </c>
      <c r="G13" s="33">
        <v>630.32100000000003</v>
      </c>
      <c r="H13" s="9">
        <v>341</v>
      </c>
      <c r="I13" s="34">
        <v>0</v>
      </c>
      <c r="J13" s="1">
        <v>0</v>
      </c>
      <c r="K13" s="1">
        <v>0</v>
      </c>
      <c r="L13" s="34">
        <v>0</v>
      </c>
      <c r="M13" s="34">
        <f t="shared" si="0"/>
        <v>0</v>
      </c>
      <c r="N13" s="2"/>
    </row>
    <row r="14" spans="1:14" ht="19.5" customHeight="1">
      <c r="A14" s="8">
        <v>45270</v>
      </c>
      <c r="B14" s="56"/>
      <c r="C14" s="56"/>
      <c r="D14" s="23">
        <v>213.8</v>
      </c>
      <c r="E14" s="29">
        <v>949</v>
      </c>
      <c r="F14" s="33">
        <v>210.95</v>
      </c>
      <c r="G14" s="11">
        <v>651.702</v>
      </c>
      <c r="H14" s="9">
        <v>247</v>
      </c>
      <c r="I14" s="34">
        <v>0</v>
      </c>
      <c r="J14" s="1">
        <v>0</v>
      </c>
      <c r="K14" s="1">
        <v>0</v>
      </c>
      <c r="L14" s="34">
        <v>0</v>
      </c>
      <c r="M14" s="34">
        <f t="shared" si="0"/>
        <v>0</v>
      </c>
      <c r="N14" s="2"/>
    </row>
    <row r="15" spans="1:14" ht="19.5" customHeight="1">
      <c r="A15" s="8">
        <v>45271</v>
      </c>
      <c r="B15" s="56"/>
      <c r="C15" s="56"/>
      <c r="D15" s="23">
        <v>213.8</v>
      </c>
      <c r="E15" s="29">
        <v>949</v>
      </c>
      <c r="F15" s="33">
        <v>211.13</v>
      </c>
      <c r="G15" s="11">
        <v>670.02300000000002</v>
      </c>
      <c r="H15" s="9">
        <v>212</v>
      </c>
      <c r="I15" s="34">
        <v>0</v>
      </c>
      <c r="J15" s="1">
        <v>0</v>
      </c>
      <c r="K15" s="1">
        <v>0</v>
      </c>
      <c r="L15" s="34">
        <v>0</v>
      </c>
      <c r="M15" s="34">
        <f t="shared" si="0"/>
        <v>0</v>
      </c>
      <c r="N15" s="2"/>
    </row>
    <row r="16" spans="1:14" ht="19.5" customHeight="1">
      <c r="A16" s="8">
        <v>45272</v>
      </c>
      <c r="B16" s="56"/>
      <c r="C16" s="56"/>
      <c r="D16" s="23">
        <v>213.8</v>
      </c>
      <c r="E16" s="29">
        <v>949</v>
      </c>
      <c r="F16" s="33">
        <v>211.3</v>
      </c>
      <c r="G16" s="11">
        <v>687.79700000000003</v>
      </c>
      <c r="H16" s="9">
        <v>205</v>
      </c>
      <c r="I16" s="34">
        <v>0</v>
      </c>
      <c r="J16" s="1">
        <v>0</v>
      </c>
      <c r="K16" s="1">
        <v>0</v>
      </c>
      <c r="L16" s="34">
        <v>0</v>
      </c>
      <c r="M16" s="34">
        <f t="shared" si="0"/>
        <v>0</v>
      </c>
      <c r="N16" s="2"/>
    </row>
    <row r="17" spans="1:15" ht="19.5" customHeight="1">
      <c r="A17" s="8">
        <v>45273</v>
      </c>
      <c r="B17" s="56"/>
      <c r="C17" s="56"/>
      <c r="D17" s="23">
        <v>213.8</v>
      </c>
      <c r="E17" s="29">
        <v>949</v>
      </c>
      <c r="F17" s="33">
        <v>211.37</v>
      </c>
      <c r="G17" s="11">
        <v>695.11599999999999</v>
      </c>
      <c r="H17" s="9">
        <v>84</v>
      </c>
      <c r="I17" s="34">
        <v>0</v>
      </c>
      <c r="J17" s="1">
        <v>0</v>
      </c>
      <c r="K17" s="1">
        <v>0</v>
      </c>
      <c r="L17" s="34">
        <v>0</v>
      </c>
      <c r="M17" s="34">
        <f t="shared" si="0"/>
        <v>0</v>
      </c>
      <c r="N17" s="2"/>
    </row>
    <row r="18" spans="1:15" ht="19.5" customHeight="1">
      <c r="A18" s="8">
        <v>45274</v>
      </c>
      <c r="B18" s="56"/>
      <c r="C18" s="56"/>
      <c r="D18" s="23">
        <v>213.8</v>
      </c>
      <c r="E18" s="29">
        <v>949</v>
      </c>
      <c r="F18" s="33">
        <v>211.49</v>
      </c>
      <c r="G18" s="11">
        <v>707.66300000000001</v>
      </c>
      <c r="H18" s="9">
        <v>145</v>
      </c>
      <c r="I18" s="34">
        <v>0</v>
      </c>
      <c r="J18" s="1">
        <v>0</v>
      </c>
      <c r="K18" s="1">
        <v>0</v>
      </c>
      <c r="L18" s="34">
        <v>0</v>
      </c>
      <c r="M18" s="34">
        <f t="shared" si="0"/>
        <v>0</v>
      </c>
      <c r="N18" s="2"/>
    </row>
    <row r="19" spans="1:15" ht="19.5" customHeight="1">
      <c r="A19" s="8">
        <v>45275</v>
      </c>
      <c r="B19" s="56"/>
      <c r="C19" s="56"/>
      <c r="D19" s="23">
        <v>213.8</v>
      </c>
      <c r="E19" s="29">
        <v>949</v>
      </c>
      <c r="F19" s="33">
        <v>211.54</v>
      </c>
      <c r="G19" s="11">
        <v>712.89</v>
      </c>
      <c r="H19" s="9">
        <v>60</v>
      </c>
      <c r="I19" s="34">
        <v>0</v>
      </c>
      <c r="J19" s="1">
        <v>0</v>
      </c>
      <c r="K19" s="1">
        <v>0</v>
      </c>
      <c r="L19" s="34">
        <v>0</v>
      </c>
      <c r="M19" s="34">
        <f t="shared" si="0"/>
        <v>0</v>
      </c>
      <c r="N19" s="2"/>
    </row>
    <row r="20" spans="1:15" ht="19.5" customHeight="1">
      <c r="A20" s="8">
        <v>45276</v>
      </c>
      <c r="B20" s="56"/>
      <c r="C20" s="56"/>
      <c r="D20" s="23">
        <v>213.8</v>
      </c>
      <c r="E20" s="29">
        <v>949</v>
      </c>
      <c r="F20" s="33">
        <v>211.62</v>
      </c>
      <c r="G20" s="11">
        <v>721.25599999999997</v>
      </c>
      <c r="H20" s="9">
        <v>97</v>
      </c>
      <c r="I20" s="34">
        <v>0</v>
      </c>
      <c r="J20" s="1">
        <v>0</v>
      </c>
      <c r="K20" s="1">
        <v>0</v>
      </c>
      <c r="L20" s="34">
        <v>0</v>
      </c>
      <c r="M20" s="34">
        <f t="shared" si="0"/>
        <v>0</v>
      </c>
      <c r="N20" s="2"/>
    </row>
    <row r="21" spans="1:15" ht="19.5" customHeight="1">
      <c r="A21" s="8">
        <v>45277</v>
      </c>
      <c r="B21" s="56"/>
      <c r="C21" s="56"/>
      <c r="D21" s="23">
        <v>213.8</v>
      </c>
      <c r="E21" s="29">
        <v>949</v>
      </c>
      <c r="F21" s="33">
        <v>211.7</v>
      </c>
      <c r="G21" s="11">
        <v>729.62</v>
      </c>
      <c r="H21" s="9">
        <v>97</v>
      </c>
      <c r="I21" s="34">
        <v>0</v>
      </c>
      <c r="J21" s="1">
        <v>0</v>
      </c>
      <c r="K21" s="1">
        <v>0</v>
      </c>
      <c r="L21" s="34">
        <v>0</v>
      </c>
      <c r="M21" s="34">
        <f t="shared" si="0"/>
        <v>0</v>
      </c>
      <c r="N21" s="2"/>
    </row>
    <row r="22" spans="1:15" ht="19.5" customHeight="1">
      <c r="A22" s="8">
        <v>45278</v>
      </c>
      <c r="B22" s="56"/>
      <c r="C22" s="56"/>
      <c r="D22" s="23">
        <v>213.8</v>
      </c>
      <c r="E22" s="29">
        <v>949</v>
      </c>
      <c r="F22" s="33">
        <v>211.76</v>
      </c>
      <c r="G22" s="11">
        <v>735.89400000000001</v>
      </c>
      <c r="H22" s="9">
        <v>72</v>
      </c>
      <c r="I22" s="34">
        <v>0</v>
      </c>
      <c r="J22" s="1">
        <v>0</v>
      </c>
      <c r="K22" s="1">
        <v>0</v>
      </c>
      <c r="L22" s="34">
        <v>0</v>
      </c>
      <c r="M22" s="34">
        <f t="shared" si="0"/>
        <v>0</v>
      </c>
      <c r="N22" s="2"/>
    </row>
    <row r="23" spans="1:15" ht="19.5" customHeight="1">
      <c r="A23" s="8">
        <v>45279</v>
      </c>
      <c r="B23" s="56"/>
      <c r="C23" s="56"/>
      <c r="D23" s="23">
        <v>213.8</v>
      </c>
      <c r="E23" s="29">
        <v>949</v>
      </c>
      <c r="F23" s="33">
        <v>211.82</v>
      </c>
      <c r="G23" s="11">
        <v>742.16700000000003</v>
      </c>
      <c r="H23" s="9">
        <v>73</v>
      </c>
      <c r="I23" s="34">
        <v>0</v>
      </c>
      <c r="J23" s="1">
        <v>0</v>
      </c>
      <c r="K23" s="1">
        <v>0</v>
      </c>
      <c r="L23" s="34">
        <v>0</v>
      </c>
      <c r="M23" s="34">
        <f t="shared" si="0"/>
        <v>0</v>
      </c>
      <c r="N23" s="2"/>
    </row>
    <row r="24" spans="1:15" ht="19.5" customHeight="1">
      <c r="A24" s="8">
        <v>45280</v>
      </c>
      <c r="B24" s="56"/>
      <c r="C24" s="56"/>
      <c r="D24" s="23">
        <v>213.8</v>
      </c>
      <c r="E24" s="29">
        <v>949</v>
      </c>
      <c r="F24" s="33">
        <v>211.87</v>
      </c>
      <c r="G24" s="11">
        <v>747.39499999999998</v>
      </c>
      <c r="H24" s="9">
        <v>60</v>
      </c>
      <c r="I24" s="34">
        <v>0</v>
      </c>
      <c r="J24" s="1">
        <v>0</v>
      </c>
      <c r="K24" s="1">
        <v>0</v>
      </c>
      <c r="L24" s="34">
        <v>0</v>
      </c>
      <c r="M24" s="34">
        <f t="shared" si="0"/>
        <v>0</v>
      </c>
      <c r="N24" s="2"/>
    </row>
    <row r="25" spans="1:15" ht="19.5" customHeight="1">
      <c r="A25" s="8">
        <v>45281</v>
      </c>
      <c r="B25" s="56"/>
      <c r="C25" s="56"/>
      <c r="D25" s="23">
        <v>213.8</v>
      </c>
      <c r="E25" s="29">
        <v>949</v>
      </c>
      <c r="F25" s="33">
        <v>211.93</v>
      </c>
      <c r="G25" s="11">
        <v>753.66800000000001</v>
      </c>
      <c r="H25" s="9">
        <v>72</v>
      </c>
      <c r="I25" s="34">
        <v>0</v>
      </c>
      <c r="J25" s="1">
        <v>0</v>
      </c>
      <c r="K25" s="1">
        <v>0</v>
      </c>
      <c r="L25" s="34">
        <v>0</v>
      </c>
      <c r="M25" s="34">
        <f t="shared" si="0"/>
        <v>0</v>
      </c>
      <c r="N25" s="2"/>
    </row>
    <row r="26" spans="1:15" ht="19.5" customHeight="1">
      <c r="A26" s="8">
        <v>45282</v>
      </c>
      <c r="B26" s="56"/>
      <c r="C26" s="56"/>
      <c r="D26" s="23">
        <v>213.8</v>
      </c>
      <c r="E26" s="29">
        <v>949</v>
      </c>
      <c r="F26" s="33">
        <v>211.98</v>
      </c>
      <c r="G26" s="11">
        <v>758.89599999999996</v>
      </c>
      <c r="H26" s="9">
        <v>60</v>
      </c>
      <c r="I26" s="34">
        <v>0</v>
      </c>
      <c r="J26" s="1">
        <v>0</v>
      </c>
      <c r="K26" s="1">
        <v>0</v>
      </c>
      <c r="L26" s="34">
        <v>0</v>
      </c>
      <c r="M26" s="34">
        <f t="shared" si="0"/>
        <v>0</v>
      </c>
      <c r="N26" s="2"/>
      <c r="O26" s="19"/>
    </row>
    <row r="27" spans="1:15" ht="19.5" customHeight="1">
      <c r="A27" s="8">
        <v>45283</v>
      </c>
      <c r="B27" s="56"/>
      <c r="C27" s="56"/>
      <c r="D27" s="23">
        <v>213.8</v>
      </c>
      <c r="E27" s="29">
        <v>949</v>
      </c>
      <c r="F27" s="33">
        <v>212.03</v>
      </c>
      <c r="G27" s="11">
        <v>764.12400000000002</v>
      </c>
      <c r="H27" s="9">
        <v>60</v>
      </c>
      <c r="I27" s="34">
        <v>0</v>
      </c>
      <c r="J27" s="1">
        <v>0</v>
      </c>
      <c r="K27" s="1">
        <v>0</v>
      </c>
      <c r="L27" s="34">
        <v>0</v>
      </c>
      <c r="M27" s="34">
        <f t="shared" si="0"/>
        <v>0</v>
      </c>
      <c r="N27" s="2"/>
    </row>
    <row r="28" spans="1:15" ht="19.5" customHeight="1">
      <c r="A28" s="8">
        <v>45284</v>
      </c>
      <c r="B28" s="56"/>
      <c r="C28" s="56"/>
      <c r="D28" s="23">
        <v>213.8</v>
      </c>
      <c r="E28" s="29">
        <v>949</v>
      </c>
      <c r="F28" s="33">
        <v>212.04</v>
      </c>
      <c r="G28" s="11">
        <v>765.17</v>
      </c>
      <c r="H28" s="9">
        <v>12</v>
      </c>
      <c r="I28" s="34">
        <v>0</v>
      </c>
      <c r="J28" s="1">
        <v>0</v>
      </c>
      <c r="K28" s="1">
        <v>0</v>
      </c>
      <c r="L28" s="34">
        <v>0</v>
      </c>
      <c r="M28" s="34">
        <f t="shared" si="0"/>
        <v>0</v>
      </c>
      <c r="N28" s="2"/>
    </row>
    <row r="29" spans="1:15" ht="19.5" customHeight="1">
      <c r="A29" s="8">
        <v>45285</v>
      </c>
      <c r="B29" s="56"/>
      <c r="C29" s="56"/>
      <c r="D29" s="23">
        <v>213.8</v>
      </c>
      <c r="E29" s="29">
        <v>949</v>
      </c>
      <c r="F29" s="33">
        <v>212.06</v>
      </c>
      <c r="G29" s="11">
        <v>767.26099999999997</v>
      </c>
      <c r="H29" s="9">
        <v>24</v>
      </c>
      <c r="I29" s="34">
        <v>0</v>
      </c>
      <c r="J29" s="1">
        <v>0</v>
      </c>
      <c r="K29" s="1">
        <v>0</v>
      </c>
      <c r="L29" s="34">
        <v>0</v>
      </c>
      <c r="M29" s="34">
        <f t="shared" si="0"/>
        <v>0</v>
      </c>
      <c r="N29" s="2"/>
    </row>
    <row r="30" spans="1:15" ht="19.5" customHeight="1">
      <c r="A30" s="8">
        <v>45286</v>
      </c>
      <c r="B30" s="56"/>
      <c r="C30" s="56"/>
      <c r="D30" s="23">
        <v>213.8</v>
      </c>
      <c r="E30" s="29">
        <v>949</v>
      </c>
      <c r="F30" s="33">
        <v>212.1</v>
      </c>
      <c r="G30" s="11">
        <v>771.44299999999998</v>
      </c>
      <c r="H30" s="9">
        <v>48</v>
      </c>
      <c r="I30" s="34">
        <v>0</v>
      </c>
      <c r="J30" s="1">
        <v>0</v>
      </c>
      <c r="K30" s="1">
        <v>0</v>
      </c>
      <c r="L30" s="34">
        <v>0</v>
      </c>
      <c r="M30" s="34">
        <f t="shared" si="0"/>
        <v>0</v>
      </c>
      <c r="N30" s="2"/>
    </row>
    <row r="31" spans="1:15" ht="21" customHeight="1">
      <c r="A31" s="8">
        <v>45287</v>
      </c>
      <c r="B31" s="56"/>
      <c r="C31" s="56"/>
      <c r="D31" s="23">
        <v>213.8</v>
      </c>
      <c r="E31" s="29">
        <v>949</v>
      </c>
      <c r="F31" s="33">
        <v>212.12</v>
      </c>
      <c r="G31" s="11">
        <v>773.53399999999999</v>
      </c>
      <c r="H31" s="9">
        <v>24</v>
      </c>
      <c r="I31" s="34">
        <v>0</v>
      </c>
      <c r="J31" s="1">
        <v>0</v>
      </c>
      <c r="K31" s="1">
        <v>0</v>
      </c>
      <c r="L31" s="34">
        <v>0</v>
      </c>
      <c r="M31" s="34">
        <f t="shared" si="0"/>
        <v>0</v>
      </c>
      <c r="N31" s="2"/>
    </row>
    <row r="32" spans="1:15" ht="21" customHeight="1">
      <c r="A32" s="8">
        <v>45288</v>
      </c>
      <c r="B32" s="56"/>
      <c r="C32" s="56"/>
      <c r="D32" s="23">
        <v>213.8</v>
      </c>
      <c r="E32" s="29">
        <v>949</v>
      </c>
      <c r="F32" s="33">
        <v>212.13</v>
      </c>
      <c r="G32" s="11">
        <v>774.58</v>
      </c>
      <c r="H32" s="9">
        <v>12</v>
      </c>
      <c r="I32" s="34">
        <v>0</v>
      </c>
      <c r="J32" s="1">
        <v>0</v>
      </c>
      <c r="K32" s="1">
        <v>0</v>
      </c>
      <c r="L32" s="34">
        <v>0</v>
      </c>
      <c r="M32" s="34">
        <f t="shared" si="0"/>
        <v>0</v>
      </c>
      <c r="N32" s="2"/>
    </row>
    <row r="33" spans="1:15" ht="21" customHeight="1">
      <c r="A33" s="8">
        <v>45289</v>
      </c>
      <c r="B33" s="56"/>
      <c r="C33" s="56"/>
      <c r="D33" s="23">
        <v>213.8</v>
      </c>
      <c r="E33" s="29">
        <v>949</v>
      </c>
      <c r="F33" s="33">
        <v>212.14</v>
      </c>
      <c r="G33" s="11">
        <v>775.625</v>
      </c>
      <c r="H33" s="9">
        <v>12</v>
      </c>
      <c r="I33" s="34">
        <v>0</v>
      </c>
      <c r="J33" s="1">
        <v>0</v>
      </c>
      <c r="K33" s="1">
        <v>0</v>
      </c>
      <c r="L33" s="34">
        <v>0</v>
      </c>
      <c r="M33" s="34">
        <f t="shared" si="0"/>
        <v>0</v>
      </c>
      <c r="N33" s="2"/>
    </row>
    <row r="34" spans="1:15" s="22" customFormat="1" ht="21" customHeight="1">
      <c r="A34" s="8">
        <v>45290</v>
      </c>
      <c r="B34" s="56"/>
      <c r="C34" s="56"/>
      <c r="D34" s="23">
        <v>213.8</v>
      </c>
      <c r="E34" s="29">
        <v>949</v>
      </c>
      <c r="F34" s="33">
        <v>212.16</v>
      </c>
      <c r="G34" s="11">
        <v>777.71600000000001</v>
      </c>
      <c r="H34" s="9">
        <v>24</v>
      </c>
      <c r="I34" s="34">
        <v>0</v>
      </c>
      <c r="J34" s="1">
        <v>0</v>
      </c>
      <c r="K34" s="1">
        <v>0</v>
      </c>
      <c r="L34" s="34">
        <v>0</v>
      </c>
      <c r="M34" s="34">
        <f t="shared" si="0"/>
        <v>0</v>
      </c>
      <c r="N34" s="2"/>
    </row>
    <row r="35" spans="1:15" ht="21" customHeight="1">
      <c r="A35" s="8">
        <v>45291</v>
      </c>
      <c r="B35" s="57"/>
      <c r="C35" s="57"/>
      <c r="D35" s="24">
        <v>213.8</v>
      </c>
      <c r="E35" s="29">
        <v>949</v>
      </c>
      <c r="F35" s="33">
        <v>212.18</v>
      </c>
      <c r="G35" s="11">
        <v>779.80799999999999</v>
      </c>
      <c r="H35" s="9">
        <v>24</v>
      </c>
      <c r="I35" s="34">
        <v>0</v>
      </c>
      <c r="J35" s="1">
        <v>0</v>
      </c>
      <c r="K35" s="1">
        <v>0</v>
      </c>
      <c r="L35" s="34">
        <v>0</v>
      </c>
      <c r="M35" s="34">
        <f t="shared" si="0"/>
        <v>0</v>
      </c>
      <c r="N35" s="2"/>
    </row>
    <row r="36" spans="1:15" ht="21" customHeight="1">
      <c r="A36" s="12"/>
      <c r="B36" s="13"/>
      <c r="C36" s="13"/>
      <c r="D36" s="14"/>
      <c r="E36" s="14"/>
      <c r="F36" s="15"/>
      <c r="G36" s="14"/>
      <c r="H36" s="16">
        <f>SUM(H5:H35)</f>
        <v>5414</v>
      </c>
      <c r="I36" s="16"/>
      <c r="J36" s="16">
        <f>SUM(J5:J35)</f>
        <v>350</v>
      </c>
      <c r="K36" s="16">
        <f>SUM(K5:K35)</f>
        <v>0</v>
      </c>
      <c r="L36" s="17"/>
      <c r="M36" s="17"/>
      <c r="N36" s="18"/>
      <c r="O36" s="20"/>
    </row>
    <row r="37" spans="1:15" ht="47.25" customHeight="1">
      <c r="A37" s="3"/>
      <c r="B37" s="4"/>
      <c r="C37" s="5"/>
      <c r="D37" s="5"/>
      <c r="E37" s="5"/>
      <c r="F37" s="5"/>
      <c r="G37" s="5"/>
      <c r="H37" s="5">
        <f>H36/11574</f>
        <v>0.46777259374459995</v>
      </c>
      <c r="I37" s="5"/>
      <c r="J37" s="5">
        <f>J36/11574</f>
        <v>3.0240193537238638E-2</v>
      </c>
      <c r="K37" s="5">
        <f>K36/11574</f>
        <v>0</v>
      </c>
      <c r="L37" s="6"/>
      <c r="M37" s="6"/>
      <c r="N37" s="7"/>
    </row>
    <row r="38" spans="1:15" ht="15.75" customHeight="1">
      <c r="A38" s="58" t="s">
        <v>9</v>
      </c>
      <c r="B38" s="53"/>
      <c r="C38" s="53"/>
      <c r="D38" s="53"/>
      <c r="J38" s="58" t="s">
        <v>10</v>
      </c>
      <c r="K38" s="53"/>
      <c r="L38" s="53"/>
      <c r="M38" s="53"/>
      <c r="N38" s="7"/>
    </row>
    <row r="39" spans="1:15" ht="15.75" customHeight="1">
      <c r="A39" s="59" t="s">
        <v>16</v>
      </c>
      <c r="B39" s="53"/>
      <c r="C39" s="53"/>
      <c r="D39" s="53"/>
      <c r="J39" s="59" t="s">
        <v>16</v>
      </c>
      <c r="K39" s="53"/>
      <c r="L39" s="53"/>
      <c r="M39" s="53"/>
      <c r="N39" s="7"/>
    </row>
    <row r="40" spans="1:15" ht="15.75" customHeight="1">
      <c r="A40" s="52" t="s">
        <v>17</v>
      </c>
      <c r="B40" s="53"/>
      <c r="C40" s="53"/>
      <c r="D40" s="53"/>
      <c r="J40" s="52" t="s">
        <v>17</v>
      </c>
      <c r="K40" s="53"/>
      <c r="L40" s="53"/>
      <c r="M40" s="53"/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  <row r="102" spans="14:14" ht="15.75" customHeight="1">
      <c r="N102" s="7"/>
    </row>
  </sheetData>
  <mergeCells count="20">
    <mergeCell ref="B5:B35"/>
    <mergeCell ref="C5:C35"/>
    <mergeCell ref="M3:M4"/>
    <mergeCell ref="C3:C4"/>
    <mergeCell ref="D3:D4"/>
    <mergeCell ref="F3:F4"/>
    <mergeCell ref="G3:G4"/>
    <mergeCell ref="H3:H4"/>
    <mergeCell ref="A40:D40"/>
    <mergeCell ref="J40:M40"/>
    <mergeCell ref="A38:D38"/>
    <mergeCell ref="J38:M38"/>
    <mergeCell ref="A39:D39"/>
    <mergeCell ref="J39:M39"/>
    <mergeCell ref="A1:N2"/>
    <mergeCell ref="N3:N4"/>
    <mergeCell ref="A3:A4"/>
    <mergeCell ref="B3:B4"/>
    <mergeCell ref="I3:L3"/>
    <mergeCell ref="E3:E4"/>
  </mergeCells>
  <pageMargins left="0.7" right="0.7" top="0.75" bottom="0.75" header="0" footer="0"/>
  <pageSetup paperSize="9"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 2023 </vt:lpstr>
      <vt:lpstr>FEBRUARY 2023</vt:lpstr>
      <vt:lpstr>MARCH 2023</vt:lpstr>
      <vt:lpstr>APRIL 2023</vt:lpstr>
      <vt:lpstr>MAY 2023</vt:lpstr>
      <vt:lpstr>JUNE 2023</vt:lpstr>
      <vt:lpstr>JULY 2023 </vt:lpstr>
      <vt:lpstr>AUGUST 2023</vt:lpstr>
      <vt:lpstr>SEPTEMBER 2023</vt:lpstr>
      <vt:lpstr>OCTOBER 2023</vt:lpstr>
      <vt:lpstr>NOVEMBER 2023 </vt:lpstr>
      <vt:lpstr>DECEMBER 2023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cp:lastPrinted>2024-02-02T06:09:12Z</cp:lastPrinted>
  <dcterms:created xsi:type="dcterms:W3CDTF">2022-06-06T06:49:54Z</dcterms:created>
  <dcterms:modified xsi:type="dcterms:W3CDTF">2024-04-26T10:04:09Z</dcterms:modified>
</cp:coreProperties>
</file>