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 tabRatio="841"/>
  </bookViews>
  <sheets>
    <sheet name="JANUARY 2019 " sheetId="12" r:id="rId1"/>
    <sheet name="FEBRUARY 2019" sheetId="11" r:id="rId2"/>
    <sheet name="MARCH 2019" sheetId="10" r:id="rId3"/>
    <sheet name="APRIL 2019" sheetId="9" r:id="rId4"/>
    <sheet name="MAY 2019" sheetId="8" r:id="rId5"/>
    <sheet name="JUNE 2019" sheetId="7" r:id="rId6"/>
    <sheet name="JULY 2019 " sheetId="6" r:id="rId7"/>
    <sheet name="AUGUST 2019" sheetId="5" r:id="rId8"/>
    <sheet name="SEPTEMBER 2019" sheetId="4" r:id="rId9"/>
    <sheet name="OCTOBER 2019" sheetId="3" r:id="rId10"/>
    <sheet name="NOVEMBER 2019 " sheetId="2" r:id="rId11"/>
    <sheet name="DECEMBER 2019" sheetId="1" r:id="rId12"/>
  </sheets>
  <calcPr calcId="124519"/>
</workbook>
</file>

<file path=xl/calcChain.xml><?xml version="1.0" encoding="utf-8"?>
<calcChain xmlns="http://schemas.openxmlformats.org/spreadsheetml/2006/main">
  <c r="I36" i="1"/>
  <c r="J36"/>
  <c r="K36"/>
  <c r="L36"/>
  <c r="M36"/>
  <c r="I35" i="2"/>
  <c r="J35"/>
  <c r="K35"/>
  <c r="L35"/>
  <c r="M35"/>
  <c r="I36" i="3"/>
  <c r="J36"/>
  <c r="K36"/>
  <c r="L36"/>
  <c r="M36"/>
  <c r="I35" i="4"/>
  <c r="J35"/>
  <c r="K35"/>
  <c r="L35"/>
  <c r="M35"/>
  <c r="H35"/>
  <c r="I36" i="5"/>
  <c r="J36"/>
  <c r="K36"/>
  <c r="L36"/>
  <c r="M36"/>
  <c r="I36" i="6"/>
  <c r="J36"/>
  <c r="K36"/>
  <c r="L36"/>
  <c r="M36"/>
  <c r="I35" i="7"/>
  <c r="J35"/>
  <c r="K35"/>
  <c r="L35"/>
  <c r="M35"/>
  <c r="I36" i="8"/>
  <c r="J36"/>
  <c r="K36"/>
  <c r="L36"/>
  <c r="M36"/>
  <c r="I35" i="9"/>
  <c r="J35"/>
  <c r="K35"/>
  <c r="L35"/>
  <c r="M35"/>
  <c r="I36" i="10"/>
  <c r="J36"/>
  <c r="K36"/>
  <c r="L36"/>
  <c r="M36"/>
  <c r="I33" i="11"/>
  <c r="J33"/>
  <c r="K33"/>
  <c r="L33"/>
  <c r="M33"/>
  <c r="I36" i="12"/>
  <c r="J36"/>
  <c r="K36"/>
  <c r="L36"/>
  <c r="M36"/>
  <c r="K37" l="1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J34" i="11"/>
  <c r="K34"/>
  <c r="H33"/>
  <c r="H34" s="1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10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9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8"/>
  <c r="J37"/>
  <c r="H37"/>
  <c r="H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7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6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5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4"/>
  <c r="J36"/>
  <c r="H36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3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2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H36" i="1"/>
  <c r="H37" s="1"/>
  <c r="J37"/>
  <c r="K37"/>
  <c r="M34" l="1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5"/>
  <c r="M5"/>
</calcChain>
</file>

<file path=xl/sharedStrings.xml><?xml version="1.0" encoding="utf-8"?>
<sst xmlns="http://schemas.openxmlformats.org/spreadsheetml/2006/main" count="288" uniqueCount="33">
  <si>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</si>
  <si>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</si>
  <si>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</si>
  <si>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</si>
  <si>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</si>
  <si>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</si>
  <si>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</si>
  <si>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</si>
  <si>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</si>
  <si>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</si>
  <si>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</si>
  <si>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</si>
  <si>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</si>
  <si>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</si>
  <si>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</si>
  <si>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</si>
  <si>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</si>
  <si>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</si>
  <si>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</si>
  <si>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</si>
  <si>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RIVER DISCHARGE PARTICULARS OF PEDDAGEDDA RESERVOIR PROJECT FOR THE MONTH OF DECEMBER, 2019</t>
  </si>
  <si>
    <t>RIVER DISCHARGE PARTICULARS OF PEDDAGEDDA RESERVOIR PROJECT FOR THE MONTH OF NOVEMBER, 2019</t>
  </si>
  <si>
    <t>RIVER DISCHARGE PARTICULARS OF PEDDAGEDDA RESERVOIR PROJECT FOR THE MONTH OF OCTOBER, 2019</t>
  </si>
  <si>
    <t>RIVER DISCHARGE PARTICULARS OF PEDDAGEDDA RESERVOIR PROJECT FOR THE MONTH OF SEPTEMBER, 2019</t>
  </si>
  <si>
    <t>RIVER DISCHARGE PARTICULARS OF PEDDAGEDDA RESERVOIR PROJECT FOR THE MONTH OF  AUGUST , 2019</t>
  </si>
  <si>
    <t>RIVER DISCHARGE PARTICULARS OF PEDDAGEDDA RESERVOIR PROJECT FOR THE MONTH OF JULY, 2019</t>
  </si>
  <si>
    <t>RIVER DISCHARGE PARTICULARS OF PEDDAGEDDA RESERVOIR PROJECT FOR THE MONTH OF JUNE, 2019</t>
  </si>
  <si>
    <t>RIVER DISCHARGE PARTICULARS OF PEDDAGEDDA RESERVOIR PROJECT FOR THE MONTH OF MAY, 2019</t>
  </si>
  <si>
    <t>RIVER DISCHARGE PARTICULARS OF PEDDAGEDDA RESERVOIR PROJECT FOR THE MONTH OF APRIL , 2019</t>
  </si>
  <si>
    <t>RIVER DISCHARGE PARTICULARS OF PEDDAGEDDA RESERVOIR PROJECT FOR THE MONTH OF JANUARY, 2019</t>
  </si>
  <si>
    <t>RIVER DISCHARGE PARTICULARS OF PEDDAGEDDA RESERVOIR PROJECT FOR THE MONTH OF FEBRUARY , 2019</t>
  </si>
  <si>
    <t>RIVER DISCHARGE PARTICULARS OF PEDDAGEDDA RESERVOIR PROJECT FOR THE MONTH OF MARCH, 2019</t>
  </si>
  <si>
    <t>Gross Capacity in Mcft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</si>
</sst>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dd/mm/yyyy;@"/>
  </numFmts>
  <fonts count="9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0" xfId="0"/>
    <xf numFmtId="165" fontId="5" fillId="0" borderId="18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center"/>
    </xf>
    <xf numFmtId="164" fontId="6" fillId="0" borderId="13" xfId="0" quotePrefix="1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2" fontId="6" fillId="0" borderId="13" xfId="0" quotePrefix="1" applyNumberFormat="1" applyFont="1" applyBorder="1" applyAlignment="1">
      <alignment horizontal="center" vertical="center" wrapText="1"/>
    </xf>
    <xf numFmtId="164" fontId="6" fillId="0" borderId="0" xfId="0" quotePrefix="1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/>
    <xf numFmtId="164" fontId="6" fillId="0" borderId="1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5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view="pageBreakPreview" topLeftCell="A19" zoomScale="60" workbookViewId="0">
      <selection activeCell="R26" sqref="R26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43466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205.63</v>
      </c>
      <c r="G5" s="11">
        <v>249.66</v>
      </c>
      <c r="H5" s="9">
        <v>12</v>
      </c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43467</v>
      </c>
      <c r="B6" s="57"/>
      <c r="C6" s="57"/>
      <c r="D6" s="22">
        <v>213.8</v>
      </c>
      <c r="E6" s="34">
        <v>949</v>
      </c>
      <c r="F6" s="25">
        <v>205.67</v>
      </c>
      <c r="G6" s="11">
        <v>252.14</v>
      </c>
      <c r="H6" s="9">
        <v>29</v>
      </c>
      <c r="I6" s="24">
        <v>0</v>
      </c>
      <c r="J6" s="1">
        <v>0</v>
      </c>
      <c r="K6" s="1">
        <v>0</v>
      </c>
      <c r="L6" s="24">
        <v>0</v>
      </c>
      <c r="M6" s="24">
        <f t="shared" ref="M6:M35" si="0">L6+K6+J6+I6</f>
        <v>0</v>
      </c>
      <c r="N6" s="2"/>
    </row>
    <row r="7" spans="1:14" ht="19.5" customHeight="1">
      <c r="A7" s="8">
        <v>43468</v>
      </c>
      <c r="B7" s="57"/>
      <c r="C7" s="57"/>
      <c r="D7" s="22">
        <v>213.8</v>
      </c>
      <c r="E7" s="34">
        <v>949</v>
      </c>
      <c r="F7" s="25">
        <v>205.69</v>
      </c>
      <c r="G7" s="11">
        <v>253.2</v>
      </c>
      <c r="H7" s="9">
        <v>13</v>
      </c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43469</v>
      </c>
      <c r="B8" s="57"/>
      <c r="C8" s="57"/>
      <c r="D8" s="22">
        <v>213.8</v>
      </c>
      <c r="E8" s="34">
        <v>949</v>
      </c>
      <c r="F8" s="25">
        <v>205.71</v>
      </c>
      <c r="G8" s="11">
        <v>254.26</v>
      </c>
      <c r="H8" s="9">
        <v>12</v>
      </c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43470</v>
      </c>
      <c r="B9" s="57"/>
      <c r="C9" s="57"/>
      <c r="D9" s="22">
        <v>213.8</v>
      </c>
      <c r="E9" s="34">
        <v>949</v>
      </c>
      <c r="F9" s="25">
        <v>205.74</v>
      </c>
      <c r="G9" s="11">
        <v>256.38</v>
      </c>
      <c r="H9" s="9">
        <v>25</v>
      </c>
      <c r="I9" s="24">
        <v>0</v>
      </c>
      <c r="J9" s="1">
        <v>0</v>
      </c>
      <c r="K9" s="1">
        <v>0</v>
      </c>
      <c r="L9" s="24">
        <v>0</v>
      </c>
      <c r="M9" s="24">
        <f t="shared" si="0"/>
        <v>0</v>
      </c>
      <c r="N9" s="2"/>
    </row>
    <row r="10" spans="1:14" ht="19.5" customHeight="1">
      <c r="A10" s="8">
        <v>43471</v>
      </c>
      <c r="B10" s="57"/>
      <c r="C10" s="57"/>
      <c r="D10" s="22">
        <v>213.8</v>
      </c>
      <c r="E10" s="34">
        <v>949</v>
      </c>
      <c r="F10" s="25">
        <v>205.78</v>
      </c>
      <c r="G10" s="11">
        <v>258.5</v>
      </c>
      <c r="H10" s="9">
        <v>25</v>
      </c>
      <c r="I10" s="24">
        <v>0</v>
      </c>
      <c r="J10" s="1">
        <v>0</v>
      </c>
      <c r="K10" s="1">
        <v>0</v>
      </c>
      <c r="L10" s="24">
        <v>0</v>
      </c>
      <c r="M10" s="24">
        <f t="shared" si="0"/>
        <v>0</v>
      </c>
      <c r="N10" s="2"/>
    </row>
    <row r="11" spans="1:14" ht="19.5" customHeight="1">
      <c r="A11" s="8">
        <v>43472</v>
      </c>
      <c r="B11" s="57"/>
      <c r="C11" s="57"/>
      <c r="D11" s="22">
        <v>213.8</v>
      </c>
      <c r="E11" s="34">
        <v>949</v>
      </c>
      <c r="F11" s="25">
        <v>205.78</v>
      </c>
      <c r="G11" s="11">
        <v>258.5</v>
      </c>
      <c r="H11" s="9">
        <v>25</v>
      </c>
      <c r="I11" s="24">
        <v>0</v>
      </c>
      <c r="J11" s="1">
        <v>0</v>
      </c>
      <c r="K11" s="1">
        <v>0</v>
      </c>
      <c r="L11" s="24">
        <v>0</v>
      </c>
      <c r="M11" s="24">
        <f t="shared" si="0"/>
        <v>0</v>
      </c>
      <c r="N11" s="2"/>
    </row>
    <row r="12" spans="1:14" ht="19.5" customHeight="1">
      <c r="A12" s="8">
        <v>43473</v>
      </c>
      <c r="B12" s="57"/>
      <c r="C12" s="57"/>
      <c r="D12" s="22">
        <v>213.8</v>
      </c>
      <c r="E12" s="34">
        <v>949</v>
      </c>
      <c r="F12" s="25">
        <v>205.79</v>
      </c>
      <c r="G12" s="11">
        <v>259.2</v>
      </c>
      <c r="H12" s="9">
        <v>5</v>
      </c>
      <c r="I12" s="24">
        <v>0</v>
      </c>
      <c r="J12" s="1">
        <v>0</v>
      </c>
      <c r="K12" s="1">
        <v>0</v>
      </c>
      <c r="L12" s="24">
        <v>5</v>
      </c>
      <c r="M12" s="24">
        <f t="shared" si="0"/>
        <v>5</v>
      </c>
      <c r="N12" s="2"/>
    </row>
    <row r="13" spans="1:14" ht="19.5" customHeight="1">
      <c r="A13" s="8">
        <v>43474</v>
      </c>
      <c r="B13" s="57"/>
      <c r="C13" s="57"/>
      <c r="D13" s="22">
        <v>213.8</v>
      </c>
      <c r="E13" s="34">
        <v>949</v>
      </c>
      <c r="F13" s="26">
        <v>205.79</v>
      </c>
      <c r="G13" s="25">
        <v>259.2</v>
      </c>
      <c r="H13" s="9">
        <v>5</v>
      </c>
      <c r="I13" s="24">
        <v>0</v>
      </c>
      <c r="J13" s="1">
        <v>0</v>
      </c>
      <c r="K13" s="1">
        <v>0</v>
      </c>
      <c r="L13" s="24">
        <v>5</v>
      </c>
      <c r="M13" s="24">
        <f t="shared" si="0"/>
        <v>5</v>
      </c>
      <c r="N13" s="2"/>
    </row>
    <row r="14" spans="1:14" ht="19.5" customHeight="1">
      <c r="A14" s="8">
        <v>43475</v>
      </c>
      <c r="B14" s="57"/>
      <c r="C14" s="57"/>
      <c r="D14" s="22">
        <v>213.8</v>
      </c>
      <c r="E14" s="34">
        <v>949</v>
      </c>
      <c r="F14" s="25">
        <v>205.78</v>
      </c>
      <c r="G14" s="11">
        <v>258.5</v>
      </c>
      <c r="H14" s="9">
        <v>5</v>
      </c>
      <c r="I14" s="24">
        <v>0</v>
      </c>
      <c r="J14" s="1">
        <v>0</v>
      </c>
      <c r="K14" s="1">
        <v>0</v>
      </c>
      <c r="L14" s="24">
        <v>5</v>
      </c>
      <c r="M14" s="24">
        <f t="shared" si="0"/>
        <v>5</v>
      </c>
      <c r="N14" s="2"/>
    </row>
    <row r="15" spans="1:14" ht="19.5" customHeight="1">
      <c r="A15" s="8">
        <v>43476</v>
      </c>
      <c r="B15" s="57"/>
      <c r="C15" s="57"/>
      <c r="D15" s="22">
        <v>213.8</v>
      </c>
      <c r="E15" s="34">
        <v>949</v>
      </c>
      <c r="F15" s="25">
        <v>205.78</v>
      </c>
      <c r="G15" s="11">
        <v>258.5</v>
      </c>
      <c r="H15" s="9">
        <v>5</v>
      </c>
      <c r="I15" s="24">
        <v>0</v>
      </c>
      <c r="J15" s="1">
        <v>0</v>
      </c>
      <c r="K15" s="1">
        <v>0</v>
      </c>
      <c r="L15" s="24">
        <v>5</v>
      </c>
      <c r="M15" s="24">
        <f t="shared" si="0"/>
        <v>5</v>
      </c>
      <c r="N15" s="2"/>
    </row>
    <row r="16" spans="1:14" ht="19.5" customHeight="1">
      <c r="A16" s="8">
        <v>43477</v>
      </c>
      <c r="B16" s="57"/>
      <c r="C16" s="57"/>
      <c r="D16" s="22">
        <v>213.8</v>
      </c>
      <c r="E16" s="34">
        <v>949</v>
      </c>
      <c r="F16" s="25">
        <v>205.78</v>
      </c>
      <c r="G16" s="11">
        <v>258.5</v>
      </c>
      <c r="H16" s="9">
        <v>5</v>
      </c>
      <c r="I16" s="24">
        <v>0</v>
      </c>
      <c r="J16" s="1">
        <v>0</v>
      </c>
      <c r="K16" s="1">
        <v>0</v>
      </c>
      <c r="L16" s="24">
        <v>5</v>
      </c>
      <c r="M16" s="24">
        <f t="shared" si="0"/>
        <v>5</v>
      </c>
      <c r="N16" s="2"/>
    </row>
    <row r="17" spans="1:15" ht="19.5" customHeight="1">
      <c r="A17" s="8">
        <v>43478</v>
      </c>
      <c r="B17" s="57"/>
      <c r="C17" s="57"/>
      <c r="D17" s="22">
        <v>213.8</v>
      </c>
      <c r="E17" s="34">
        <v>949</v>
      </c>
      <c r="F17" s="25">
        <v>205.78</v>
      </c>
      <c r="G17" s="11">
        <v>258.5</v>
      </c>
      <c r="H17" s="9">
        <v>5</v>
      </c>
      <c r="I17" s="24">
        <v>0</v>
      </c>
      <c r="J17" s="1">
        <v>0</v>
      </c>
      <c r="K17" s="1">
        <v>0</v>
      </c>
      <c r="L17" s="24">
        <v>5</v>
      </c>
      <c r="M17" s="24">
        <f t="shared" si="0"/>
        <v>5</v>
      </c>
      <c r="N17" s="2"/>
    </row>
    <row r="18" spans="1:15" ht="19.5" customHeight="1">
      <c r="A18" s="8">
        <v>43479</v>
      </c>
      <c r="B18" s="57"/>
      <c r="C18" s="57"/>
      <c r="D18" s="22">
        <v>213.8</v>
      </c>
      <c r="E18" s="34">
        <v>949</v>
      </c>
      <c r="F18" s="25">
        <v>205.78</v>
      </c>
      <c r="G18" s="11">
        <v>258.5</v>
      </c>
      <c r="H18" s="9">
        <v>5</v>
      </c>
      <c r="I18" s="24">
        <v>0</v>
      </c>
      <c r="J18" s="1">
        <v>0</v>
      </c>
      <c r="K18" s="1">
        <v>0</v>
      </c>
      <c r="L18" s="24">
        <v>5</v>
      </c>
      <c r="M18" s="24">
        <f t="shared" si="0"/>
        <v>5</v>
      </c>
      <c r="N18" s="2"/>
    </row>
    <row r="19" spans="1:15" ht="19.5" customHeight="1">
      <c r="A19" s="8">
        <v>43480</v>
      </c>
      <c r="B19" s="57"/>
      <c r="C19" s="57"/>
      <c r="D19" s="22">
        <v>213.8</v>
      </c>
      <c r="E19" s="34">
        <v>949</v>
      </c>
      <c r="F19" s="25">
        <v>205.78</v>
      </c>
      <c r="G19" s="11">
        <v>258.5</v>
      </c>
      <c r="H19" s="9">
        <v>5</v>
      </c>
      <c r="I19" s="24">
        <v>0</v>
      </c>
      <c r="J19" s="1">
        <v>0</v>
      </c>
      <c r="K19" s="1">
        <v>0</v>
      </c>
      <c r="L19" s="24">
        <v>5</v>
      </c>
      <c r="M19" s="24">
        <f t="shared" si="0"/>
        <v>5</v>
      </c>
      <c r="N19" s="2"/>
    </row>
    <row r="20" spans="1:15" ht="19.5" customHeight="1">
      <c r="A20" s="8">
        <v>43481</v>
      </c>
      <c r="B20" s="57"/>
      <c r="C20" s="57"/>
      <c r="D20" s="22">
        <v>213.8</v>
      </c>
      <c r="E20" s="34">
        <v>949</v>
      </c>
      <c r="F20" s="25">
        <v>205.78</v>
      </c>
      <c r="G20" s="11">
        <v>258.5</v>
      </c>
      <c r="H20" s="9">
        <v>5</v>
      </c>
      <c r="I20" s="24">
        <v>0</v>
      </c>
      <c r="J20" s="1">
        <v>0</v>
      </c>
      <c r="K20" s="1">
        <v>0</v>
      </c>
      <c r="L20" s="24">
        <v>5</v>
      </c>
      <c r="M20" s="24">
        <f t="shared" si="0"/>
        <v>5</v>
      </c>
      <c r="N20" s="2"/>
    </row>
    <row r="21" spans="1:15" ht="19.5" customHeight="1">
      <c r="A21" s="8">
        <v>43482</v>
      </c>
      <c r="B21" s="57"/>
      <c r="C21" s="57"/>
      <c r="D21" s="22">
        <v>213.8</v>
      </c>
      <c r="E21" s="34">
        <v>949</v>
      </c>
      <c r="F21" s="25">
        <v>205.79</v>
      </c>
      <c r="G21" s="11">
        <v>259.2</v>
      </c>
      <c r="H21" s="9">
        <v>5</v>
      </c>
      <c r="I21" s="24">
        <v>0</v>
      </c>
      <c r="J21" s="1">
        <v>0</v>
      </c>
      <c r="K21" s="1">
        <v>0</v>
      </c>
      <c r="L21" s="24">
        <v>5</v>
      </c>
      <c r="M21" s="24">
        <f t="shared" si="0"/>
        <v>5</v>
      </c>
      <c r="N21" s="2"/>
    </row>
    <row r="22" spans="1:15" ht="19.5" customHeight="1">
      <c r="A22" s="8">
        <v>43483</v>
      </c>
      <c r="B22" s="57"/>
      <c r="C22" s="57"/>
      <c r="D22" s="22">
        <v>213.8</v>
      </c>
      <c r="E22" s="34">
        <v>949</v>
      </c>
      <c r="F22" s="25">
        <v>205.79</v>
      </c>
      <c r="G22" s="11">
        <v>259.2</v>
      </c>
      <c r="H22" s="9">
        <v>5</v>
      </c>
      <c r="I22" s="24">
        <v>0</v>
      </c>
      <c r="J22" s="1">
        <v>0</v>
      </c>
      <c r="K22" s="1">
        <v>0</v>
      </c>
      <c r="L22" s="24">
        <v>5</v>
      </c>
      <c r="M22" s="24">
        <f t="shared" si="0"/>
        <v>5</v>
      </c>
      <c r="N22" s="2"/>
    </row>
    <row r="23" spans="1:15" ht="19.5" customHeight="1">
      <c r="A23" s="8">
        <v>43484</v>
      </c>
      <c r="B23" s="57"/>
      <c r="C23" s="57"/>
      <c r="D23" s="22">
        <v>213.8</v>
      </c>
      <c r="E23" s="34">
        <v>949</v>
      </c>
      <c r="F23" s="25">
        <v>205.79</v>
      </c>
      <c r="G23" s="11">
        <v>259.2</v>
      </c>
      <c r="H23" s="9">
        <v>5</v>
      </c>
      <c r="I23" s="24">
        <v>0</v>
      </c>
      <c r="J23" s="1">
        <v>0</v>
      </c>
      <c r="K23" s="1">
        <v>0</v>
      </c>
      <c r="L23" s="24">
        <v>5</v>
      </c>
      <c r="M23" s="24">
        <f t="shared" si="0"/>
        <v>5</v>
      </c>
      <c r="N23" s="2"/>
    </row>
    <row r="24" spans="1:15" ht="19.5" customHeight="1">
      <c r="A24" s="8">
        <v>43485</v>
      </c>
      <c r="B24" s="57"/>
      <c r="C24" s="57"/>
      <c r="D24" s="22">
        <v>213.8</v>
      </c>
      <c r="E24" s="34">
        <v>949</v>
      </c>
      <c r="F24" s="25">
        <v>205.79</v>
      </c>
      <c r="G24" s="11">
        <v>259.2</v>
      </c>
      <c r="H24" s="9">
        <v>5</v>
      </c>
      <c r="I24" s="24">
        <v>0</v>
      </c>
      <c r="J24" s="1">
        <v>0</v>
      </c>
      <c r="K24" s="1">
        <v>0</v>
      </c>
      <c r="L24" s="24">
        <v>5</v>
      </c>
      <c r="M24" s="24">
        <f t="shared" si="0"/>
        <v>5</v>
      </c>
      <c r="N24" s="2"/>
    </row>
    <row r="25" spans="1:15" ht="19.5" customHeight="1">
      <c r="A25" s="8">
        <v>43486</v>
      </c>
      <c r="B25" s="57"/>
      <c r="C25" s="57"/>
      <c r="D25" s="22">
        <v>213.8</v>
      </c>
      <c r="E25" s="34">
        <v>949</v>
      </c>
      <c r="F25" s="25">
        <v>205.79</v>
      </c>
      <c r="G25" s="11">
        <v>259.2</v>
      </c>
      <c r="H25" s="9">
        <v>5</v>
      </c>
      <c r="I25" s="24">
        <v>0</v>
      </c>
      <c r="J25" s="1">
        <v>0</v>
      </c>
      <c r="K25" s="1">
        <v>0</v>
      </c>
      <c r="L25" s="24">
        <v>5</v>
      </c>
      <c r="M25" s="24">
        <f t="shared" si="0"/>
        <v>5</v>
      </c>
      <c r="N25" s="2"/>
    </row>
    <row r="26" spans="1:15" ht="19.5" customHeight="1">
      <c r="A26" s="8">
        <v>43487</v>
      </c>
      <c r="B26" s="57"/>
      <c r="C26" s="57"/>
      <c r="D26" s="22">
        <v>213.8</v>
      </c>
      <c r="E26" s="34">
        <v>949</v>
      </c>
      <c r="F26" s="25">
        <v>205.79</v>
      </c>
      <c r="G26" s="11">
        <v>259.2</v>
      </c>
      <c r="H26" s="9">
        <v>5</v>
      </c>
      <c r="I26" s="24">
        <v>0</v>
      </c>
      <c r="J26" s="1">
        <v>5</v>
      </c>
      <c r="K26" s="1">
        <v>0</v>
      </c>
      <c r="L26" s="24">
        <v>0</v>
      </c>
      <c r="M26" s="24">
        <f t="shared" si="0"/>
        <v>5</v>
      </c>
      <c r="N26" s="2"/>
      <c r="O26" s="18"/>
    </row>
    <row r="27" spans="1:15" ht="19.5" customHeight="1">
      <c r="A27" s="8">
        <v>43488</v>
      </c>
      <c r="B27" s="57"/>
      <c r="C27" s="57"/>
      <c r="D27" s="22">
        <v>213.8</v>
      </c>
      <c r="E27" s="34">
        <v>949</v>
      </c>
      <c r="F27" s="25">
        <v>205.79</v>
      </c>
      <c r="G27" s="11">
        <v>259.2</v>
      </c>
      <c r="H27" s="9">
        <v>5</v>
      </c>
      <c r="I27" s="24">
        <v>0</v>
      </c>
      <c r="J27" s="1">
        <v>5</v>
      </c>
      <c r="K27" s="1">
        <v>0</v>
      </c>
      <c r="L27" s="24">
        <v>0</v>
      </c>
      <c r="M27" s="24">
        <f t="shared" si="0"/>
        <v>5</v>
      </c>
      <c r="N27" s="2"/>
    </row>
    <row r="28" spans="1:15" ht="19.5" customHeight="1">
      <c r="A28" s="8">
        <v>43489</v>
      </c>
      <c r="B28" s="57"/>
      <c r="C28" s="57"/>
      <c r="D28" s="22">
        <v>213.8</v>
      </c>
      <c r="E28" s="34">
        <v>949</v>
      </c>
      <c r="F28" s="25">
        <v>205.81</v>
      </c>
      <c r="G28" s="11">
        <v>260.37</v>
      </c>
      <c r="H28" s="9">
        <v>18</v>
      </c>
      <c r="I28" s="24">
        <v>0</v>
      </c>
      <c r="J28" s="1">
        <v>0</v>
      </c>
      <c r="K28" s="1">
        <v>0</v>
      </c>
      <c r="L28" s="24">
        <v>5</v>
      </c>
      <c r="M28" s="24">
        <f t="shared" si="0"/>
        <v>5</v>
      </c>
      <c r="N28" s="2"/>
    </row>
    <row r="29" spans="1:15" ht="19.5" customHeight="1">
      <c r="A29" s="8">
        <v>43490</v>
      </c>
      <c r="B29" s="57"/>
      <c r="C29" s="57"/>
      <c r="D29" s="22">
        <v>213.8</v>
      </c>
      <c r="E29" s="34">
        <v>949</v>
      </c>
      <c r="F29" s="25">
        <v>205.81</v>
      </c>
      <c r="G29" s="11">
        <v>260.37</v>
      </c>
      <c r="H29" s="9">
        <v>18</v>
      </c>
      <c r="I29" s="24">
        <v>0</v>
      </c>
      <c r="J29" s="1">
        <v>0</v>
      </c>
      <c r="K29" s="1">
        <v>5</v>
      </c>
      <c r="L29" s="24">
        <v>5</v>
      </c>
      <c r="M29" s="24">
        <f t="shared" si="0"/>
        <v>10</v>
      </c>
      <c r="N29" s="2"/>
    </row>
    <row r="30" spans="1:15" ht="19.5" customHeight="1">
      <c r="A30" s="8">
        <v>43491</v>
      </c>
      <c r="B30" s="57"/>
      <c r="C30" s="57"/>
      <c r="D30" s="22">
        <v>213.8</v>
      </c>
      <c r="E30" s="34">
        <v>949</v>
      </c>
      <c r="F30" s="25">
        <v>205.81</v>
      </c>
      <c r="G30" s="11">
        <v>260.37</v>
      </c>
      <c r="H30" s="9">
        <v>5</v>
      </c>
      <c r="I30" s="24">
        <v>0</v>
      </c>
      <c r="J30" s="1">
        <v>0</v>
      </c>
      <c r="K30" s="1">
        <v>0</v>
      </c>
      <c r="L30" s="24">
        <v>5</v>
      </c>
      <c r="M30" s="24">
        <f t="shared" si="0"/>
        <v>5</v>
      </c>
      <c r="N30" s="2"/>
    </row>
    <row r="31" spans="1:15" ht="21" customHeight="1">
      <c r="A31" s="8">
        <v>43492</v>
      </c>
      <c r="B31" s="57"/>
      <c r="C31" s="57"/>
      <c r="D31" s="22">
        <v>213.8</v>
      </c>
      <c r="E31" s="34">
        <v>949</v>
      </c>
      <c r="F31" s="25">
        <v>205.81</v>
      </c>
      <c r="G31" s="11">
        <v>260.37</v>
      </c>
      <c r="H31" s="9">
        <v>5</v>
      </c>
      <c r="I31" s="24">
        <v>0</v>
      </c>
      <c r="J31" s="1">
        <v>0</v>
      </c>
      <c r="K31" s="1">
        <v>0</v>
      </c>
      <c r="L31" s="24">
        <v>5</v>
      </c>
      <c r="M31" s="24">
        <f t="shared" si="0"/>
        <v>5</v>
      </c>
      <c r="N31" s="2"/>
    </row>
    <row r="32" spans="1:15" ht="21" customHeight="1">
      <c r="A32" s="8">
        <v>43493</v>
      </c>
      <c r="B32" s="57"/>
      <c r="C32" s="57"/>
      <c r="D32" s="22">
        <v>213.8</v>
      </c>
      <c r="E32" s="34">
        <v>949</v>
      </c>
      <c r="F32" s="25">
        <v>205.81</v>
      </c>
      <c r="G32" s="11">
        <v>260.37</v>
      </c>
      <c r="H32" s="9">
        <v>18</v>
      </c>
      <c r="I32" s="24">
        <v>0</v>
      </c>
      <c r="J32" s="1">
        <v>0</v>
      </c>
      <c r="K32" s="1">
        <v>0</v>
      </c>
      <c r="L32" s="24">
        <v>5</v>
      </c>
      <c r="M32" s="24">
        <f t="shared" si="0"/>
        <v>5</v>
      </c>
      <c r="N32" s="2"/>
    </row>
    <row r="33" spans="1:15" ht="21" customHeight="1">
      <c r="A33" s="8">
        <v>43494</v>
      </c>
      <c r="B33" s="57"/>
      <c r="C33" s="57"/>
      <c r="D33" s="22">
        <v>213.8</v>
      </c>
      <c r="E33" s="34">
        <v>949</v>
      </c>
      <c r="F33" s="25">
        <v>205.82</v>
      </c>
      <c r="G33" s="11">
        <v>260.92</v>
      </c>
      <c r="H33" s="9">
        <v>12</v>
      </c>
      <c r="I33" s="24">
        <v>0</v>
      </c>
      <c r="J33" s="1">
        <v>0</v>
      </c>
      <c r="K33" s="1">
        <v>0</v>
      </c>
      <c r="L33" s="24">
        <v>5</v>
      </c>
      <c r="M33" s="24">
        <f t="shared" si="0"/>
        <v>5</v>
      </c>
      <c r="N33" s="2"/>
    </row>
    <row r="34" spans="1:15" ht="21" customHeight="1">
      <c r="A34" s="8">
        <v>43495</v>
      </c>
      <c r="B34" s="57"/>
      <c r="C34" s="57"/>
      <c r="D34" s="22">
        <v>213.8</v>
      </c>
      <c r="E34" s="34">
        <v>949</v>
      </c>
      <c r="F34" s="25">
        <v>205.82</v>
      </c>
      <c r="G34" s="11">
        <v>260.92</v>
      </c>
      <c r="H34" s="9">
        <v>5</v>
      </c>
      <c r="I34" s="24">
        <v>0</v>
      </c>
      <c r="J34" s="1">
        <v>0</v>
      </c>
      <c r="K34" s="1">
        <v>0</v>
      </c>
      <c r="L34" s="24">
        <v>5</v>
      </c>
      <c r="M34" s="24">
        <f t="shared" si="0"/>
        <v>5</v>
      </c>
      <c r="N34" s="2"/>
    </row>
    <row r="35" spans="1:15" ht="21" customHeight="1">
      <c r="A35" s="8">
        <v>43496</v>
      </c>
      <c r="B35" s="58"/>
      <c r="C35" s="58"/>
      <c r="D35" s="23">
        <v>213.8</v>
      </c>
      <c r="E35" s="34">
        <v>949</v>
      </c>
      <c r="F35" s="25">
        <v>205.82</v>
      </c>
      <c r="G35" s="11">
        <v>260.92</v>
      </c>
      <c r="H35" s="9">
        <v>5</v>
      </c>
      <c r="I35" s="24">
        <v>0</v>
      </c>
      <c r="J35" s="1">
        <v>0</v>
      </c>
      <c r="K35" s="1">
        <v>0</v>
      </c>
      <c r="L35" s="24">
        <v>5</v>
      </c>
      <c r="M35" s="24">
        <f t="shared" si="0"/>
        <v>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307</v>
      </c>
      <c r="I36" s="16">
        <f t="shared" ref="I36:M36" si="1">SUM(I5:I35)</f>
        <v>0</v>
      </c>
      <c r="J36" s="16">
        <f t="shared" si="1"/>
        <v>10</v>
      </c>
      <c r="K36" s="16">
        <f t="shared" si="1"/>
        <v>5</v>
      </c>
      <c r="L36" s="16">
        <f t="shared" si="1"/>
        <v>110</v>
      </c>
      <c r="M36" s="16">
        <f t="shared" si="1"/>
        <v>125</v>
      </c>
      <c r="N36" s="16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2.6524969759806463E-2</v>
      </c>
      <c r="I37" s="5"/>
      <c r="J37" s="5">
        <f>J36/11574</f>
        <v>8.6400552963538963E-4</v>
      </c>
      <c r="K37" s="5">
        <f>K36/11574</f>
        <v>4.3200276481769481E-4</v>
      </c>
      <c r="L37" s="28"/>
      <c r="M37" s="28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view="pageBreakPreview" topLeftCell="A5" zoomScale="60" workbookViewId="0">
      <selection activeCell="G32" sqref="G5:G32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57"/>
      <c r="B4" s="57"/>
      <c r="C4" s="57"/>
      <c r="D4" s="57"/>
      <c r="E4" s="61"/>
      <c r="F4" s="57"/>
      <c r="G4" s="57"/>
      <c r="H4" s="57"/>
      <c r="I4" s="32" t="s">
        <v>15</v>
      </c>
      <c r="J4" s="32" t="s">
        <v>13</v>
      </c>
      <c r="K4" s="29" t="s">
        <v>18</v>
      </c>
      <c r="L4" s="32" t="s">
        <v>14</v>
      </c>
      <c r="M4" s="57"/>
      <c r="N4" s="48"/>
    </row>
    <row r="5" spans="1:14" ht="19.5" customHeight="1">
      <c r="A5" s="33">
        <v>43497</v>
      </c>
      <c r="B5" s="62" t="s">
        <v>11</v>
      </c>
      <c r="C5" s="62" t="s">
        <v>12</v>
      </c>
      <c r="D5" s="34">
        <v>213.8</v>
      </c>
      <c r="E5" s="34">
        <v>949</v>
      </c>
      <c r="F5" s="25">
        <v>205.82</v>
      </c>
      <c r="G5" s="34">
        <v>260.93</v>
      </c>
      <c r="H5" s="9">
        <v>5</v>
      </c>
      <c r="I5" s="35">
        <v>0</v>
      </c>
      <c r="J5" s="36">
        <v>0</v>
      </c>
      <c r="K5" s="36">
        <v>0</v>
      </c>
      <c r="L5" s="35">
        <v>5</v>
      </c>
      <c r="M5" s="35">
        <f>L5+K5+J5+I5</f>
        <v>5</v>
      </c>
      <c r="N5" s="31"/>
    </row>
    <row r="6" spans="1:14" ht="19.5" customHeight="1">
      <c r="A6" s="33">
        <v>43498</v>
      </c>
      <c r="B6" s="63"/>
      <c r="C6" s="63"/>
      <c r="D6" s="34">
        <v>213.8</v>
      </c>
      <c r="E6" s="34">
        <v>949</v>
      </c>
      <c r="F6" s="25">
        <v>205.82</v>
      </c>
      <c r="G6" s="34">
        <v>260.97000000000003</v>
      </c>
      <c r="H6" s="9">
        <v>5</v>
      </c>
      <c r="I6" s="35">
        <v>0</v>
      </c>
      <c r="J6" s="36">
        <v>0</v>
      </c>
      <c r="K6" s="36">
        <v>0</v>
      </c>
      <c r="L6" s="35">
        <v>5</v>
      </c>
      <c r="M6" s="35">
        <f t="shared" ref="M6:M32" si="0">L6+K6+J6+I6</f>
        <v>5</v>
      </c>
      <c r="N6" s="31"/>
    </row>
    <row r="7" spans="1:14" ht="19.5" customHeight="1">
      <c r="A7" s="33">
        <v>43499</v>
      </c>
      <c r="B7" s="63"/>
      <c r="C7" s="63"/>
      <c r="D7" s="34">
        <v>213.8</v>
      </c>
      <c r="E7" s="34">
        <v>949</v>
      </c>
      <c r="F7" s="25">
        <v>205.82</v>
      </c>
      <c r="G7" s="34">
        <v>260.97000000000003</v>
      </c>
      <c r="H7" s="9">
        <v>5</v>
      </c>
      <c r="I7" s="35">
        <v>0</v>
      </c>
      <c r="J7" s="36">
        <v>0</v>
      </c>
      <c r="K7" s="36">
        <v>0</v>
      </c>
      <c r="L7" s="35">
        <v>5</v>
      </c>
      <c r="M7" s="35">
        <f t="shared" si="0"/>
        <v>5</v>
      </c>
      <c r="N7" s="31"/>
    </row>
    <row r="8" spans="1:14" ht="19.5" customHeight="1">
      <c r="A8" s="33">
        <v>43500</v>
      </c>
      <c r="B8" s="63"/>
      <c r="C8" s="63"/>
      <c r="D8" s="34">
        <v>213.8</v>
      </c>
      <c r="E8" s="34">
        <v>949</v>
      </c>
      <c r="F8" s="25">
        <v>205.82</v>
      </c>
      <c r="G8" s="34">
        <v>260.97000000000003</v>
      </c>
      <c r="H8" s="9">
        <v>5</v>
      </c>
      <c r="I8" s="35">
        <v>0</v>
      </c>
      <c r="J8" s="36">
        <v>0</v>
      </c>
      <c r="K8" s="36">
        <v>0</v>
      </c>
      <c r="L8" s="35">
        <v>5</v>
      </c>
      <c r="M8" s="35">
        <f t="shared" si="0"/>
        <v>5</v>
      </c>
      <c r="N8" s="31"/>
    </row>
    <row r="9" spans="1:14" ht="19.5" customHeight="1">
      <c r="A9" s="33">
        <v>43501</v>
      </c>
      <c r="B9" s="63"/>
      <c r="C9" s="63"/>
      <c r="D9" s="34">
        <v>213.8</v>
      </c>
      <c r="E9" s="34">
        <v>949</v>
      </c>
      <c r="F9" s="25">
        <v>205.82</v>
      </c>
      <c r="G9" s="34">
        <v>260.97000000000003</v>
      </c>
      <c r="H9" s="9">
        <v>5</v>
      </c>
      <c r="I9" s="35">
        <v>0</v>
      </c>
      <c r="J9" s="36">
        <v>0</v>
      </c>
      <c r="K9" s="36">
        <v>0</v>
      </c>
      <c r="L9" s="35">
        <v>5</v>
      </c>
      <c r="M9" s="35">
        <f t="shared" si="0"/>
        <v>5</v>
      </c>
      <c r="N9" s="31"/>
    </row>
    <row r="10" spans="1:14" ht="19.5" customHeight="1">
      <c r="A10" s="33">
        <v>43502</v>
      </c>
      <c r="B10" s="63"/>
      <c r="C10" s="63"/>
      <c r="D10" s="34">
        <v>213.8</v>
      </c>
      <c r="E10" s="34">
        <v>949</v>
      </c>
      <c r="F10" s="25">
        <v>205.82</v>
      </c>
      <c r="G10" s="34">
        <v>260.97000000000003</v>
      </c>
      <c r="H10" s="9">
        <v>5</v>
      </c>
      <c r="I10" s="35">
        <v>0</v>
      </c>
      <c r="J10" s="36">
        <v>0</v>
      </c>
      <c r="K10" s="36">
        <v>0</v>
      </c>
      <c r="L10" s="35">
        <v>5</v>
      </c>
      <c r="M10" s="35">
        <f t="shared" si="0"/>
        <v>5</v>
      </c>
      <c r="N10" s="31"/>
    </row>
    <row r="11" spans="1:14" ht="19.5" customHeight="1">
      <c r="A11" s="33">
        <v>43503</v>
      </c>
      <c r="B11" s="63"/>
      <c r="C11" s="63"/>
      <c r="D11" s="34">
        <v>213.8</v>
      </c>
      <c r="E11" s="34">
        <v>949</v>
      </c>
      <c r="F11" s="25">
        <v>205.78</v>
      </c>
      <c r="G11" s="34">
        <v>258.49</v>
      </c>
      <c r="H11" s="9"/>
      <c r="I11" s="35">
        <v>0</v>
      </c>
      <c r="J11" s="36">
        <v>0</v>
      </c>
      <c r="K11" s="36">
        <v>0</v>
      </c>
      <c r="L11" s="35">
        <v>5</v>
      </c>
      <c r="M11" s="35">
        <f t="shared" si="0"/>
        <v>5</v>
      </c>
      <c r="N11" s="31"/>
    </row>
    <row r="12" spans="1:14" ht="19.5" customHeight="1">
      <c r="A12" s="33">
        <v>43504</v>
      </c>
      <c r="B12" s="63"/>
      <c r="C12" s="63"/>
      <c r="D12" s="34">
        <v>213.8</v>
      </c>
      <c r="E12" s="34">
        <v>949</v>
      </c>
      <c r="F12" s="25">
        <v>205.78</v>
      </c>
      <c r="G12" s="34">
        <v>258.49</v>
      </c>
      <c r="H12" s="9"/>
      <c r="I12" s="35">
        <v>0</v>
      </c>
      <c r="J12" s="36">
        <v>0</v>
      </c>
      <c r="K12" s="36">
        <v>0</v>
      </c>
      <c r="L12" s="35">
        <v>5</v>
      </c>
      <c r="M12" s="35">
        <f t="shared" si="0"/>
        <v>5</v>
      </c>
      <c r="N12" s="31"/>
    </row>
    <row r="13" spans="1:14" ht="19.5" customHeight="1">
      <c r="A13" s="33">
        <v>43505</v>
      </c>
      <c r="B13" s="63"/>
      <c r="C13" s="63"/>
      <c r="D13" s="34">
        <v>213.8</v>
      </c>
      <c r="E13" s="34">
        <v>949</v>
      </c>
      <c r="F13" s="25">
        <v>205.78</v>
      </c>
      <c r="G13" s="34">
        <v>258.49</v>
      </c>
      <c r="H13" s="9">
        <v>5</v>
      </c>
      <c r="I13" s="35">
        <v>0</v>
      </c>
      <c r="J13" s="36">
        <v>0</v>
      </c>
      <c r="K13" s="36">
        <v>0</v>
      </c>
      <c r="L13" s="35">
        <v>5</v>
      </c>
      <c r="M13" s="35">
        <f t="shared" si="0"/>
        <v>5</v>
      </c>
      <c r="N13" s="31"/>
    </row>
    <row r="14" spans="1:14" ht="19.5" customHeight="1">
      <c r="A14" s="33">
        <v>43506</v>
      </c>
      <c r="B14" s="63"/>
      <c r="C14" s="63"/>
      <c r="D14" s="34">
        <v>213.8</v>
      </c>
      <c r="E14" s="34">
        <v>949</v>
      </c>
      <c r="F14" s="25">
        <v>205.78</v>
      </c>
      <c r="G14" s="34">
        <v>258.49</v>
      </c>
      <c r="H14" s="9">
        <v>5</v>
      </c>
      <c r="I14" s="35">
        <v>0</v>
      </c>
      <c r="J14" s="36">
        <v>0</v>
      </c>
      <c r="K14" s="36">
        <v>0</v>
      </c>
      <c r="L14" s="35">
        <v>5</v>
      </c>
      <c r="M14" s="35">
        <f t="shared" si="0"/>
        <v>5</v>
      </c>
      <c r="N14" s="31"/>
    </row>
    <row r="15" spans="1:14" ht="19.5" customHeight="1">
      <c r="A15" s="33">
        <v>43507</v>
      </c>
      <c r="B15" s="63"/>
      <c r="C15" s="63"/>
      <c r="D15" s="34">
        <v>213.8</v>
      </c>
      <c r="E15" s="34">
        <v>949</v>
      </c>
      <c r="F15" s="25">
        <v>205.78</v>
      </c>
      <c r="G15" s="34">
        <v>258.49</v>
      </c>
      <c r="H15" s="9">
        <v>5</v>
      </c>
      <c r="I15" s="35">
        <v>0</v>
      </c>
      <c r="J15" s="36">
        <v>0</v>
      </c>
      <c r="K15" s="36">
        <v>0</v>
      </c>
      <c r="L15" s="35">
        <v>5</v>
      </c>
      <c r="M15" s="35">
        <f t="shared" si="0"/>
        <v>5</v>
      </c>
      <c r="N15" s="31"/>
    </row>
    <row r="16" spans="1:14" ht="19.5" customHeight="1">
      <c r="A16" s="33">
        <v>43508</v>
      </c>
      <c r="B16" s="63"/>
      <c r="C16" s="63"/>
      <c r="D16" s="34">
        <v>213.8</v>
      </c>
      <c r="E16" s="34">
        <v>949</v>
      </c>
      <c r="F16" s="25">
        <v>205.78</v>
      </c>
      <c r="G16" s="34">
        <v>258.49</v>
      </c>
      <c r="H16" s="9">
        <v>5</v>
      </c>
      <c r="I16" s="35">
        <v>0</v>
      </c>
      <c r="J16" s="36">
        <v>0</v>
      </c>
      <c r="K16" s="36">
        <v>0</v>
      </c>
      <c r="L16" s="35">
        <v>5</v>
      </c>
      <c r="M16" s="35">
        <f t="shared" si="0"/>
        <v>5</v>
      </c>
      <c r="N16" s="31"/>
    </row>
    <row r="17" spans="1:15" ht="19.5" customHeight="1">
      <c r="A17" s="33">
        <v>43509</v>
      </c>
      <c r="B17" s="63"/>
      <c r="C17" s="63"/>
      <c r="D17" s="34">
        <v>213.8</v>
      </c>
      <c r="E17" s="34">
        <v>949</v>
      </c>
      <c r="F17" s="25">
        <v>205.78</v>
      </c>
      <c r="G17" s="34">
        <v>258.49</v>
      </c>
      <c r="H17" s="9">
        <v>5</v>
      </c>
      <c r="I17" s="35">
        <v>0</v>
      </c>
      <c r="J17" s="36">
        <v>0</v>
      </c>
      <c r="K17" s="36">
        <v>0</v>
      </c>
      <c r="L17" s="35">
        <v>5</v>
      </c>
      <c r="M17" s="35">
        <f t="shared" si="0"/>
        <v>5</v>
      </c>
      <c r="N17" s="31"/>
    </row>
    <row r="18" spans="1:15" ht="19.5" customHeight="1">
      <c r="A18" s="33">
        <v>43510</v>
      </c>
      <c r="B18" s="63"/>
      <c r="C18" s="63"/>
      <c r="D18" s="34">
        <v>213.8</v>
      </c>
      <c r="E18" s="34">
        <v>949</v>
      </c>
      <c r="F18" s="25">
        <v>205.78</v>
      </c>
      <c r="G18" s="34">
        <v>258.49</v>
      </c>
      <c r="H18" s="9">
        <v>5</v>
      </c>
      <c r="I18" s="35">
        <v>0</v>
      </c>
      <c r="J18" s="36">
        <v>0</v>
      </c>
      <c r="K18" s="36">
        <v>0</v>
      </c>
      <c r="L18" s="35">
        <v>5</v>
      </c>
      <c r="M18" s="35">
        <f t="shared" si="0"/>
        <v>5</v>
      </c>
      <c r="N18" s="31"/>
    </row>
    <row r="19" spans="1:15" ht="19.5" customHeight="1">
      <c r="A19" s="33">
        <v>43511</v>
      </c>
      <c r="B19" s="63"/>
      <c r="C19" s="63"/>
      <c r="D19" s="34">
        <v>213.8</v>
      </c>
      <c r="E19" s="34">
        <v>949</v>
      </c>
      <c r="F19" s="25">
        <v>205.73</v>
      </c>
      <c r="G19" s="34">
        <v>255.68</v>
      </c>
      <c r="H19" s="9">
        <v>5</v>
      </c>
      <c r="I19" s="35">
        <v>0</v>
      </c>
      <c r="J19" s="36">
        <v>0</v>
      </c>
      <c r="K19" s="36">
        <v>0</v>
      </c>
      <c r="L19" s="35">
        <v>5</v>
      </c>
      <c r="M19" s="35">
        <f t="shared" si="0"/>
        <v>5</v>
      </c>
      <c r="N19" s="31"/>
    </row>
    <row r="20" spans="1:15" ht="19.5" customHeight="1">
      <c r="A20" s="33">
        <v>43512</v>
      </c>
      <c r="B20" s="63"/>
      <c r="C20" s="63"/>
      <c r="D20" s="34">
        <v>213.8</v>
      </c>
      <c r="E20" s="34">
        <v>949</v>
      </c>
      <c r="F20" s="25">
        <v>205.73</v>
      </c>
      <c r="G20" s="34">
        <v>255.68</v>
      </c>
      <c r="H20" s="9">
        <v>5</v>
      </c>
      <c r="I20" s="35">
        <v>0</v>
      </c>
      <c r="J20" s="36">
        <v>0</v>
      </c>
      <c r="K20" s="36">
        <v>0</v>
      </c>
      <c r="L20" s="35">
        <v>5</v>
      </c>
      <c r="M20" s="35">
        <f t="shared" si="0"/>
        <v>5</v>
      </c>
      <c r="N20" s="31"/>
    </row>
    <row r="21" spans="1:15" ht="19.5" customHeight="1">
      <c r="A21" s="33">
        <v>43513</v>
      </c>
      <c r="B21" s="63"/>
      <c r="C21" s="63"/>
      <c r="D21" s="34">
        <v>213.8</v>
      </c>
      <c r="E21" s="34">
        <v>949</v>
      </c>
      <c r="F21" s="25">
        <v>205.73</v>
      </c>
      <c r="G21" s="34">
        <v>255.68</v>
      </c>
      <c r="H21" s="9">
        <v>5</v>
      </c>
      <c r="I21" s="35">
        <v>0</v>
      </c>
      <c r="J21" s="36">
        <v>0</v>
      </c>
      <c r="K21" s="36">
        <v>0</v>
      </c>
      <c r="L21" s="35">
        <v>5</v>
      </c>
      <c r="M21" s="35">
        <f t="shared" si="0"/>
        <v>5</v>
      </c>
      <c r="N21" s="31"/>
    </row>
    <row r="22" spans="1:15" ht="19.5" customHeight="1">
      <c r="A22" s="33">
        <v>43514</v>
      </c>
      <c r="B22" s="63"/>
      <c r="C22" s="63"/>
      <c r="D22" s="34">
        <v>213.8</v>
      </c>
      <c r="E22" s="34">
        <v>949</v>
      </c>
      <c r="F22" s="25">
        <v>205.73</v>
      </c>
      <c r="G22" s="34">
        <v>255.68</v>
      </c>
      <c r="H22" s="9">
        <v>5</v>
      </c>
      <c r="I22" s="35">
        <v>0</v>
      </c>
      <c r="J22" s="36">
        <v>0</v>
      </c>
      <c r="K22" s="36">
        <v>0</v>
      </c>
      <c r="L22" s="35">
        <v>5</v>
      </c>
      <c r="M22" s="35">
        <f t="shared" si="0"/>
        <v>5</v>
      </c>
      <c r="N22" s="31"/>
    </row>
    <row r="23" spans="1:15" ht="19.5" customHeight="1">
      <c r="A23" s="33">
        <v>43515</v>
      </c>
      <c r="B23" s="63"/>
      <c r="C23" s="63"/>
      <c r="D23" s="34">
        <v>213.8</v>
      </c>
      <c r="E23" s="34">
        <v>949</v>
      </c>
      <c r="F23" s="25">
        <v>205.71</v>
      </c>
      <c r="G23" s="34">
        <v>254.26</v>
      </c>
      <c r="H23" s="9"/>
      <c r="I23" s="35">
        <v>0</v>
      </c>
      <c r="J23" s="36">
        <v>0</v>
      </c>
      <c r="K23" s="36">
        <v>0</v>
      </c>
      <c r="L23" s="35">
        <v>5</v>
      </c>
      <c r="M23" s="35">
        <f t="shared" si="0"/>
        <v>5</v>
      </c>
      <c r="N23" s="31"/>
    </row>
    <row r="24" spans="1:15" ht="19.5" customHeight="1">
      <c r="A24" s="33">
        <v>43516</v>
      </c>
      <c r="B24" s="63"/>
      <c r="C24" s="63"/>
      <c r="D24" s="34">
        <v>213.8</v>
      </c>
      <c r="E24" s="34">
        <v>949</v>
      </c>
      <c r="F24" s="25">
        <v>205.71</v>
      </c>
      <c r="G24" s="34">
        <v>254.26</v>
      </c>
      <c r="H24" s="9">
        <v>5</v>
      </c>
      <c r="I24" s="35">
        <v>0</v>
      </c>
      <c r="J24" s="36">
        <v>0</v>
      </c>
      <c r="K24" s="36">
        <v>0</v>
      </c>
      <c r="L24" s="35">
        <v>5</v>
      </c>
      <c r="M24" s="35">
        <f t="shared" si="0"/>
        <v>5</v>
      </c>
      <c r="N24" s="31"/>
    </row>
    <row r="25" spans="1:15" ht="19.5" customHeight="1">
      <c r="A25" s="33">
        <v>43517</v>
      </c>
      <c r="B25" s="63"/>
      <c r="C25" s="63"/>
      <c r="D25" s="34">
        <v>213.8</v>
      </c>
      <c r="E25" s="34">
        <v>949</v>
      </c>
      <c r="F25" s="25">
        <v>205.69</v>
      </c>
      <c r="G25" s="34">
        <v>253.2</v>
      </c>
      <c r="H25" s="9">
        <v>5</v>
      </c>
      <c r="I25" s="35">
        <v>0</v>
      </c>
      <c r="J25" s="36">
        <v>0</v>
      </c>
      <c r="K25" s="36">
        <v>0</v>
      </c>
      <c r="L25" s="35">
        <v>5</v>
      </c>
      <c r="M25" s="35">
        <f t="shared" si="0"/>
        <v>5</v>
      </c>
      <c r="N25" s="31"/>
    </row>
    <row r="26" spans="1:15" ht="19.5" customHeight="1">
      <c r="A26" s="33">
        <v>43518</v>
      </c>
      <c r="B26" s="63"/>
      <c r="C26" s="63"/>
      <c r="D26" s="34">
        <v>213.8</v>
      </c>
      <c r="E26" s="34">
        <v>949</v>
      </c>
      <c r="F26" s="25">
        <v>205.69</v>
      </c>
      <c r="G26" s="34">
        <v>253.2</v>
      </c>
      <c r="H26" s="9">
        <v>5</v>
      </c>
      <c r="I26" s="35">
        <v>0</v>
      </c>
      <c r="J26" s="36">
        <v>0</v>
      </c>
      <c r="K26" s="36">
        <v>0</v>
      </c>
      <c r="L26" s="35">
        <v>5</v>
      </c>
      <c r="M26" s="35">
        <f t="shared" si="0"/>
        <v>5</v>
      </c>
      <c r="N26" s="31"/>
      <c r="O26" s="18"/>
    </row>
    <row r="27" spans="1:15" ht="19.5" customHeight="1">
      <c r="A27" s="33">
        <v>43519</v>
      </c>
      <c r="B27" s="63"/>
      <c r="C27" s="63"/>
      <c r="D27" s="34">
        <v>213.8</v>
      </c>
      <c r="E27" s="34">
        <v>949</v>
      </c>
      <c r="F27" s="25">
        <v>205.68</v>
      </c>
      <c r="G27" s="34">
        <v>252.52</v>
      </c>
      <c r="H27" s="9"/>
      <c r="I27" s="35">
        <v>0</v>
      </c>
      <c r="J27" s="36">
        <v>0</v>
      </c>
      <c r="K27" s="36">
        <v>0</v>
      </c>
      <c r="L27" s="35">
        <v>5</v>
      </c>
      <c r="M27" s="35">
        <f t="shared" si="0"/>
        <v>5</v>
      </c>
      <c r="N27" s="31"/>
    </row>
    <row r="28" spans="1:15" ht="19.5" customHeight="1">
      <c r="A28" s="33">
        <v>43520</v>
      </c>
      <c r="B28" s="63"/>
      <c r="C28" s="63"/>
      <c r="D28" s="34">
        <v>213.8</v>
      </c>
      <c r="E28" s="34">
        <v>949</v>
      </c>
      <c r="F28" s="25">
        <v>205.66</v>
      </c>
      <c r="G28" s="34">
        <v>251.44</v>
      </c>
      <c r="H28" s="9"/>
      <c r="I28" s="35">
        <v>0</v>
      </c>
      <c r="J28" s="36">
        <v>0</v>
      </c>
      <c r="K28" s="36">
        <v>0</v>
      </c>
      <c r="L28" s="35">
        <v>5</v>
      </c>
      <c r="M28" s="35">
        <f t="shared" si="0"/>
        <v>5</v>
      </c>
      <c r="N28" s="31"/>
    </row>
    <row r="29" spans="1:15" ht="19.5" customHeight="1">
      <c r="A29" s="33">
        <v>43521</v>
      </c>
      <c r="B29" s="63"/>
      <c r="C29" s="63"/>
      <c r="D29" s="34">
        <v>213.8</v>
      </c>
      <c r="E29" s="34">
        <v>949</v>
      </c>
      <c r="F29" s="25">
        <v>205.66</v>
      </c>
      <c r="G29" s="34">
        <v>251.44</v>
      </c>
      <c r="H29" s="9">
        <v>5</v>
      </c>
      <c r="I29" s="35">
        <v>0</v>
      </c>
      <c r="J29" s="36">
        <v>0</v>
      </c>
      <c r="K29" s="36">
        <v>0</v>
      </c>
      <c r="L29" s="35">
        <v>5</v>
      </c>
      <c r="M29" s="35">
        <f t="shared" si="0"/>
        <v>5</v>
      </c>
      <c r="N29" s="31"/>
    </row>
    <row r="30" spans="1:15" ht="19.5" customHeight="1">
      <c r="A30" s="33">
        <v>43522</v>
      </c>
      <c r="B30" s="63"/>
      <c r="C30" s="63"/>
      <c r="D30" s="34">
        <v>213.8</v>
      </c>
      <c r="E30" s="34">
        <v>949</v>
      </c>
      <c r="F30" s="25">
        <v>205.63</v>
      </c>
      <c r="G30" s="34">
        <v>249.66</v>
      </c>
      <c r="H30" s="9"/>
      <c r="I30" s="35">
        <v>0</v>
      </c>
      <c r="J30" s="36">
        <v>0</v>
      </c>
      <c r="K30" s="36">
        <v>0</v>
      </c>
      <c r="L30" s="35">
        <v>5</v>
      </c>
      <c r="M30" s="35">
        <f t="shared" si="0"/>
        <v>5</v>
      </c>
      <c r="N30" s="31"/>
    </row>
    <row r="31" spans="1:15" ht="21" customHeight="1">
      <c r="A31" s="33">
        <v>43523</v>
      </c>
      <c r="B31" s="63"/>
      <c r="C31" s="63"/>
      <c r="D31" s="34">
        <v>213.8</v>
      </c>
      <c r="E31" s="34">
        <v>949</v>
      </c>
      <c r="F31" s="25">
        <v>205.62</v>
      </c>
      <c r="G31" s="34">
        <v>248.98</v>
      </c>
      <c r="H31" s="9"/>
      <c r="I31" s="35">
        <v>0</v>
      </c>
      <c r="J31" s="36">
        <v>0</v>
      </c>
      <c r="K31" s="36">
        <v>0</v>
      </c>
      <c r="L31" s="35">
        <v>5</v>
      </c>
      <c r="M31" s="35">
        <f t="shared" si="0"/>
        <v>5</v>
      </c>
      <c r="N31" s="31"/>
    </row>
    <row r="32" spans="1:15" ht="21" customHeight="1">
      <c r="A32" s="33">
        <v>43524</v>
      </c>
      <c r="B32" s="63"/>
      <c r="C32" s="63"/>
      <c r="D32" s="34">
        <v>213.8</v>
      </c>
      <c r="E32" s="34">
        <v>949</v>
      </c>
      <c r="F32" s="25">
        <v>205.62</v>
      </c>
      <c r="G32" s="34">
        <v>248.98</v>
      </c>
      <c r="H32" s="9"/>
      <c r="I32" s="35">
        <v>0</v>
      </c>
      <c r="J32" s="36">
        <v>0</v>
      </c>
      <c r="K32" s="36">
        <v>0</v>
      </c>
      <c r="L32" s="35">
        <v>5</v>
      </c>
      <c r="M32" s="35">
        <f t="shared" si="0"/>
        <v>5</v>
      </c>
      <c r="N32" s="31"/>
    </row>
    <row r="33" spans="1:15" ht="21" customHeight="1">
      <c r="A33" s="12"/>
      <c r="B33" s="13"/>
      <c r="C33" s="13"/>
      <c r="D33" s="14"/>
      <c r="E33" s="37"/>
      <c r="F33" s="15"/>
      <c r="G33" s="14"/>
      <c r="H33" s="16">
        <f>SUM(H5:H32)</f>
        <v>100</v>
      </c>
      <c r="I33" s="16">
        <f t="shared" ref="I33:M33" si="1">SUM(I5:I32)</f>
        <v>0</v>
      </c>
      <c r="J33" s="16">
        <f t="shared" si="1"/>
        <v>0</v>
      </c>
      <c r="K33" s="16">
        <f t="shared" si="1"/>
        <v>0</v>
      </c>
      <c r="L33" s="16">
        <f t="shared" si="1"/>
        <v>140</v>
      </c>
      <c r="M33" s="16">
        <f t="shared" si="1"/>
        <v>140</v>
      </c>
      <c r="N33" s="17"/>
      <c r="O33" s="19"/>
    </row>
    <row r="34" spans="1:15" ht="47.25" customHeight="1">
      <c r="A34" s="3"/>
      <c r="B34" s="4"/>
      <c r="C34" s="5"/>
      <c r="D34" s="5"/>
      <c r="E34" s="37"/>
      <c r="F34" s="5"/>
      <c r="G34" s="5"/>
      <c r="H34" s="5">
        <f>H33/11574</f>
        <v>8.6400552963538969E-3</v>
      </c>
      <c r="I34" s="5"/>
      <c r="J34" s="5">
        <f>J33/11574</f>
        <v>0</v>
      </c>
      <c r="K34" s="5">
        <f>K33/11574</f>
        <v>0</v>
      </c>
      <c r="L34" s="28"/>
      <c r="M34" s="28"/>
      <c r="N34" s="7"/>
    </row>
    <row r="35" spans="1:15" ht="15.75" customHeight="1">
      <c r="A35" s="59" t="s">
        <v>9</v>
      </c>
      <c r="B35" s="54"/>
      <c r="C35" s="54"/>
      <c r="D35" s="54"/>
      <c r="E35" s="37"/>
      <c r="J35" s="59" t="s">
        <v>10</v>
      </c>
      <c r="K35" s="54"/>
      <c r="L35" s="54"/>
      <c r="M35" s="54"/>
      <c r="N35" s="7"/>
    </row>
    <row r="36" spans="1:15" ht="15.75" customHeight="1">
      <c r="A36" s="60" t="s">
        <v>16</v>
      </c>
      <c r="B36" s="54"/>
      <c r="C36" s="54"/>
      <c r="D36" s="54"/>
      <c r="E36" s="38"/>
      <c r="J36" s="60" t="s">
        <v>16</v>
      </c>
      <c r="K36" s="54"/>
      <c r="L36" s="54"/>
      <c r="M36" s="54"/>
      <c r="N36" s="7"/>
    </row>
    <row r="37" spans="1:15" ht="15.75" customHeight="1">
      <c r="A37" s="53" t="s">
        <v>17</v>
      </c>
      <c r="B37" s="54"/>
      <c r="C37" s="54"/>
      <c r="D37" s="54"/>
      <c r="J37" s="53" t="s">
        <v>17</v>
      </c>
      <c r="K37" s="54"/>
      <c r="L37" s="54"/>
      <c r="M37" s="54"/>
      <c r="N37" s="7"/>
    </row>
    <row r="38" spans="1:15" ht="15.75" customHeight="1">
      <c r="N38" s="7"/>
    </row>
    <row r="39" spans="1:15" ht="15.75" customHeight="1"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</sheetData>
  <mergeCells count="20">
    <mergeCell ref="A37:D37"/>
    <mergeCell ref="J37:M37"/>
    <mergeCell ref="N3:N4"/>
    <mergeCell ref="B5:B32"/>
    <mergeCell ref="C5:C32"/>
    <mergeCell ref="A35:D35"/>
    <mergeCell ref="J35:M35"/>
    <mergeCell ref="A36:D36"/>
    <mergeCell ref="J36:M36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5" zoomScale="60" workbookViewId="0">
      <selection activeCell="G35" sqref="G5:G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43525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205.61</v>
      </c>
      <c r="G5" s="11">
        <v>248.61</v>
      </c>
      <c r="H5" s="9"/>
      <c r="I5" s="24">
        <v>0</v>
      </c>
      <c r="J5" s="1">
        <v>0</v>
      </c>
      <c r="K5" s="1">
        <v>0</v>
      </c>
      <c r="L5" s="24">
        <v>5</v>
      </c>
      <c r="M5" s="24">
        <f>L5+K5+J5+I5</f>
        <v>5</v>
      </c>
      <c r="N5" s="2"/>
    </row>
    <row r="6" spans="1:14" ht="19.5" customHeight="1">
      <c r="A6" s="8">
        <v>43526</v>
      </c>
      <c r="B6" s="57"/>
      <c r="C6" s="57"/>
      <c r="D6" s="22">
        <v>213.8</v>
      </c>
      <c r="E6" s="34">
        <v>949</v>
      </c>
      <c r="F6" s="25">
        <v>205.59</v>
      </c>
      <c r="G6" s="11">
        <v>247.2</v>
      </c>
      <c r="H6" s="9"/>
      <c r="I6" s="24">
        <v>0</v>
      </c>
      <c r="J6" s="1">
        <v>0</v>
      </c>
      <c r="K6" s="1">
        <v>0</v>
      </c>
      <c r="L6" s="24">
        <v>5</v>
      </c>
      <c r="M6" s="24">
        <f t="shared" ref="M6:M35" si="0">L6+K6+J6+I6</f>
        <v>5</v>
      </c>
      <c r="N6" s="2"/>
    </row>
    <row r="7" spans="1:14" ht="19.5" customHeight="1">
      <c r="A7" s="8">
        <v>43527</v>
      </c>
      <c r="B7" s="57"/>
      <c r="C7" s="57"/>
      <c r="D7" s="22">
        <v>213.8</v>
      </c>
      <c r="E7" s="34">
        <v>949</v>
      </c>
      <c r="F7" s="25">
        <v>205.59</v>
      </c>
      <c r="G7" s="11">
        <v>247.2</v>
      </c>
      <c r="H7" s="9"/>
      <c r="I7" s="24">
        <v>0</v>
      </c>
      <c r="J7" s="1">
        <v>0</v>
      </c>
      <c r="K7" s="1">
        <v>0</v>
      </c>
      <c r="L7" s="24">
        <v>5</v>
      </c>
      <c r="M7" s="24">
        <f t="shared" si="0"/>
        <v>5</v>
      </c>
      <c r="N7" s="2"/>
    </row>
    <row r="8" spans="1:14" ht="19.5" customHeight="1">
      <c r="A8" s="8">
        <v>43528</v>
      </c>
      <c r="B8" s="57"/>
      <c r="C8" s="57"/>
      <c r="D8" s="22">
        <v>213.8</v>
      </c>
      <c r="E8" s="34">
        <v>949</v>
      </c>
      <c r="F8" s="25">
        <v>205.59</v>
      </c>
      <c r="G8" s="11">
        <v>247.2</v>
      </c>
      <c r="H8" s="9">
        <v>5</v>
      </c>
      <c r="I8" s="24">
        <v>0</v>
      </c>
      <c r="J8" s="1">
        <v>0</v>
      </c>
      <c r="K8" s="1">
        <v>0</v>
      </c>
      <c r="L8" s="24">
        <v>5</v>
      </c>
      <c r="M8" s="24">
        <f t="shared" si="0"/>
        <v>5</v>
      </c>
      <c r="N8" s="2"/>
    </row>
    <row r="9" spans="1:14" ht="19.5" customHeight="1">
      <c r="A9" s="8">
        <v>43529</v>
      </c>
      <c r="B9" s="57"/>
      <c r="C9" s="57"/>
      <c r="D9" s="22">
        <v>213.8</v>
      </c>
      <c r="E9" s="34">
        <v>949</v>
      </c>
      <c r="F9" s="25">
        <v>205.58</v>
      </c>
      <c r="G9" s="11">
        <v>246.84</v>
      </c>
      <c r="H9" s="9">
        <v>5</v>
      </c>
      <c r="I9" s="24">
        <v>0</v>
      </c>
      <c r="J9" s="1">
        <v>0</v>
      </c>
      <c r="K9" s="1">
        <v>0</v>
      </c>
      <c r="L9" s="24">
        <v>5</v>
      </c>
      <c r="M9" s="24">
        <f t="shared" si="0"/>
        <v>5</v>
      </c>
      <c r="N9" s="2"/>
    </row>
    <row r="10" spans="1:14" ht="19.5" customHeight="1">
      <c r="A10" s="8">
        <v>43530</v>
      </c>
      <c r="B10" s="57"/>
      <c r="C10" s="57"/>
      <c r="D10" s="22">
        <v>213.8</v>
      </c>
      <c r="E10" s="34">
        <v>949</v>
      </c>
      <c r="F10" s="25">
        <v>205.57</v>
      </c>
      <c r="G10" s="11">
        <v>246.14</v>
      </c>
      <c r="H10" s="9"/>
      <c r="I10" s="24">
        <v>0</v>
      </c>
      <c r="J10" s="1">
        <v>0</v>
      </c>
      <c r="K10" s="1">
        <v>0</v>
      </c>
      <c r="L10" s="24">
        <v>5</v>
      </c>
      <c r="M10" s="24">
        <f t="shared" si="0"/>
        <v>5</v>
      </c>
      <c r="N10" s="2"/>
    </row>
    <row r="11" spans="1:14" ht="19.5" customHeight="1">
      <c r="A11" s="8">
        <v>43531</v>
      </c>
      <c r="B11" s="57"/>
      <c r="C11" s="57"/>
      <c r="D11" s="22">
        <v>213.8</v>
      </c>
      <c r="E11" s="34">
        <v>949</v>
      </c>
      <c r="F11" s="25">
        <v>205.54</v>
      </c>
      <c r="G11" s="11">
        <v>244.37</v>
      </c>
      <c r="H11" s="9"/>
      <c r="I11" s="24">
        <v>0</v>
      </c>
      <c r="J11" s="1">
        <v>0</v>
      </c>
      <c r="K11" s="1">
        <v>0</v>
      </c>
      <c r="L11" s="24">
        <v>5</v>
      </c>
      <c r="M11" s="24">
        <f t="shared" si="0"/>
        <v>5</v>
      </c>
      <c r="N11" s="2"/>
    </row>
    <row r="12" spans="1:14" ht="19.5" customHeight="1">
      <c r="A12" s="8">
        <v>43532</v>
      </c>
      <c r="B12" s="57"/>
      <c r="C12" s="57"/>
      <c r="D12" s="22">
        <v>213.8</v>
      </c>
      <c r="E12" s="34">
        <v>949</v>
      </c>
      <c r="F12" s="25">
        <v>205.54</v>
      </c>
      <c r="G12" s="11">
        <v>244.37</v>
      </c>
      <c r="H12" s="9">
        <v>5</v>
      </c>
      <c r="I12" s="24">
        <v>0</v>
      </c>
      <c r="J12" s="1">
        <v>0</v>
      </c>
      <c r="K12" s="1">
        <v>0</v>
      </c>
      <c r="L12" s="24">
        <v>5</v>
      </c>
      <c r="M12" s="24">
        <f t="shared" si="0"/>
        <v>5</v>
      </c>
      <c r="N12" s="2"/>
    </row>
    <row r="13" spans="1:14" ht="19.5" customHeight="1">
      <c r="A13" s="8">
        <v>43533</v>
      </c>
      <c r="B13" s="57"/>
      <c r="C13" s="57"/>
      <c r="D13" s="22">
        <v>213.8</v>
      </c>
      <c r="E13" s="34">
        <v>949</v>
      </c>
      <c r="F13" s="25">
        <v>205.54</v>
      </c>
      <c r="G13" s="11">
        <v>244.37</v>
      </c>
      <c r="H13" s="9">
        <v>5</v>
      </c>
      <c r="I13" s="24">
        <v>0</v>
      </c>
      <c r="J13" s="1">
        <v>0</v>
      </c>
      <c r="K13" s="1">
        <v>0</v>
      </c>
      <c r="L13" s="24">
        <v>5</v>
      </c>
      <c r="M13" s="24">
        <f t="shared" si="0"/>
        <v>5</v>
      </c>
      <c r="N13" s="2"/>
    </row>
    <row r="14" spans="1:14" ht="19.5" customHeight="1">
      <c r="A14" s="8">
        <v>43534</v>
      </c>
      <c r="B14" s="57"/>
      <c r="C14" s="57"/>
      <c r="D14" s="22">
        <v>213.8</v>
      </c>
      <c r="E14" s="34">
        <v>949</v>
      </c>
      <c r="F14" s="25">
        <v>205.53</v>
      </c>
      <c r="G14" s="11">
        <v>243.66</v>
      </c>
      <c r="H14" s="9"/>
      <c r="I14" s="24">
        <v>0</v>
      </c>
      <c r="J14" s="1">
        <v>0</v>
      </c>
      <c r="K14" s="1">
        <v>0</v>
      </c>
      <c r="L14" s="24">
        <v>5</v>
      </c>
      <c r="M14" s="24">
        <f t="shared" si="0"/>
        <v>5</v>
      </c>
      <c r="N14" s="2"/>
    </row>
    <row r="15" spans="1:14" ht="19.5" customHeight="1">
      <c r="A15" s="8">
        <v>43535</v>
      </c>
      <c r="B15" s="57"/>
      <c r="C15" s="57"/>
      <c r="D15" s="22">
        <v>213.8</v>
      </c>
      <c r="E15" s="34">
        <v>949</v>
      </c>
      <c r="F15" s="25">
        <v>205.33</v>
      </c>
      <c r="G15" s="11">
        <v>243.66</v>
      </c>
      <c r="H15" s="9"/>
      <c r="I15" s="24">
        <v>0</v>
      </c>
      <c r="J15" s="1">
        <v>0</v>
      </c>
      <c r="K15" s="1">
        <v>0</v>
      </c>
      <c r="L15" s="24">
        <v>5</v>
      </c>
      <c r="M15" s="24">
        <f t="shared" si="0"/>
        <v>5</v>
      </c>
      <c r="N15" s="2"/>
    </row>
    <row r="16" spans="1:14" ht="19.5" customHeight="1">
      <c r="A16" s="8">
        <v>43536</v>
      </c>
      <c r="B16" s="57"/>
      <c r="C16" s="57"/>
      <c r="D16" s="22">
        <v>213.8</v>
      </c>
      <c r="E16" s="34">
        <v>949</v>
      </c>
      <c r="F16" s="25">
        <v>205.51</v>
      </c>
      <c r="G16" s="11">
        <v>242.6</v>
      </c>
      <c r="H16" s="9"/>
      <c r="I16" s="24">
        <v>0</v>
      </c>
      <c r="J16" s="1">
        <v>0</v>
      </c>
      <c r="K16" s="1">
        <v>0</v>
      </c>
      <c r="L16" s="24">
        <v>5</v>
      </c>
      <c r="M16" s="24">
        <f t="shared" si="0"/>
        <v>5</v>
      </c>
      <c r="N16" s="2"/>
    </row>
    <row r="17" spans="1:15" ht="19.5" customHeight="1">
      <c r="A17" s="8">
        <v>43537</v>
      </c>
      <c r="B17" s="57"/>
      <c r="C17" s="57"/>
      <c r="D17" s="22">
        <v>213.8</v>
      </c>
      <c r="E17" s="34">
        <v>949</v>
      </c>
      <c r="F17" s="25">
        <v>205.49</v>
      </c>
      <c r="G17" s="11">
        <v>241.19</v>
      </c>
      <c r="H17" s="9">
        <v>5</v>
      </c>
      <c r="I17" s="24">
        <v>0</v>
      </c>
      <c r="J17" s="1">
        <v>0</v>
      </c>
      <c r="K17" s="1">
        <v>0</v>
      </c>
      <c r="L17" s="24">
        <v>5</v>
      </c>
      <c r="M17" s="24">
        <f t="shared" si="0"/>
        <v>5</v>
      </c>
      <c r="N17" s="2"/>
    </row>
    <row r="18" spans="1:15" ht="19.5" customHeight="1">
      <c r="A18" s="8">
        <v>43538</v>
      </c>
      <c r="B18" s="57"/>
      <c r="C18" s="57"/>
      <c r="D18" s="22">
        <v>213.8</v>
      </c>
      <c r="E18" s="34">
        <v>949</v>
      </c>
      <c r="F18" s="25">
        <v>205.47</v>
      </c>
      <c r="G18" s="11">
        <v>240.13</v>
      </c>
      <c r="H18" s="9"/>
      <c r="I18" s="24">
        <v>0</v>
      </c>
      <c r="J18" s="1">
        <v>0</v>
      </c>
      <c r="K18" s="1">
        <v>0</v>
      </c>
      <c r="L18" s="24">
        <v>5</v>
      </c>
      <c r="M18" s="24">
        <f t="shared" si="0"/>
        <v>5</v>
      </c>
      <c r="N18" s="2"/>
    </row>
    <row r="19" spans="1:15" ht="19.5" customHeight="1">
      <c r="A19" s="8">
        <v>43539</v>
      </c>
      <c r="B19" s="57"/>
      <c r="C19" s="57"/>
      <c r="D19" s="22">
        <v>213.8</v>
      </c>
      <c r="E19" s="34">
        <v>949</v>
      </c>
      <c r="F19" s="25">
        <v>205.47</v>
      </c>
      <c r="G19" s="11">
        <v>240.13</v>
      </c>
      <c r="H19" s="9">
        <v>5</v>
      </c>
      <c r="I19" s="24">
        <v>0</v>
      </c>
      <c r="J19" s="1">
        <v>0</v>
      </c>
      <c r="K19" s="1">
        <v>0</v>
      </c>
      <c r="L19" s="24">
        <v>5</v>
      </c>
      <c r="M19" s="24">
        <f t="shared" si="0"/>
        <v>5</v>
      </c>
      <c r="N19" s="2"/>
    </row>
    <row r="20" spans="1:15" ht="19.5" customHeight="1">
      <c r="A20" s="8">
        <v>43540</v>
      </c>
      <c r="B20" s="57"/>
      <c r="C20" s="57"/>
      <c r="D20" s="22">
        <v>213.8</v>
      </c>
      <c r="E20" s="34">
        <v>949</v>
      </c>
      <c r="F20" s="25">
        <v>205.46</v>
      </c>
      <c r="G20" s="11">
        <v>239.43</v>
      </c>
      <c r="H20" s="9"/>
      <c r="I20" s="24">
        <v>0</v>
      </c>
      <c r="J20" s="1">
        <v>5</v>
      </c>
      <c r="K20" s="1">
        <v>0</v>
      </c>
      <c r="L20" s="24">
        <v>0</v>
      </c>
      <c r="M20" s="24">
        <f t="shared" si="0"/>
        <v>5</v>
      </c>
      <c r="N20" s="2"/>
    </row>
    <row r="21" spans="1:15" ht="19.5" customHeight="1">
      <c r="A21" s="8">
        <v>43541</v>
      </c>
      <c r="B21" s="57"/>
      <c r="C21" s="57"/>
      <c r="D21" s="22">
        <v>213.8</v>
      </c>
      <c r="E21" s="34">
        <v>949</v>
      </c>
      <c r="F21" s="25">
        <v>205.43</v>
      </c>
      <c r="G21" s="11">
        <v>237.66</v>
      </c>
      <c r="H21" s="9"/>
      <c r="I21" s="24">
        <v>0</v>
      </c>
      <c r="J21" s="1">
        <v>5</v>
      </c>
      <c r="K21" s="1">
        <v>0</v>
      </c>
      <c r="L21" s="24">
        <v>0</v>
      </c>
      <c r="M21" s="24">
        <f t="shared" si="0"/>
        <v>5</v>
      </c>
      <c r="N21" s="2"/>
    </row>
    <row r="22" spans="1:15" ht="19.5" customHeight="1">
      <c r="A22" s="8">
        <v>43542</v>
      </c>
      <c r="B22" s="57"/>
      <c r="C22" s="57"/>
      <c r="D22" s="22">
        <v>213.8</v>
      </c>
      <c r="E22" s="34">
        <v>949</v>
      </c>
      <c r="F22" s="25">
        <v>205.42</v>
      </c>
      <c r="G22" s="11">
        <v>237.31</v>
      </c>
      <c r="H22" s="9"/>
      <c r="I22" s="24">
        <v>0</v>
      </c>
      <c r="J22" s="1">
        <v>5</v>
      </c>
      <c r="K22" s="1">
        <v>0</v>
      </c>
      <c r="L22" s="24">
        <v>0</v>
      </c>
      <c r="M22" s="24">
        <f t="shared" si="0"/>
        <v>5</v>
      </c>
      <c r="N22" s="2"/>
    </row>
    <row r="23" spans="1:15" ht="19.5" customHeight="1">
      <c r="A23" s="8">
        <v>43543</v>
      </c>
      <c r="B23" s="57"/>
      <c r="C23" s="57"/>
      <c r="D23" s="22">
        <v>213.8</v>
      </c>
      <c r="E23" s="34">
        <v>949</v>
      </c>
      <c r="F23" s="25">
        <v>205.41</v>
      </c>
      <c r="G23" s="11">
        <v>236.6</v>
      </c>
      <c r="H23" s="9"/>
      <c r="I23" s="24">
        <v>0</v>
      </c>
      <c r="J23" s="1">
        <v>5</v>
      </c>
      <c r="K23" s="1">
        <v>0</v>
      </c>
      <c r="L23" s="24">
        <v>0</v>
      </c>
      <c r="M23" s="24">
        <f t="shared" si="0"/>
        <v>5</v>
      </c>
      <c r="N23" s="2"/>
    </row>
    <row r="24" spans="1:15" ht="19.5" customHeight="1">
      <c r="A24" s="8">
        <v>43544</v>
      </c>
      <c r="B24" s="57"/>
      <c r="C24" s="57"/>
      <c r="D24" s="22">
        <v>213.8</v>
      </c>
      <c r="E24" s="34">
        <v>949</v>
      </c>
      <c r="F24" s="25">
        <v>205.39</v>
      </c>
      <c r="G24" s="11">
        <v>235.19</v>
      </c>
      <c r="H24" s="9"/>
      <c r="I24" s="24">
        <v>0</v>
      </c>
      <c r="J24" s="1">
        <v>5</v>
      </c>
      <c r="K24" s="1">
        <v>0</v>
      </c>
      <c r="L24" s="24">
        <v>0</v>
      </c>
      <c r="M24" s="24">
        <f t="shared" si="0"/>
        <v>5</v>
      </c>
      <c r="N24" s="2"/>
    </row>
    <row r="25" spans="1:15" ht="19.5" customHeight="1">
      <c r="A25" s="8">
        <v>43545</v>
      </c>
      <c r="B25" s="57"/>
      <c r="C25" s="57"/>
      <c r="D25" s="22">
        <v>213.8</v>
      </c>
      <c r="E25" s="34">
        <v>949</v>
      </c>
      <c r="F25" s="25">
        <v>205.37</v>
      </c>
      <c r="G25" s="11">
        <v>234.13</v>
      </c>
      <c r="H25" s="9"/>
      <c r="I25" s="24">
        <v>0</v>
      </c>
      <c r="J25" s="1">
        <v>5</v>
      </c>
      <c r="K25" s="1">
        <v>0</v>
      </c>
      <c r="L25" s="24">
        <v>0</v>
      </c>
      <c r="M25" s="24">
        <f t="shared" si="0"/>
        <v>5</v>
      </c>
      <c r="N25" s="2"/>
    </row>
    <row r="26" spans="1:15" ht="19.5" customHeight="1">
      <c r="A26" s="8">
        <v>43546</v>
      </c>
      <c r="B26" s="57"/>
      <c r="C26" s="57"/>
      <c r="D26" s="22">
        <v>213.8</v>
      </c>
      <c r="E26" s="34">
        <v>949</v>
      </c>
      <c r="F26" s="25">
        <v>205.36</v>
      </c>
      <c r="G26" s="11">
        <v>233.42</v>
      </c>
      <c r="H26" s="9"/>
      <c r="I26" s="24">
        <v>0</v>
      </c>
      <c r="J26" s="1">
        <v>5</v>
      </c>
      <c r="K26" s="1">
        <v>0</v>
      </c>
      <c r="L26" s="24">
        <v>0</v>
      </c>
      <c r="M26" s="24">
        <f t="shared" si="0"/>
        <v>5</v>
      </c>
      <c r="N26" s="2"/>
      <c r="O26" s="18"/>
    </row>
    <row r="27" spans="1:15" ht="19.5" customHeight="1">
      <c r="A27" s="8">
        <v>43547</v>
      </c>
      <c r="B27" s="57"/>
      <c r="C27" s="57"/>
      <c r="D27" s="22">
        <v>213.8</v>
      </c>
      <c r="E27" s="34">
        <v>949</v>
      </c>
      <c r="F27" s="25">
        <v>205.34</v>
      </c>
      <c r="G27" s="11">
        <v>232.37</v>
      </c>
      <c r="H27" s="9"/>
      <c r="I27" s="24">
        <v>0</v>
      </c>
      <c r="J27" s="1">
        <v>5</v>
      </c>
      <c r="K27" s="1">
        <v>0</v>
      </c>
      <c r="L27" s="24">
        <v>0</v>
      </c>
      <c r="M27" s="24">
        <f t="shared" si="0"/>
        <v>5</v>
      </c>
      <c r="N27" s="2"/>
    </row>
    <row r="28" spans="1:15" ht="19.5" customHeight="1">
      <c r="A28" s="8">
        <v>43548</v>
      </c>
      <c r="B28" s="57"/>
      <c r="C28" s="57"/>
      <c r="D28" s="22">
        <v>213.8</v>
      </c>
      <c r="E28" s="34">
        <v>949</v>
      </c>
      <c r="F28" s="25">
        <v>205.33</v>
      </c>
      <c r="G28" s="11">
        <v>231.65</v>
      </c>
      <c r="H28" s="9"/>
      <c r="I28" s="24">
        <v>0</v>
      </c>
      <c r="J28" s="1">
        <v>5</v>
      </c>
      <c r="K28" s="1">
        <v>0</v>
      </c>
      <c r="L28" s="24">
        <v>0</v>
      </c>
      <c r="M28" s="24">
        <f t="shared" si="0"/>
        <v>5</v>
      </c>
      <c r="N28" s="2"/>
    </row>
    <row r="29" spans="1:15" ht="19.5" customHeight="1">
      <c r="A29" s="8">
        <v>43549</v>
      </c>
      <c r="B29" s="57"/>
      <c r="C29" s="57"/>
      <c r="D29" s="22">
        <v>213.8</v>
      </c>
      <c r="E29" s="34">
        <v>949</v>
      </c>
      <c r="F29" s="25">
        <v>205.32</v>
      </c>
      <c r="G29" s="11">
        <v>231.3</v>
      </c>
      <c r="H29" s="9"/>
      <c r="I29" s="24">
        <v>0</v>
      </c>
      <c r="J29" s="1">
        <v>5</v>
      </c>
      <c r="K29" s="1">
        <v>0</v>
      </c>
      <c r="L29" s="24">
        <v>0</v>
      </c>
      <c r="M29" s="24">
        <f t="shared" si="0"/>
        <v>5</v>
      </c>
      <c r="N29" s="2"/>
    </row>
    <row r="30" spans="1:15" ht="19.5" customHeight="1">
      <c r="A30" s="8">
        <v>43550</v>
      </c>
      <c r="B30" s="57"/>
      <c r="C30" s="57"/>
      <c r="D30" s="22">
        <v>213.8</v>
      </c>
      <c r="E30" s="34">
        <v>949</v>
      </c>
      <c r="F30" s="25">
        <v>205.31</v>
      </c>
      <c r="G30" s="11">
        <v>230.6</v>
      </c>
      <c r="H30" s="9"/>
      <c r="I30" s="24">
        <v>0</v>
      </c>
      <c r="J30" s="1">
        <v>5</v>
      </c>
      <c r="K30" s="1">
        <v>0</v>
      </c>
      <c r="L30" s="24">
        <v>0</v>
      </c>
      <c r="M30" s="24">
        <f t="shared" si="0"/>
        <v>5</v>
      </c>
      <c r="N30" s="2"/>
    </row>
    <row r="31" spans="1:15" ht="21" customHeight="1">
      <c r="A31" s="8">
        <v>43551</v>
      </c>
      <c r="B31" s="57"/>
      <c r="C31" s="57"/>
      <c r="D31" s="22">
        <v>213.8</v>
      </c>
      <c r="E31" s="34">
        <v>949</v>
      </c>
      <c r="F31" s="25">
        <v>205.29</v>
      </c>
      <c r="G31" s="11">
        <v>228.18</v>
      </c>
      <c r="H31" s="9"/>
      <c r="I31" s="24">
        <v>0</v>
      </c>
      <c r="J31" s="1">
        <v>5</v>
      </c>
      <c r="K31" s="1">
        <v>0</v>
      </c>
      <c r="L31" s="24">
        <v>0</v>
      </c>
      <c r="M31" s="24">
        <f t="shared" si="0"/>
        <v>5</v>
      </c>
      <c r="N31" s="2"/>
    </row>
    <row r="32" spans="1:15" ht="21" customHeight="1">
      <c r="A32" s="8">
        <v>43552</v>
      </c>
      <c r="B32" s="57"/>
      <c r="C32" s="57"/>
      <c r="D32" s="22">
        <v>213.8</v>
      </c>
      <c r="E32" s="34">
        <v>949</v>
      </c>
      <c r="F32" s="25">
        <v>205.27</v>
      </c>
      <c r="G32" s="11">
        <v>228.18</v>
      </c>
      <c r="H32" s="9"/>
      <c r="I32" s="24">
        <v>0</v>
      </c>
      <c r="J32" s="1">
        <v>5</v>
      </c>
      <c r="K32" s="1">
        <v>0</v>
      </c>
      <c r="L32" s="24">
        <v>0</v>
      </c>
      <c r="M32" s="24">
        <f t="shared" si="0"/>
        <v>5</v>
      </c>
      <c r="N32" s="2"/>
    </row>
    <row r="33" spans="1:15" ht="21" customHeight="1">
      <c r="A33" s="8">
        <v>43553</v>
      </c>
      <c r="B33" s="57"/>
      <c r="C33" s="57"/>
      <c r="D33" s="22">
        <v>213.8</v>
      </c>
      <c r="E33" s="34">
        <v>949</v>
      </c>
      <c r="F33" s="25">
        <v>205.26</v>
      </c>
      <c r="G33" s="11">
        <v>227.77</v>
      </c>
      <c r="H33" s="9"/>
      <c r="I33" s="24">
        <v>0</v>
      </c>
      <c r="J33" s="1">
        <v>5</v>
      </c>
      <c r="K33" s="1">
        <v>0</v>
      </c>
      <c r="L33" s="24">
        <v>0</v>
      </c>
      <c r="M33" s="24">
        <f t="shared" si="0"/>
        <v>5</v>
      </c>
      <c r="N33" s="2"/>
    </row>
    <row r="34" spans="1:15" ht="21" customHeight="1">
      <c r="A34" s="8">
        <v>43554</v>
      </c>
      <c r="B34" s="57"/>
      <c r="C34" s="57"/>
      <c r="D34" s="22">
        <v>213.8</v>
      </c>
      <c r="E34" s="34">
        <v>949</v>
      </c>
      <c r="F34" s="25">
        <v>205.24</v>
      </c>
      <c r="G34" s="11">
        <v>226.36</v>
      </c>
      <c r="H34" s="9"/>
      <c r="I34" s="24">
        <v>0</v>
      </c>
      <c r="J34" s="1">
        <v>5</v>
      </c>
      <c r="K34" s="1">
        <v>0</v>
      </c>
      <c r="L34" s="24">
        <v>0</v>
      </c>
      <c r="M34" s="24">
        <f t="shared" si="0"/>
        <v>5</v>
      </c>
      <c r="N34" s="2"/>
    </row>
    <row r="35" spans="1:15" ht="21" customHeight="1">
      <c r="A35" s="8">
        <v>43555</v>
      </c>
      <c r="B35" s="58"/>
      <c r="C35" s="58"/>
      <c r="D35" s="23">
        <v>213.8</v>
      </c>
      <c r="E35" s="34">
        <v>949</v>
      </c>
      <c r="F35" s="25">
        <v>205.22</v>
      </c>
      <c r="G35" s="11">
        <v>225.3</v>
      </c>
      <c r="H35" s="9"/>
      <c r="I35" s="24">
        <v>0</v>
      </c>
      <c r="J35" s="1">
        <v>5</v>
      </c>
      <c r="K35" s="1">
        <v>0</v>
      </c>
      <c r="L35" s="24">
        <v>0</v>
      </c>
      <c r="M35" s="24">
        <f t="shared" si="0"/>
        <v>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30</v>
      </c>
      <c r="I36" s="16">
        <f t="shared" ref="I36:M36" si="1">SUM(I5:I35)</f>
        <v>0</v>
      </c>
      <c r="J36" s="16">
        <f t="shared" si="1"/>
        <v>80</v>
      </c>
      <c r="K36" s="16">
        <f t="shared" si="1"/>
        <v>0</v>
      </c>
      <c r="L36" s="16">
        <f t="shared" si="1"/>
        <v>75</v>
      </c>
      <c r="M36" s="16">
        <f t="shared" si="1"/>
        <v>155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2.592016588906169E-3</v>
      </c>
      <c r="I37" s="5"/>
      <c r="J37" s="5">
        <f>J36/11574</f>
        <v>6.912044237083117E-3</v>
      </c>
      <c r="K37" s="5">
        <f>K36/11574</f>
        <v>0</v>
      </c>
      <c r="L37" s="28"/>
      <c r="M37" s="28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01"/>
  <sheetViews>
    <sheetView view="pageBreakPreview" topLeftCell="A22" zoomScale="60" workbookViewId="0">
      <selection activeCell="H35" sqref="H35:M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7" ht="14.25" customHeight="1">
      <c r="A1" s="41" t="s">
        <v>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7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7" ht="18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64" t="s">
        <v>6</v>
      </c>
      <c r="J3" s="65"/>
      <c r="K3" s="65"/>
      <c r="L3" s="66"/>
      <c r="M3" s="52" t="s">
        <v>7</v>
      </c>
      <c r="N3" s="55" t="s">
        <v>8</v>
      </c>
    </row>
    <row r="4" spans="1:17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7" ht="19.5" customHeight="1">
      <c r="A5" s="8">
        <v>43556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205.23</v>
      </c>
      <c r="G5" s="11">
        <v>226</v>
      </c>
      <c r="H5" s="9"/>
      <c r="I5" s="24">
        <v>0</v>
      </c>
      <c r="J5" s="1">
        <v>5</v>
      </c>
      <c r="K5" s="1">
        <v>0</v>
      </c>
      <c r="L5" s="24">
        <v>0</v>
      </c>
      <c r="M5" s="24">
        <f>L5+K5+J5+I5</f>
        <v>5</v>
      </c>
      <c r="N5" s="2"/>
    </row>
    <row r="6" spans="1:17" ht="19.5" customHeight="1">
      <c r="A6" s="8">
        <v>43557</v>
      </c>
      <c r="B6" s="57"/>
      <c r="C6" s="57"/>
      <c r="D6" s="22">
        <v>213.8</v>
      </c>
      <c r="E6" s="34">
        <v>949</v>
      </c>
      <c r="F6" s="25">
        <v>205.18</v>
      </c>
      <c r="G6" s="11">
        <v>222.83</v>
      </c>
      <c r="H6" s="9"/>
      <c r="I6" s="24">
        <v>0</v>
      </c>
      <c r="J6" s="1">
        <v>5</v>
      </c>
      <c r="K6" s="1">
        <v>0</v>
      </c>
      <c r="L6" s="24">
        <v>0</v>
      </c>
      <c r="M6" s="24">
        <f t="shared" ref="M6:M34" si="0">L6+K6+J6+I6</f>
        <v>5</v>
      </c>
      <c r="N6" s="2"/>
    </row>
    <row r="7" spans="1:17" ht="19.5" customHeight="1">
      <c r="A7" s="8">
        <v>43558</v>
      </c>
      <c r="B7" s="57"/>
      <c r="C7" s="57"/>
      <c r="D7" s="22">
        <v>213.8</v>
      </c>
      <c r="E7" s="34">
        <v>949</v>
      </c>
      <c r="F7" s="25">
        <v>205.18</v>
      </c>
      <c r="G7" s="11">
        <v>222.83</v>
      </c>
      <c r="H7" s="9"/>
      <c r="I7" s="24">
        <v>0</v>
      </c>
      <c r="J7" s="1">
        <v>5</v>
      </c>
      <c r="K7" s="1">
        <v>0</v>
      </c>
      <c r="L7" s="24">
        <v>0</v>
      </c>
      <c r="M7" s="24">
        <f t="shared" si="0"/>
        <v>5</v>
      </c>
      <c r="N7" s="2"/>
    </row>
    <row r="8" spans="1:17" ht="19.5" customHeight="1">
      <c r="A8" s="8">
        <v>43559</v>
      </c>
      <c r="B8" s="57"/>
      <c r="C8" s="57"/>
      <c r="D8" s="22">
        <v>213.8</v>
      </c>
      <c r="E8" s="34">
        <v>949</v>
      </c>
      <c r="F8" s="25">
        <v>205.15</v>
      </c>
      <c r="G8" s="11">
        <v>222.13</v>
      </c>
      <c r="H8" s="9"/>
      <c r="I8" s="24">
        <v>0</v>
      </c>
      <c r="J8" s="1"/>
      <c r="K8" s="1">
        <v>0</v>
      </c>
      <c r="L8" s="24">
        <v>0</v>
      </c>
      <c r="M8" s="24">
        <f t="shared" si="0"/>
        <v>0</v>
      </c>
      <c r="N8" s="2"/>
      <c r="Q8" s="39"/>
    </row>
    <row r="9" spans="1:17" ht="19.5" customHeight="1">
      <c r="A9" s="8">
        <v>43560</v>
      </c>
      <c r="B9" s="57"/>
      <c r="C9" s="57"/>
      <c r="D9" s="22">
        <v>213.8</v>
      </c>
      <c r="E9" s="34">
        <v>949</v>
      </c>
      <c r="F9" s="25">
        <v>205.16</v>
      </c>
      <c r="G9" s="11">
        <v>221.77</v>
      </c>
      <c r="H9" s="9"/>
      <c r="I9" s="24">
        <v>0</v>
      </c>
      <c r="J9" s="1">
        <v>5</v>
      </c>
      <c r="K9" s="1">
        <v>0</v>
      </c>
      <c r="L9" s="24">
        <v>0</v>
      </c>
      <c r="M9" s="24">
        <f t="shared" si="0"/>
        <v>5</v>
      </c>
      <c r="N9" s="2"/>
    </row>
    <row r="10" spans="1:17" ht="19.5" customHeight="1">
      <c r="A10" s="8">
        <v>43561</v>
      </c>
      <c r="B10" s="57"/>
      <c r="C10" s="57"/>
      <c r="D10" s="22">
        <v>213.8</v>
      </c>
      <c r="E10" s="34">
        <v>949</v>
      </c>
      <c r="F10" s="25">
        <v>205.14</v>
      </c>
      <c r="G10" s="11">
        <v>220.4</v>
      </c>
      <c r="H10" s="9"/>
      <c r="I10" s="24">
        <v>0</v>
      </c>
      <c r="J10" s="1">
        <v>5</v>
      </c>
      <c r="K10" s="1">
        <v>0</v>
      </c>
      <c r="L10" s="24">
        <v>0</v>
      </c>
      <c r="M10" s="24">
        <f t="shared" si="0"/>
        <v>5</v>
      </c>
      <c r="N10" s="2"/>
    </row>
    <row r="11" spans="1:17" ht="19.5" customHeight="1">
      <c r="A11" s="8">
        <v>43562</v>
      </c>
      <c r="B11" s="57"/>
      <c r="C11" s="57"/>
      <c r="D11" s="22">
        <v>213.8</v>
      </c>
      <c r="E11" s="34">
        <v>949</v>
      </c>
      <c r="F11" s="25">
        <v>205.14</v>
      </c>
      <c r="G11" s="11">
        <v>220.4</v>
      </c>
      <c r="H11" s="9"/>
      <c r="I11" s="24">
        <v>0</v>
      </c>
      <c r="J11" s="1">
        <v>5</v>
      </c>
      <c r="K11" s="1">
        <v>0</v>
      </c>
      <c r="L11" s="24">
        <v>0</v>
      </c>
      <c r="M11" s="24">
        <f t="shared" si="0"/>
        <v>5</v>
      </c>
      <c r="N11" s="2"/>
    </row>
    <row r="12" spans="1:17" ht="19.5" customHeight="1">
      <c r="A12" s="8">
        <v>43563</v>
      </c>
      <c r="B12" s="57"/>
      <c r="C12" s="57"/>
      <c r="D12" s="22">
        <v>213.8</v>
      </c>
      <c r="E12" s="34">
        <v>949</v>
      </c>
      <c r="F12" s="25">
        <v>205.13</v>
      </c>
      <c r="G12" s="11">
        <v>220</v>
      </c>
      <c r="H12" s="9"/>
      <c r="I12" s="24">
        <v>0</v>
      </c>
      <c r="J12" s="1">
        <v>5</v>
      </c>
      <c r="K12" s="1">
        <v>0</v>
      </c>
      <c r="L12" s="24">
        <v>0</v>
      </c>
      <c r="M12" s="24">
        <f t="shared" si="0"/>
        <v>5</v>
      </c>
      <c r="N12" s="2"/>
    </row>
    <row r="13" spans="1:17" ht="19.5" customHeight="1">
      <c r="A13" s="8">
        <v>43564</v>
      </c>
      <c r="B13" s="57"/>
      <c r="C13" s="57"/>
      <c r="D13" s="22">
        <v>213.8</v>
      </c>
      <c r="E13" s="34">
        <v>949</v>
      </c>
      <c r="F13" s="26">
        <v>205.12</v>
      </c>
      <c r="G13" s="25">
        <v>219.3</v>
      </c>
      <c r="H13" s="9"/>
      <c r="I13" s="24">
        <v>0</v>
      </c>
      <c r="J13" s="1">
        <v>5</v>
      </c>
      <c r="K13" s="1">
        <v>0</v>
      </c>
      <c r="L13" s="24">
        <v>0</v>
      </c>
      <c r="M13" s="24">
        <f t="shared" si="0"/>
        <v>5</v>
      </c>
      <c r="N13" s="2"/>
    </row>
    <row r="14" spans="1:17" ht="19.5" customHeight="1">
      <c r="A14" s="8">
        <v>43565</v>
      </c>
      <c r="B14" s="57"/>
      <c r="C14" s="57"/>
      <c r="D14" s="22">
        <v>213.8</v>
      </c>
      <c r="E14" s="34">
        <v>949</v>
      </c>
      <c r="F14" s="26">
        <v>205.12</v>
      </c>
      <c r="G14" s="25">
        <v>219.3</v>
      </c>
      <c r="H14" s="9"/>
      <c r="I14" s="24">
        <v>0</v>
      </c>
      <c r="J14" s="1">
        <v>5</v>
      </c>
      <c r="K14" s="1">
        <v>0</v>
      </c>
      <c r="L14" s="24">
        <v>0</v>
      </c>
      <c r="M14" s="24">
        <f t="shared" si="0"/>
        <v>5</v>
      </c>
      <c r="N14" s="2"/>
    </row>
    <row r="15" spans="1:17" ht="19.5" customHeight="1">
      <c r="A15" s="8">
        <v>43566</v>
      </c>
      <c r="B15" s="57"/>
      <c r="C15" s="57"/>
      <c r="D15" s="22">
        <v>213.8</v>
      </c>
      <c r="E15" s="34">
        <v>949</v>
      </c>
      <c r="F15" s="26">
        <v>205.12</v>
      </c>
      <c r="G15" s="25">
        <v>219.3</v>
      </c>
      <c r="H15" s="9"/>
      <c r="I15" s="24">
        <v>0</v>
      </c>
      <c r="J15" s="1">
        <v>5</v>
      </c>
      <c r="K15" s="1">
        <v>0</v>
      </c>
      <c r="L15" s="24">
        <v>0</v>
      </c>
      <c r="M15" s="24">
        <f t="shared" si="0"/>
        <v>5</v>
      </c>
      <c r="N15" s="2"/>
    </row>
    <row r="16" spans="1:17" ht="19.5" customHeight="1">
      <c r="A16" s="8">
        <v>43567</v>
      </c>
      <c r="B16" s="57"/>
      <c r="C16" s="57"/>
      <c r="D16" s="22">
        <v>213.8</v>
      </c>
      <c r="E16" s="34">
        <v>949</v>
      </c>
      <c r="F16" s="26">
        <v>205.12</v>
      </c>
      <c r="G16" s="25">
        <v>219.3</v>
      </c>
      <c r="H16" s="9"/>
      <c r="I16" s="24">
        <v>0</v>
      </c>
      <c r="J16" s="1">
        <v>5</v>
      </c>
      <c r="K16" s="1">
        <v>0</v>
      </c>
      <c r="L16" s="24">
        <v>0</v>
      </c>
      <c r="M16" s="24">
        <f t="shared" si="0"/>
        <v>5</v>
      </c>
      <c r="N16" s="2"/>
    </row>
    <row r="17" spans="1:15" ht="19.5" customHeight="1">
      <c r="A17" s="8">
        <v>43568</v>
      </c>
      <c r="B17" s="57"/>
      <c r="C17" s="57"/>
      <c r="D17" s="22">
        <v>213.8</v>
      </c>
      <c r="E17" s="34">
        <v>949</v>
      </c>
      <c r="F17" s="26">
        <v>205.12</v>
      </c>
      <c r="G17" s="25">
        <v>219.3</v>
      </c>
      <c r="H17" s="9"/>
      <c r="I17" s="24">
        <v>0</v>
      </c>
      <c r="J17" s="1">
        <v>5</v>
      </c>
      <c r="K17" s="1">
        <v>0</v>
      </c>
      <c r="L17" s="24">
        <v>0</v>
      </c>
      <c r="M17" s="24">
        <f t="shared" si="0"/>
        <v>5</v>
      </c>
      <c r="N17" s="2"/>
    </row>
    <row r="18" spans="1:15" ht="19.5" customHeight="1">
      <c r="A18" s="8">
        <v>43569</v>
      </c>
      <c r="B18" s="57"/>
      <c r="C18" s="57"/>
      <c r="D18" s="22">
        <v>213.8</v>
      </c>
      <c r="E18" s="34">
        <v>949</v>
      </c>
      <c r="F18" s="25">
        <v>205.04</v>
      </c>
      <c r="G18" s="11">
        <v>214.35</v>
      </c>
      <c r="H18" s="9"/>
      <c r="I18" s="24">
        <v>0</v>
      </c>
      <c r="J18" s="1">
        <v>5</v>
      </c>
      <c r="K18" s="1">
        <v>0</v>
      </c>
      <c r="L18" s="24">
        <v>0</v>
      </c>
      <c r="M18" s="24">
        <f t="shared" si="0"/>
        <v>5</v>
      </c>
      <c r="N18" s="2"/>
    </row>
    <row r="19" spans="1:15" ht="19.5" customHeight="1">
      <c r="A19" s="8">
        <v>43570</v>
      </c>
      <c r="B19" s="57"/>
      <c r="C19" s="57"/>
      <c r="D19" s="22">
        <v>213.8</v>
      </c>
      <c r="E19" s="34">
        <v>949</v>
      </c>
      <c r="F19" s="25">
        <v>205.04</v>
      </c>
      <c r="G19" s="11">
        <v>214.35</v>
      </c>
      <c r="H19" s="9"/>
      <c r="I19" s="24">
        <v>0</v>
      </c>
      <c r="J19" s="1">
        <v>5</v>
      </c>
      <c r="K19" s="1">
        <v>0</v>
      </c>
      <c r="L19" s="24">
        <v>0</v>
      </c>
      <c r="M19" s="24">
        <f t="shared" si="0"/>
        <v>5</v>
      </c>
      <c r="N19" s="2"/>
    </row>
    <row r="20" spans="1:15" ht="19.5" customHeight="1">
      <c r="A20" s="8">
        <v>43571</v>
      </c>
      <c r="B20" s="57"/>
      <c r="C20" s="57"/>
      <c r="D20" s="22">
        <v>213.8</v>
      </c>
      <c r="E20" s="34">
        <v>949</v>
      </c>
      <c r="F20" s="25">
        <v>205.03</v>
      </c>
      <c r="G20" s="11">
        <v>214</v>
      </c>
      <c r="H20" s="9"/>
      <c r="I20" s="24">
        <v>0</v>
      </c>
      <c r="J20" s="1">
        <v>5</v>
      </c>
      <c r="K20" s="1">
        <v>0</v>
      </c>
      <c r="L20" s="24">
        <v>0</v>
      </c>
      <c r="M20" s="24">
        <f t="shared" si="0"/>
        <v>5</v>
      </c>
      <c r="N20" s="2"/>
    </row>
    <row r="21" spans="1:15" ht="19.5" customHeight="1">
      <c r="A21" s="8">
        <v>43572</v>
      </c>
      <c r="B21" s="57"/>
      <c r="C21" s="57"/>
      <c r="D21" s="22">
        <v>213.8</v>
      </c>
      <c r="E21" s="34">
        <v>949</v>
      </c>
      <c r="F21" s="25">
        <v>204.99</v>
      </c>
      <c r="G21" s="11">
        <v>211.53</v>
      </c>
      <c r="H21" s="9"/>
      <c r="I21" s="24">
        <v>0</v>
      </c>
      <c r="J21" s="1">
        <v>10</v>
      </c>
      <c r="K21" s="1">
        <v>0</v>
      </c>
      <c r="L21" s="24">
        <v>0</v>
      </c>
      <c r="M21" s="24">
        <f t="shared" si="0"/>
        <v>10</v>
      </c>
      <c r="N21" s="2"/>
    </row>
    <row r="22" spans="1:15" ht="19.5" customHeight="1">
      <c r="A22" s="8">
        <v>43573</v>
      </c>
      <c r="B22" s="57"/>
      <c r="C22" s="57"/>
      <c r="D22" s="22">
        <v>213.8</v>
      </c>
      <c r="E22" s="34">
        <v>949</v>
      </c>
      <c r="F22" s="25">
        <v>204.91</v>
      </c>
      <c r="G22" s="11">
        <v>206.94</v>
      </c>
      <c r="H22" s="9"/>
      <c r="I22" s="24">
        <v>0</v>
      </c>
      <c r="J22" s="1">
        <v>25</v>
      </c>
      <c r="K22" s="1">
        <v>0</v>
      </c>
      <c r="L22" s="24">
        <v>0</v>
      </c>
      <c r="M22" s="24">
        <f t="shared" si="0"/>
        <v>25</v>
      </c>
      <c r="N22" s="2"/>
    </row>
    <row r="23" spans="1:15" ht="19.5" customHeight="1">
      <c r="A23" s="8">
        <v>43574</v>
      </c>
      <c r="B23" s="57"/>
      <c r="C23" s="57"/>
      <c r="D23" s="22">
        <v>213.8</v>
      </c>
      <c r="E23" s="34">
        <v>949</v>
      </c>
      <c r="F23" s="25">
        <v>204.71</v>
      </c>
      <c r="G23" s="11">
        <v>194.93</v>
      </c>
      <c r="H23" s="9"/>
      <c r="I23" s="24">
        <v>0</v>
      </c>
      <c r="J23" s="1">
        <v>25</v>
      </c>
      <c r="K23" s="1">
        <v>0</v>
      </c>
      <c r="L23" s="24">
        <v>0</v>
      </c>
      <c r="M23" s="24">
        <f t="shared" si="0"/>
        <v>25</v>
      </c>
      <c r="N23" s="2"/>
    </row>
    <row r="24" spans="1:15" ht="19.5" customHeight="1">
      <c r="A24" s="8">
        <v>43575</v>
      </c>
      <c r="B24" s="57"/>
      <c r="C24" s="57"/>
      <c r="D24" s="22">
        <v>213.8</v>
      </c>
      <c r="E24" s="34">
        <v>949</v>
      </c>
      <c r="F24" s="25">
        <v>204.71</v>
      </c>
      <c r="G24" s="11">
        <v>194.93</v>
      </c>
      <c r="H24" s="9"/>
      <c r="I24" s="24">
        <v>0</v>
      </c>
      <c r="J24" s="1">
        <v>25</v>
      </c>
      <c r="K24" s="1">
        <v>0</v>
      </c>
      <c r="L24" s="24">
        <v>0</v>
      </c>
      <c r="M24" s="24">
        <f t="shared" si="0"/>
        <v>25</v>
      </c>
      <c r="N24" s="2"/>
    </row>
    <row r="25" spans="1:15" ht="19.5" customHeight="1">
      <c r="A25" s="8">
        <v>43576</v>
      </c>
      <c r="B25" s="57"/>
      <c r="C25" s="57"/>
      <c r="D25" s="22">
        <v>213.8</v>
      </c>
      <c r="E25" s="34">
        <v>949</v>
      </c>
      <c r="F25" s="25">
        <v>204.69</v>
      </c>
      <c r="G25" s="11">
        <v>193.87</v>
      </c>
      <c r="H25" s="9">
        <v>55</v>
      </c>
      <c r="I25" s="24">
        <v>0</v>
      </c>
      <c r="J25" s="1">
        <v>10</v>
      </c>
      <c r="K25" s="1">
        <v>0</v>
      </c>
      <c r="L25" s="24">
        <v>0</v>
      </c>
      <c r="M25" s="24">
        <f t="shared" si="0"/>
        <v>10</v>
      </c>
      <c r="N25" s="2"/>
    </row>
    <row r="26" spans="1:15" ht="19.5" customHeight="1">
      <c r="A26" s="8">
        <v>43577</v>
      </c>
      <c r="B26" s="57"/>
      <c r="C26" s="57"/>
      <c r="D26" s="22">
        <v>213.8</v>
      </c>
      <c r="E26" s="34">
        <v>949</v>
      </c>
      <c r="F26" s="25">
        <v>204.69</v>
      </c>
      <c r="G26" s="11">
        <v>193.87</v>
      </c>
      <c r="H26" s="9">
        <v>55</v>
      </c>
      <c r="I26" s="24">
        <v>0</v>
      </c>
      <c r="J26" s="1">
        <v>10</v>
      </c>
      <c r="K26" s="1">
        <v>0</v>
      </c>
      <c r="L26" s="24">
        <v>0</v>
      </c>
      <c r="M26" s="24">
        <f t="shared" si="0"/>
        <v>10</v>
      </c>
      <c r="N26" s="2"/>
      <c r="O26" s="18"/>
    </row>
    <row r="27" spans="1:15" ht="19.5" customHeight="1">
      <c r="A27" s="8">
        <v>43578</v>
      </c>
      <c r="B27" s="57"/>
      <c r="C27" s="57"/>
      <c r="D27" s="22">
        <v>213.8</v>
      </c>
      <c r="E27" s="34">
        <v>949</v>
      </c>
      <c r="F27" s="25">
        <v>204.69</v>
      </c>
      <c r="G27" s="11">
        <v>193.87</v>
      </c>
      <c r="H27" s="9">
        <v>10</v>
      </c>
      <c r="I27" s="24">
        <v>0</v>
      </c>
      <c r="J27" s="1">
        <v>10</v>
      </c>
      <c r="K27" s="1">
        <v>0</v>
      </c>
      <c r="L27" s="24">
        <v>0</v>
      </c>
      <c r="M27" s="24">
        <f t="shared" si="0"/>
        <v>10</v>
      </c>
      <c r="N27" s="2"/>
    </row>
    <row r="28" spans="1:15" ht="19.5" customHeight="1">
      <c r="A28" s="8">
        <v>43579</v>
      </c>
      <c r="B28" s="57"/>
      <c r="C28" s="57"/>
      <c r="D28" s="22">
        <v>213.8</v>
      </c>
      <c r="E28" s="34">
        <v>949</v>
      </c>
      <c r="F28" s="25">
        <v>204.67</v>
      </c>
      <c r="G28" s="11">
        <v>192.81</v>
      </c>
      <c r="H28" s="9"/>
      <c r="I28" s="24">
        <v>0</v>
      </c>
      <c r="J28" s="1">
        <v>10</v>
      </c>
      <c r="K28" s="1">
        <v>0</v>
      </c>
      <c r="L28" s="24">
        <v>0</v>
      </c>
      <c r="M28" s="24">
        <f t="shared" si="0"/>
        <v>10</v>
      </c>
      <c r="N28" s="2"/>
    </row>
    <row r="29" spans="1:15" ht="19.5" customHeight="1">
      <c r="A29" s="8">
        <v>43580</v>
      </c>
      <c r="B29" s="57"/>
      <c r="C29" s="57"/>
      <c r="D29" s="22">
        <v>213.8</v>
      </c>
      <c r="E29" s="34">
        <v>949</v>
      </c>
      <c r="F29" s="25">
        <v>204.66</v>
      </c>
      <c r="G29" s="11">
        <v>192.46</v>
      </c>
      <c r="H29" s="9"/>
      <c r="I29" s="24">
        <v>0</v>
      </c>
      <c r="J29" s="1">
        <v>10</v>
      </c>
      <c r="K29" s="1">
        <v>0</v>
      </c>
      <c r="L29" s="24">
        <v>0</v>
      </c>
      <c r="M29" s="24">
        <f t="shared" si="0"/>
        <v>10</v>
      </c>
      <c r="N29" s="2"/>
    </row>
    <row r="30" spans="1:15" ht="19.5" customHeight="1">
      <c r="A30" s="8">
        <v>43581</v>
      </c>
      <c r="B30" s="57"/>
      <c r="C30" s="57"/>
      <c r="D30" s="22">
        <v>213.8</v>
      </c>
      <c r="E30" s="34">
        <v>949</v>
      </c>
      <c r="F30" s="25">
        <v>204.62</v>
      </c>
      <c r="G30" s="11">
        <v>190.7</v>
      </c>
      <c r="H30" s="9"/>
      <c r="I30" s="24">
        <v>0</v>
      </c>
      <c r="J30" s="1">
        <v>10</v>
      </c>
      <c r="K30" s="1">
        <v>0</v>
      </c>
      <c r="L30" s="24">
        <v>0</v>
      </c>
      <c r="M30" s="24">
        <f t="shared" si="0"/>
        <v>10</v>
      </c>
      <c r="N30" s="2"/>
    </row>
    <row r="31" spans="1:15" ht="21" customHeight="1">
      <c r="A31" s="8">
        <v>43582</v>
      </c>
      <c r="B31" s="57"/>
      <c r="C31" s="57"/>
      <c r="D31" s="22">
        <v>213.8</v>
      </c>
      <c r="E31" s="34">
        <v>949</v>
      </c>
      <c r="F31" s="25">
        <v>204.58</v>
      </c>
      <c r="G31" s="11">
        <v>188.6</v>
      </c>
      <c r="H31" s="9"/>
      <c r="I31" s="24">
        <v>0</v>
      </c>
      <c r="J31" s="1">
        <v>10</v>
      </c>
      <c r="K31" s="1">
        <v>0</v>
      </c>
      <c r="L31" s="24">
        <v>0</v>
      </c>
      <c r="M31" s="24">
        <f t="shared" si="0"/>
        <v>10</v>
      </c>
      <c r="N31" s="2"/>
    </row>
    <row r="32" spans="1:15" ht="21" customHeight="1">
      <c r="A32" s="8">
        <v>43583</v>
      </c>
      <c r="B32" s="57"/>
      <c r="C32" s="57"/>
      <c r="D32" s="22">
        <v>213.8</v>
      </c>
      <c r="E32" s="34">
        <v>949</v>
      </c>
      <c r="F32" s="25">
        <v>204.54</v>
      </c>
      <c r="G32" s="11">
        <v>186.5</v>
      </c>
      <c r="H32" s="9"/>
      <c r="I32" s="24">
        <v>0</v>
      </c>
      <c r="J32" s="1">
        <v>10</v>
      </c>
      <c r="K32" s="1">
        <v>0</v>
      </c>
      <c r="L32" s="24">
        <v>0</v>
      </c>
      <c r="M32" s="24">
        <f t="shared" si="0"/>
        <v>10</v>
      </c>
      <c r="N32" s="2"/>
    </row>
    <row r="33" spans="1:15" ht="21" customHeight="1">
      <c r="A33" s="8">
        <v>43584</v>
      </c>
      <c r="B33" s="57"/>
      <c r="C33" s="57"/>
      <c r="D33" s="22">
        <v>213.8</v>
      </c>
      <c r="E33" s="34">
        <v>949</v>
      </c>
      <c r="F33" s="25">
        <v>204.51</v>
      </c>
      <c r="G33" s="11">
        <v>184.69</v>
      </c>
      <c r="H33" s="9"/>
      <c r="I33" s="24">
        <v>0</v>
      </c>
      <c r="J33" s="1">
        <v>10</v>
      </c>
      <c r="K33" s="1">
        <v>0</v>
      </c>
      <c r="L33" s="24">
        <v>0</v>
      </c>
      <c r="M33" s="24">
        <f t="shared" si="0"/>
        <v>10</v>
      </c>
      <c r="N33" s="2"/>
    </row>
    <row r="34" spans="1:15" ht="21" customHeight="1">
      <c r="A34" s="8">
        <v>43585</v>
      </c>
      <c r="B34" s="57"/>
      <c r="C34" s="57"/>
      <c r="D34" s="22">
        <v>213.8</v>
      </c>
      <c r="E34" s="34">
        <v>949</v>
      </c>
      <c r="F34" s="25">
        <v>204.47</v>
      </c>
      <c r="G34" s="11">
        <v>182.57</v>
      </c>
      <c r="H34" s="9"/>
      <c r="I34" s="24">
        <v>0</v>
      </c>
      <c r="J34" s="1">
        <v>10</v>
      </c>
      <c r="K34" s="1">
        <v>0</v>
      </c>
      <c r="L34" s="24">
        <v>0</v>
      </c>
      <c r="M34" s="24">
        <f t="shared" si="0"/>
        <v>10</v>
      </c>
      <c r="N34" s="2"/>
    </row>
    <row r="35" spans="1:15" ht="21" customHeight="1">
      <c r="A35" s="12"/>
      <c r="B35" s="13"/>
      <c r="C35" s="13"/>
      <c r="D35" s="14"/>
      <c r="E35" s="37"/>
      <c r="F35" s="15"/>
      <c r="G35" s="14"/>
      <c r="H35" s="16">
        <f>SUM(H5:H34)</f>
        <v>120</v>
      </c>
      <c r="I35" s="16">
        <f t="shared" ref="I35:M35" si="1">SUM(I5:I34)</f>
        <v>0</v>
      </c>
      <c r="J35" s="16">
        <f t="shared" si="1"/>
        <v>260</v>
      </c>
      <c r="K35" s="16">
        <f t="shared" si="1"/>
        <v>0</v>
      </c>
      <c r="L35" s="16">
        <f t="shared" si="1"/>
        <v>0</v>
      </c>
      <c r="M35" s="16">
        <f t="shared" si="1"/>
        <v>260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1.0368066355624676E-2</v>
      </c>
      <c r="I36" s="5"/>
      <c r="J36" s="5">
        <f>J35/11574</f>
        <v>2.2464143770520133E-2</v>
      </c>
      <c r="K36" s="5">
        <f>K35/11574</f>
        <v>0</v>
      </c>
      <c r="L36" s="28"/>
      <c r="M36" s="28"/>
      <c r="N36" s="7"/>
    </row>
    <row r="37" spans="1:15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5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5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5" zoomScale="60" workbookViewId="0">
      <selection activeCell="G35" sqref="G5:G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43586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204.41</v>
      </c>
      <c r="G5" s="11">
        <v>179.39</v>
      </c>
      <c r="H5" s="9"/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43587</v>
      </c>
      <c r="B6" s="57"/>
      <c r="C6" s="57"/>
      <c r="D6" s="22">
        <v>213.8</v>
      </c>
      <c r="E6" s="34">
        <v>949</v>
      </c>
      <c r="F6" s="25">
        <v>204.41</v>
      </c>
      <c r="G6" s="11">
        <v>179.39</v>
      </c>
      <c r="H6" s="9"/>
      <c r="I6" s="24">
        <v>0</v>
      </c>
      <c r="J6" s="1">
        <v>0</v>
      </c>
      <c r="K6" s="1">
        <v>0</v>
      </c>
      <c r="L6" s="24">
        <v>0</v>
      </c>
      <c r="M6" s="24">
        <f t="shared" ref="M6:M35" si="0">L6+K6+J6+I6</f>
        <v>0</v>
      </c>
      <c r="N6" s="2"/>
    </row>
    <row r="7" spans="1:14" ht="19.5" customHeight="1">
      <c r="A7" s="8">
        <v>43588</v>
      </c>
      <c r="B7" s="57"/>
      <c r="C7" s="57"/>
      <c r="D7" s="22">
        <v>213.8</v>
      </c>
      <c r="E7" s="34">
        <v>949</v>
      </c>
      <c r="F7" s="25">
        <v>204.38</v>
      </c>
      <c r="G7" s="11">
        <v>177.98</v>
      </c>
      <c r="H7" s="9"/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43589</v>
      </c>
      <c r="B8" s="57"/>
      <c r="C8" s="57"/>
      <c r="D8" s="22">
        <v>213.8</v>
      </c>
      <c r="E8" s="34">
        <v>949</v>
      </c>
      <c r="F8" s="25">
        <v>204.37</v>
      </c>
      <c r="G8" s="11">
        <v>177.27</v>
      </c>
      <c r="H8" s="9"/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43590</v>
      </c>
      <c r="B9" s="57"/>
      <c r="C9" s="57"/>
      <c r="D9" s="22">
        <v>213.8</v>
      </c>
      <c r="E9" s="34">
        <v>949</v>
      </c>
      <c r="F9" s="25">
        <v>204.37</v>
      </c>
      <c r="G9" s="11">
        <v>177.27</v>
      </c>
      <c r="H9" s="9"/>
      <c r="I9" s="24">
        <v>0</v>
      </c>
      <c r="J9" s="1">
        <v>0</v>
      </c>
      <c r="K9" s="1">
        <v>0</v>
      </c>
      <c r="L9" s="24">
        <v>0</v>
      </c>
      <c r="M9" s="24">
        <f t="shared" si="0"/>
        <v>0</v>
      </c>
      <c r="N9" s="2"/>
    </row>
    <row r="10" spans="1:14" ht="19.5" customHeight="1">
      <c r="A10" s="8">
        <v>43591</v>
      </c>
      <c r="B10" s="57"/>
      <c r="C10" s="57"/>
      <c r="D10" s="22">
        <v>213.8</v>
      </c>
      <c r="E10" s="34">
        <v>949</v>
      </c>
      <c r="F10" s="25">
        <v>204.37</v>
      </c>
      <c r="G10" s="11">
        <v>177.27</v>
      </c>
      <c r="H10" s="9"/>
      <c r="I10" s="24">
        <v>0</v>
      </c>
      <c r="J10" s="1">
        <v>0</v>
      </c>
      <c r="K10" s="1">
        <v>0</v>
      </c>
      <c r="L10" s="24">
        <v>0</v>
      </c>
      <c r="M10" s="24">
        <f t="shared" si="0"/>
        <v>0</v>
      </c>
      <c r="N10" s="2"/>
    </row>
    <row r="11" spans="1:14" ht="19.5" customHeight="1">
      <c r="A11" s="8">
        <v>43592</v>
      </c>
      <c r="B11" s="57"/>
      <c r="C11" s="57"/>
      <c r="D11" s="22">
        <v>213.8</v>
      </c>
      <c r="E11" s="34">
        <v>949</v>
      </c>
      <c r="F11" s="25">
        <v>204.37</v>
      </c>
      <c r="G11" s="11">
        <v>177.27</v>
      </c>
      <c r="H11" s="9"/>
      <c r="I11" s="24">
        <v>0</v>
      </c>
      <c r="J11" s="1">
        <v>0</v>
      </c>
      <c r="K11" s="1">
        <v>0</v>
      </c>
      <c r="L11" s="24">
        <v>0</v>
      </c>
      <c r="M11" s="24">
        <f t="shared" si="0"/>
        <v>0</v>
      </c>
      <c r="N11" s="2"/>
    </row>
    <row r="12" spans="1:14" ht="19.5" customHeight="1">
      <c r="A12" s="8">
        <v>43593</v>
      </c>
      <c r="B12" s="57"/>
      <c r="C12" s="57"/>
      <c r="D12" s="22">
        <v>213.8</v>
      </c>
      <c r="E12" s="34">
        <v>949</v>
      </c>
      <c r="F12" s="25">
        <v>204.36</v>
      </c>
      <c r="G12" s="11">
        <v>176.92</v>
      </c>
      <c r="H12" s="9"/>
      <c r="I12" s="24">
        <v>0</v>
      </c>
      <c r="J12" s="1">
        <v>0</v>
      </c>
      <c r="K12" s="1">
        <v>0</v>
      </c>
      <c r="L12" s="24">
        <v>0</v>
      </c>
      <c r="M12" s="24">
        <f t="shared" si="0"/>
        <v>0</v>
      </c>
      <c r="N12" s="2"/>
    </row>
    <row r="13" spans="1:14" ht="19.5" customHeight="1">
      <c r="A13" s="8">
        <v>43594</v>
      </c>
      <c r="B13" s="57"/>
      <c r="C13" s="57"/>
      <c r="D13" s="22">
        <v>213.8</v>
      </c>
      <c r="E13" s="34">
        <v>949</v>
      </c>
      <c r="F13" s="25">
        <v>204.36</v>
      </c>
      <c r="G13" s="11">
        <v>176.92</v>
      </c>
      <c r="H13" s="9"/>
      <c r="I13" s="24">
        <v>0</v>
      </c>
      <c r="J13" s="1">
        <v>0</v>
      </c>
      <c r="K13" s="1">
        <v>0</v>
      </c>
      <c r="L13" s="24">
        <v>0</v>
      </c>
      <c r="M13" s="24">
        <f t="shared" si="0"/>
        <v>0</v>
      </c>
      <c r="N13" s="2"/>
    </row>
    <row r="14" spans="1:14" ht="19.5" customHeight="1">
      <c r="A14" s="8">
        <v>43595</v>
      </c>
      <c r="B14" s="57"/>
      <c r="C14" s="57"/>
      <c r="D14" s="22">
        <v>213.8</v>
      </c>
      <c r="E14" s="34">
        <v>949</v>
      </c>
      <c r="F14" s="25">
        <v>204.36</v>
      </c>
      <c r="G14" s="11">
        <v>176.92</v>
      </c>
      <c r="H14" s="9"/>
      <c r="I14" s="24">
        <v>0</v>
      </c>
      <c r="J14" s="1">
        <v>0</v>
      </c>
      <c r="K14" s="1">
        <v>0</v>
      </c>
      <c r="L14" s="24">
        <v>0</v>
      </c>
      <c r="M14" s="24">
        <f t="shared" si="0"/>
        <v>0</v>
      </c>
      <c r="N14" s="2"/>
    </row>
    <row r="15" spans="1:14" ht="19.5" customHeight="1">
      <c r="A15" s="8">
        <v>43596</v>
      </c>
      <c r="B15" s="57"/>
      <c r="C15" s="57"/>
      <c r="D15" s="22">
        <v>213.8</v>
      </c>
      <c r="E15" s="34">
        <v>949</v>
      </c>
      <c r="F15" s="25">
        <v>204.36</v>
      </c>
      <c r="G15" s="11">
        <v>176.92</v>
      </c>
      <c r="H15" s="9"/>
      <c r="I15" s="24">
        <v>0</v>
      </c>
      <c r="J15" s="1">
        <v>0</v>
      </c>
      <c r="K15" s="1">
        <v>0</v>
      </c>
      <c r="L15" s="24">
        <v>0</v>
      </c>
      <c r="M15" s="24">
        <f t="shared" si="0"/>
        <v>0</v>
      </c>
      <c r="N15" s="2"/>
    </row>
    <row r="16" spans="1:14" ht="19.5" customHeight="1">
      <c r="A16" s="8">
        <v>43597</v>
      </c>
      <c r="B16" s="57"/>
      <c r="C16" s="57"/>
      <c r="D16" s="22">
        <v>213.8</v>
      </c>
      <c r="E16" s="34">
        <v>949</v>
      </c>
      <c r="F16" s="25">
        <v>204.41</v>
      </c>
      <c r="G16" s="11">
        <v>179.39</v>
      </c>
      <c r="H16" s="9">
        <v>29</v>
      </c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43598</v>
      </c>
      <c r="B17" s="57"/>
      <c r="C17" s="57"/>
      <c r="D17" s="22">
        <v>213.8</v>
      </c>
      <c r="E17" s="34">
        <v>949</v>
      </c>
      <c r="F17" s="25">
        <v>204.44</v>
      </c>
      <c r="G17" s="11">
        <v>181.16</v>
      </c>
      <c r="H17" s="9">
        <v>20</v>
      </c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43599</v>
      </c>
      <c r="B18" s="57"/>
      <c r="C18" s="57"/>
      <c r="D18" s="22">
        <v>213.8</v>
      </c>
      <c r="E18" s="34">
        <v>949</v>
      </c>
      <c r="F18" s="25">
        <v>204.44</v>
      </c>
      <c r="G18" s="11">
        <v>181.16</v>
      </c>
      <c r="H18" s="9"/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43600</v>
      </c>
      <c r="B19" s="57"/>
      <c r="C19" s="57"/>
      <c r="D19" s="22">
        <v>213.8</v>
      </c>
      <c r="E19" s="34">
        <v>949</v>
      </c>
      <c r="F19" s="25">
        <v>204.44</v>
      </c>
      <c r="G19" s="11">
        <v>181.16</v>
      </c>
      <c r="H19" s="9"/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43601</v>
      </c>
      <c r="B20" s="57"/>
      <c r="C20" s="57"/>
      <c r="D20" s="22">
        <v>213.8</v>
      </c>
      <c r="E20" s="34">
        <v>949</v>
      </c>
      <c r="F20" s="25">
        <v>204.56</v>
      </c>
      <c r="G20" s="11">
        <v>187.51</v>
      </c>
      <c r="H20" s="9">
        <v>74</v>
      </c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43602</v>
      </c>
      <c r="B21" s="57"/>
      <c r="C21" s="57"/>
      <c r="D21" s="22">
        <v>213.8</v>
      </c>
      <c r="E21" s="34">
        <v>949</v>
      </c>
      <c r="F21" s="25">
        <v>204.59</v>
      </c>
      <c r="G21" s="11">
        <v>188.83</v>
      </c>
      <c r="H21" s="9">
        <v>16</v>
      </c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43603</v>
      </c>
      <c r="B22" s="57"/>
      <c r="C22" s="57"/>
      <c r="D22" s="22">
        <v>213.8</v>
      </c>
      <c r="E22" s="34">
        <v>949</v>
      </c>
      <c r="F22" s="25">
        <v>204.59</v>
      </c>
      <c r="G22" s="11">
        <v>188.83</v>
      </c>
      <c r="H22" s="9"/>
      <c r="I22" s="24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8">
        <v>43604</v>
      </c>
      <c r="B23" s="57"/>
      <c r="C23" s="57"/>
      <c r="D23" s="22">
        <v>213.8</v>
      </c>
      <c r="E23" s="34">
        <v>949</v>
      </c>
      <c r="F23" s="25">
        <v>204.63</v>
      </c>
      <c r="G23" s="11">
        <v>191.05</v>
      </c>
      <c r="H23" s="9"/>
      <c r="I23" s="24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8">
        <v>43605</v>
      </c>
      <c r="B24" s="57"/>
      <c r="C24" s="57"/>
      <c r="D24" s="22">
        <v>213.8</v>
      </c>
      <c r="E24" s="34">
        <v>949</v>
      </c>
      <c r="F24" s="25">
        <v>204.63</v>
      </c>
      <c r="G24" s="11">
        <v>191.05</v>
      </c>
      <c r="H24" s="9"/>
      <c r="I24" s="24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8">
        <v>43606</v>
      </c>
      <c r="B25" s="57"/>
      <c r="C25" s="57"/>
      <c r="D25" s="22">
        <v>213.8</v>
      </c>
      <c r="E25" s="34">
        <v>949</v>
      </c>
      <c r="F25" s="25">
        <v>204.63</v>
      </c>
      <c r="G25" s="11">
        <v>191.05</v>
      </c>
      <c r="H25" s="9"/>
      <c r="I25" s="24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8">
        <v>43607</v>
      </c>
      <c r="B26" s="57"/>
      <c r="C26" s="57"/>
      <c r="D26" s="22">
        <v>213.8</v>
      </c>
      <c r="E26" s="34">
        <v>949</v>
      </c>
      <c r="F26" s="25">
        <v>204.63</v>
      </c>
      <c r="G26" s="11">
        <v>191.05</v>
      </c>
      <c r="H26" s="9"/>
      <c r="I26" s="24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8">
        <v>43608</v>
      </c>
      <c r="B27" s="57"/>
      <c r="C27" s="57"/>
      <c r="D27" s="22">
        <v>213.8</v>
      </c>
      <c r="E27" s="34">
        <v>949</v>
      </c>
      <c r="F27" s="25">
        <v>204.63</v>
      </c>
      <c r="G27" s="11">
        <v>191.05</v>
      </c>
      <c r="H27" s="9"/>
      <c r="I27" s="24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8">
        <v>43609</v>
      </c>
      <c r="B28" s="57"/>
      <c r="C28" s="57"/>
      <c r="D28" s="22">
        <v>213.8</v>
      </c>
      <c r="E28" s="34">
        <v>949</v>
      </c>
      <c r="F28" s="25">
        <v>204.66</v>
      </c>
      <c r="G28" s="11">
        <v>192.46</v>
      </c>
      <c r="H28" s="9"/>
      <c r="I28" s="24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8">
        <v>43610</v>
      </c>
      <c r="B29" s="57"/>
      <c r="C29" s="57"/>
      <c r="D29" s="22">
        <v>213.8</v>
      </c>
      <c r="E29" s="34">
        <v>949</v>
      </c>
      <c r="F29" s="25">
        <v>204.66</v>
      </c>
      <c r="G29" s="11">
        <v>192.46</v>
      </c>
      <c r="H29" s="9"/>
      <c r="I29" s="24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8">
        <v>43611</v>
      </c>
      <c r="B30" s="57"/>
      <c r="C30" s="57"/>
      <c r="D30" s="22">
        <v>213.8</v>
      </c>
      <c r="E30" s="34">
        <v>949</v>
      </c>
      <c r="F30" s="25">
        <v>204.63</v>
      </c>
      <c r="G30" s="11">
        <v>191.05</v>
      </c>
      <c r="H30" s="9"/>
      <c r="I30" s="24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8">
        <v>43612</v>
      </c>
      <c r="B31" s="57"/>
      <c r="C31" s="57"/>
      <c r="D31" s="22">
        <v>213.8</v>
      </c>
      <c r="E31" s="34">
        <v>949</v>
      </c>
      <c r="F31" s="25">
        <v>204.56</v>
      </c>
      <c r="G31" s="11">
        <v>187.51</v>
      </c>
      <c r="H31" s="9"/>
      <c r="I31" s="24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8">
        <v>43613</v>
      </c>
      <c r="B32" s="57"/>
      <c r="C32" s="57"/>
      <c r="D32" s="22">
        <v>213.8</v>
      </c>
      <c r="E32" s="34">
        <v>949</v>
      </c>
      <c r="F32" s="25">
        <v>204.46</v>
      </c>
      <c r="G32" s="11">
        <v>182.22</v>
      </c>
      <c r="H32" s="9"/>
      <c r="I32" s="24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8">
        <v>43614</v>
      </c>
      <c r="B33" s="57"/>
      <c r="C33" s="57"/>
      <c r="D33" s="22">
        <v>213.8</v>
      </c>
      <c r="E33" s="34">
        <v>949</v>
      </c>
      <c r="F33" s="25">
        <v>204.39</v>
      </c>
      <c r="G33" s="11">
        <v>178.33</v>
      </c>
      <c r="H33" s="9">
        <v>16</v>
      </c>
      <c r="I33" s="24">
        <v>0</v>
      </c>
      <c r="J33" s="1">
        <v>0</v>
      </c>
      <c r="K33" s="1">
        <v>0</v>
      </c>
      <c r="L33" s="24">
        <v>16</v>
      </c>
      <c r="M33" s="24">
        <f t="shared" si="0"/>
        <v>16</v>
      </c>
      <c r="N33" s="2"/>
    </row>
    <row r="34" spans="1:15" ht="21" customHeight="1">
      <c r="A34" s="8">
        <v>43615</v>
      </c>
      <c r="B34" s="57"/>
      <c r="C34" s="57"/>
      <c r="D34" s="22">
        <v>213.8</v>
      </c>
      <c r="E34" s="34">
        <v>949</v>
      </c>
      <c r="F34" s="25">
        <v>204.29</v>
      </c>
      <c r="G34" s="11">
        <v>173.04</v>
      </c>
      <c r="H34" s="9">
        <v>16</v>
      </c>
      <c r="I34" s="24">
        <v>0</v>
      </c>
      <c r="J34" s="1">
        <v>0</v>
      </c>
      <c r="K34" s="1">
        <v>0</v>
      </c>
      <c r="L34" s="24">
        <v>16</v>
      </c>
      <c r="M34" s="24">
        <f t="shared" si="0"/>
        <v>16</v>
      </c>
      <c r="N34" s="2"/>
    </row>
    <row r="35" spans="1:15" ht="21" customHeight="1">
      <c r="A35" s="8">
        <v>43616</v>
      </c>
      <c r="B35" s="58"/>
      <c r="C35" s="58"/>
      <c r="D35" s="23">
        <v>213.8</v>
      </c>
      <c r="E35" s="34">
        <v>949</v>
      </c>
      <c r="F35" s="25">
        <v>204.29</v>
      </c>
      <c r="G35" s="11">
        <v>173.04</v>
      </c>
      <c r="H35" s="9">
        <v>16</v>
      </c>
      <c r="I35" s="24">
        <v>0</v>
      </c>
      <c r="J35" s="1">
        <v>0</v>
      </c>
      <c r="K35" s="1">
        <v>0</v>
      </c>
      <c r="L35" s="24">
        <v>16</v>
      </c>
      <c r="M35" s="24">
        <f t="shared" si="0"/>
        <v>16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187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48</v>
      </c>
      <c r="M36" s="16">
        <f t="shared" si="1"/>
        <v>48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1.6156903404181785E-2</v>
      </c>
      <c r="I37" s="5"/>
      <c r="J37" s="5">
        <f>J36/11574</f>
        <v>0</v>
      </c>
      <c r="K37" s="5">
        <f>K36/11574</f>
        <v>0</v>
      </c>
      <c r="L37" s="28"/>
      <c r="M37" s="28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5" zoomScale="60" workbookViewId="0">
      <selection activeCell="G34" sqref="G5:G34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43617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204.24</v>
      </c>
      <c r="G5" s="11">
        <v>168</v>
      </c>
      <c r="H5" s="9"/>
      <c r="I5" s="24">
        <v>0</v>
      </c>
      <c r="J5" s="1">
        <v>0</v>
      </c>
      <c r="K5" s="1">
        <v>0</v>
      </c>
      <c r="L5" s="24">
        <v>16</v>
      </c>
      <c r="M5" s="24">
        <f>L5+K5+J5+I5</f>
        <v>16</v>
      </c>
      <c r="N5" s="2"/>
    </row>
    <row r="6" spans="1:14" ht="19.5" customHeight="1">
      <c r="A6" s="8">
        <v>43618</v>
      </c>
      <c r="B6" s="57"/>
      <c r="C6" s="57"/>
      <c r="D6" s="22">
        <v>213.8</v>
      </c>
      <c r="E6" s="34">
        <v>949</v>
      </c>
      <c r="F6" s="25">
        <v>204.13</v>
      </c>
      <c r="G6" s="11">
        <v>163.86</v>
      </c>
      <c r="H6" s="9"/>
      <c r="I6" s="24">
        <v>0</v>
      </c>
      <c r="J6" s="1">
        <v>0</v>
      </c>
      <c r="K6" s="1">
        <v>0</v>
      </c>
      <c r="L6" s="24">
        <v>16</v>
      </c>
      <c r="M6" s="24">
        <f t="shared" ref="M6:M34" si="0">L6+K6+J6+I6</f>
        <v>16</v>
      </c>
      <c r="N6" s="2"/>
    </row>
    <row r="7" spans="1:14" ht="19.5" customHeight="1">
      <c r="A7" s="8">
        <v>43619</v>
      </c>
      <c r="B7" s="57"/>
      <c r="C7" s="57"/>
      <c r="D7" s="22">
        <v>213.8</v>
      </c>
      <c r="E7" s="34">
        <v>949</v>
      </c>
      <c r="F7" s="25">
        <v>204.13</v>
      </c>
      <c r="G7" s="11">
        <v>163.86</v>
      </c>
      <c r="H7" s="9"/>
      <c r="I7" s="24">
        <v>0</v>
      </c>
      <c r="J7" s="1">
        <v>0</v>
      </c>
      <c r="K7" s="1">
        <v>0</v>
      </c>
      <c r="L7" s="24">
        <v>16</v>
      </c>
      <c r="M7" s="24">
        <f t="shared" si="0"/>
        <v>16</v>
      </c>
      <c r="N7" s="2"/>
    </row>
    <row r="8" spans="1:14" ht="19.5" customHeight="1">
      <c r="A8" s="8">
        <v>43620</v>
      </c>
      <c r="B8" s="57"/>
      <c r="C8" s="57"/>
      <c r="D8" s="22">
        <v>213.8</v>
      </c>
      <c r="E8" s="34">
        <v>949</v>
      </c>
      <c r="F8" s="25">
        <v>204.17</v>
      </c>
      <c r="G8" s="11">
        <v>164.56</v>
      </c>
      <c r="H8" s="9">
        <v>24</v>
      </c>
      <c r="I8" s="24">
        <v>0</v>
      </c>
      <c r="J8" s="1">
        <v>0</v>
      </c>
      <c r="K8" s="1">
        <v>0</v>
      </c>
      <c r="L8" s="24">
        <v>16</v>
      </c>
      <c r="M8" s="24">
        <f t="shared" si="0"/>
        <v>16</v>
      </c>
      <c r="N8" s="2"/>
    </row>
    <row r="9" spans="1:14" ht="19.5" customHeight="1">
      <c r="A9" s="8">
        <v>43621</v>
      </c>
      <c r="B9" s="57"/>
      <c r="C9" s="57"/>
      <c r="D9" s="22">
        <v>213.8</v>
      </c>
      <c r="E9" s="34">
        <v>949</v>
      </c>
      <c r="F9" s="25">
        <v>204.13</v>
      </c>
      <c r="G9" s="11">
        <v>163.85</v>
      </c>
      <c r="H9" s="9"/>
      <c r="I9" s="24">
        <v>0</v>
      </c>
      <c r="J9" s="1">
        <v>0</v>
      </c>
      <c r="K9" s="1">
        <v>0</v>
      </c>
      <c r="L9" s="24">
        <v>16</v>
      </c>
      <c r="M9" s="24">
        <f t="shared" si="0"/>
        <v>16</v>
      </c>
      <c r="N9" s="2"/>
    </row>
    <row r="10" spans="1:14" ht="19.5" customHeight="1">
      <c r="A10" s="8">
        <v>43622</v>
      </c>
      <c r="B10" s="57"/>
      <c r="C10" s="57"/>
      <c r="D10" s="22">
        <v>213.8</v>
      </c>
      <c r="E10" s="34">
        <v>949</v>
      </c>
      <c r="F10" s="25">
        <v>204.11</v>
      </c>
      <c r="G10" s="11">
        <v>163.15</v>
      </c>
      <c r="H10" s="9">
        <v>8</v>
      </c>
      <c r="I10" s="24">
        <v>0</v>
      </c>
      <c r="J10" s="1">
        <v>0</v>
      </c>
      <c r="K10" s="1">
        <v>0</v>
      </c>
      <c r="L10" s="24">
        <v>16</v>
      </c>
      <c r="M10" s="24">
        <f t="shared" si="0"/>
        <v>16</v>
      </c>
      <c r="N10" s="2"/>
    </row>
    <row r="11" spans="1:14" ht="19.5" customHeight="1">
      <c r="A11" s="8">
        <v>43623</v>
      </c>
      <c r="B11" s="57"/>
      <c r="C11" s="57"/>
      <c r="D11" s="22">
        <v>213.8</v>
      </c>
      <c r="E11" s="34">
        <v>949</v>
      </c>
      <c r="F11" s="25">
        <v>204.06</v>
      </c>
      <c r="G11" s="11">
        <v>161.05000000000001</v>
      </c>
      <c r="H11" s="9"/>
      <c r="I11" s="24">
        <v>0</v>
      </c>
      <c r="J11" s="1">
        <v>0</v>
      </c>
      <c r="K11" s="1">
        <v>0</v>
      </c>
      <c r="L11" s="24">
        <v>16</v>
      </c>
      <c r="M11" s="24">
        <f t="shared" si="0"/>
        <v>16</v>
      </c>
      <c r="N11" s="2"/>
    </row>
    <row r="12" spans="1:14" ht="19.5" customHeight="1">
      <c r="A12" s="8">
        <v>43624</v>
      </c>
      <c r="B12" s="57"/>
      <c r="C12" s="57"/>
      <c r="D12" s="22">
        <v>213.8</v>
      </c>
      <c r="E12" s="34">
        <v>949</v>
      </c>
      <c r="F12" s="25">
        <v>203.98</v>
      </c>
      <c r="G12" s="11">
        <v>156.79</v>
      </c>
      <c r="H12" s="9">
        <v>16</v>
      </c>
      <c r="I12" s="24">
        <v>0</v>
      </c>
      <c r="J12" s="1">
        <v>0</v>
      </c>
      <c r="K12" s="1">
        <v>0</v>
      </c>
      <c r="L12" s="24">
        <v>16</v>
      </c>
      <c r="M12" s="24">
        <f t="shared" si="0"/>
        <v>16</v>
      </c>
      <c r="N12" s="2"/>
    </row>
    <row r="13" spans="1:14" ht="19.5" customHeight="1">
      <c r="A13" s="8">
        <v>43625</v>
      </c>
      <c r="B13" s="57"/>
      <c r="C13" s="57"/>
      <c r="D13" s="22">
        <v>213.8</v>
      </c>
      <c r="E13" s="34">
        <v>949</v>
      </c>
      <c r="F13" s="25">
        <v>203.98</v>
      </c>
      <c r="G13" s="11">
        <v>156.79</v>
      </c>
      <c r="H13" s="9">
        <v>16</v>
      </c>
      <c r="I13" s="24">
        <v>0</v>
      </c>
      <c r="J13" s="1">
        <v>0</v>
      </c>
      <c r="K13" s="1">
        <v>0</v>
      </c>
      <c r="L13" s="24">
        <v>16</v>
      </c>
      <c r="M13" s="24">
        <f t="shared" si="0"/>
        <v>16</v>
      </c>
      <c r="N13" s="2"/>
    </row>
    <row r="14" spans="1:14" ht="19.5" customHeight="1">
      <c r="A14" s="8">
        <v>43626</v>
      </c>
      <c r="B14" s="57"/>
      <c r="C14" s="57"/>
      <c r="D14" s="22">
        <v>213.8</v>
      </c>
      <c r="E14" s="34">
        <v>949</v>
      </c>
      <c r="F14" s="25">
        <v>203.98</v>
      </c>
      <c r="G14" s="11">
        <v>156.79</v>
      </c>
      <c r="H14" s="9">
        <v>16</v>
      </c>
      <c r="I14" s="24">
        <v>0</v>
      </c>
      <c r="J14" s="1">
        <v>0</v>
      </c>
      <c r="K14" s="1">
        <v>0</v>
      </c>
      <c r="L14" s="24">
        <v>0</v>
      </c>
      <c r="M14" s="24">
        <f t="shared" si="0"/>
        <v>0</v>
      </c>
      <c r="N14" s="2"/>
    </row>
    <row r="15" spans="1:14" ht="19.5" customHeight="1">
      <c r="A15" s="8">
        <v>43627</v>
      </c>
      <c r="B15" s="57"/>
      <c r="C15" s="57"/>
      <c r="D15" s="22">
        <v>213.8</v>
      </c>
      <c r="E15" s="34">
        <v>949</v>
      </c>
      <c r="F15" s="25">
        <v>203.94</v>
      </c>
      <c r="G15" s="11">
        <v>154.66999999999999</v>
      </c>
      <c r="H15" s="9"/>
      <c r="I15" s="24">
        <v>0</v>
      </c>
      <c r="J15" s="1">
        <v>16</v>
      </c>
      <c r="K15" s="1">
        <v>0</v>
      </c>
      <c r="L15" s="24">
        <v>0</v>
      </c>
      <c r="M15" s="24">
        <f t="shared" si="0"/>
        <v>16</v>
      </c>
      <c r="N15" s="2"/>
    </row>
    <row r="16" spans="1:14" ht="19.5" customHeight="1">
      <c r="A16" s="8">
        <v>43628</v>
      </c>
      <c r="B16" s="57"/>
      <c r="C16" s="57"/>
      <c r="D16" s="22">
        <v>213.8</v>
      </c>
      <c r="E16" s="34">
        <v>949</v>
      </c>
      <c r="F16" s="25">
        <v>203.94</v>
      </c>
      <c r="G16" s="11">
        <v>154.66999999999999</v>
      </c>
      <c r="H16" s="9"/>
      <c r="I16" s="24">
        <v>0</v>
      </c>
      <c r="J16" s="1">
        <v>16</v>
      </c>
      <c r="K16" s="1">
        <v>0</v>
      </c>
      <c r="L16" s="24">
        <v>0</v>
      </c>
      <c r="M16" s="24">
        <f t="shared" si="0"/>
        <v>16</v>
      </c>
      <c r="N16" s="2"/>
    </row>
    <row r="17" spans="1:15" ht="19.5" customHeight="1">
      <c r="A17" s="8">
        <v>43629</v>
      </c>
      <c r="B17" s="57"/>
      <c r="C17" s="57"/>
      <c r="D17" s="22">
        <v>213.8</v>
      </c>
      <c r="E17" s="34">
        <v>949</v>
      </c>
      <c r="F17" s="25">
        <v>203.89</v>
      </c>
      <c r="G17" s="11">
        <v>151.85</v>
      </c>
      <c r="H17" s="9"/>
      <c r="I17" s="24">
        <v>0</v>
      </c>
      <c r="J17" s="1">
        <v>16</v>
      </c>
      <c r="K17" s="1">
        <v>0</v>
      </c>
      <c r="L17" s="24">
        <v>0</v>
      </c>
      <c r="M17" s="24">
        <f t="shared" si="0"/>
        <v>16</v>
      </c>
      <c r="N17" s="2"/>
    </row>
    <row r="18" spans="1:15" ht="19.5" customHeight="1">
      <c r="A18" s="8">
        <v>43630</v>
      </c>
      <c r="B18" s="57"/>
      <c r="C18" s="57"/>
      <c r="D18" s="22">
        <v>213.8</v>
      </c>
      <c r="E18" s="34">
        <v>949</v>
      </c>
      <c r="F18" s="25">
        <v>203.88</v>
      </c>
      <c r="G18" s="11">
        <v>151.49</v>
      </c>
      <c r="H18" s="9">
        <v>12</v>
      </c>
      <c r="I18" s="24">
        <v>0</v>
      </c>
      <c r="J18" s="1">
        <v>16</v>
      </c>
      <c r="K18" s="1">
        <v>0</v>
      </c>
      <c r="L18" s="24">
        <v>0</v>
      </c>
      <c r="M18" s="24">
        <f t="shared" si="0"/>
        <v>16</v>
      </c>
      <c r="N18" s="2"/>
    </row>
    <row r="19" spans="1:15" ht="19.5" customHeight="1">
      <c r="A19" s="8">
        <v>43631</v>
      </c>
      <c r="B19" s="57"/>
      <c r="C19" s="57"/>
      <c r="D19" s="22">
        <v>213.8</v>
      </c>
      <c r="E19" s="34">
        <v>949</v>
      </c>
      <c r="F19" s="25">
        <v>203.88</v>
      </c>
      <c r="G19" s="11">
        <v>151.49</v>
      </c>
      <c r="H19" s="9">
        <v>16</v>
      </c>
      <c r="I19" s="24">
        <v>0</v>
      </c>
      <c r="J19" s="1">
        <v>16</v>
      </c>
      <c r="K19" s="1">
        <v>0</v>
      </c>
      <c r="L19" s="24">
        <v>0</v>
      </c>
      <c r="M19" s="24">
        <f t="shared" si="0"/>
        <v>16</v>
      </c>
      <c r="N19" s="2"/>
    </row>
    <row r="20" spans="1:15" ht="19.5" customHeight="1">
      <c r="A20" s="8">
        <v>43632</v>
      </c>
      <c r="B20" s="57"/>
      <c r="C20" s="57"/>
      <c r="D20" s="22">
        <v>213.8</v>
      </c>
      <c r="E20" s="34">
        <v>949</v>
      </c>
      <c r="F20" s="25">
        <v>203.79</v>
      </c>
      <c r="G20" s="11">
        <v>146.55000000000001</v>
      </c>
      <c r="H20" s="9"/>
      <c r="I20" s="24">
        <v>0</v>
      </c>
      <c r="J20" s="1">
        <v>0</v>
      </c>
      <c r="K20" s="1">
        <v>0</v>
      </c>
      <c r="L20" s="24">
        <v>16</v>
      </c>
      <c r="M20" s="24">
        <f t="shared" si="0"/>
        <v>16</v>
      </c>
      <c r="N20" s="2"/>
    </row>
    <row r="21" spans="1:15" ht="19.5" customHeight="1">
      <c r="A21" s="8">
        <v>43633</v>
      </c>
      <c r="B21" s="57"/>
      <c r="C21" s="57"/>
      <c r="D21" s="22">
        <v>213.8</v>
      </c>
      <c r="E21" s="34">
        <v>949</v>
      </c>
      <c r="F21" s="25">
        <v>203.79</v>
      </c>
      <c r="G21" s="11">
        <v>146.55000000000001</v>
      </c>
      <c r="H21" s="9"/>
      <c r="I21" s="24">
        <v>0</v>
      </c>
      <c r="J21" s="1">
        <v>16</v>
      </c>
      <c r="K21" s="1">
        <v>0</v>
      </c>
      <c r="L21" s="24">
        <v>0</v>
      </c>
      <c r="M21" s="24">
        <f t="shared" si="0"/>
        <v>16</v>
      </c>
      <c r="N21" s="2"/>
    </row>
    <row r="22" spans="1:15" ht="19.5" customHeight="1">
      <c r="A22" s="8">
        <v>43634</v>
      </c>
      <c r="B22" s="57"/>
      <c r="C22" s="57"/>
      <c r="D22" s="22">
        <v>213.8</v>
      </c>
      <c r="E22" s="34">
        <v>949</v>
      </c>
      <c r="F22" s="26">
        <v>203.77</v>
      </c>
      <c r="G22" s="11">
        <v>145.84</v>
      </c>
      <c r="H22" s="9">
        <v>8</v>
      </c>
      <c r="I22" s="24">
        <v>0</v>
      </c>
      <c r="J22" s="1">
        <v>16</v>
      </c>
      <c r="K22" s="1">
        <v>0</v>
      </c>
      <c r="L22" s="24">
        <v>0</v>
      </c>
      <c r="M22" s="24">
        <f t="shared" si="0"/>
        <v>16</v>
      </c>
      <c r="N22" s="2"/>
    </row>
    <row r="23" spans="1:15" ht="19.5" customHeight="1">
      <c r="A23" s="8">
        <v>43635</v>
      </c>
      <c r="B23" s="57"/>
      <c r="C23" s="57"/>
      <c r="D23" s="22">
        <v>213.8</v>
      </c>
      <c r="E23" s="34">
        <v>949</v>
      </c>
      <c r="F23" s="25">
        <v>203.74</v>
      </c>
      <c r="G23" s="11">
        <v>144.43</v>
      </c>
      <c r="H23" s="9"/>
      <c r="I23" s="24">
        <v>0</v>
      </c>
      <c r="J23" s="1">
        <v>16</v>
      </c>
      <c r="K23" s="1">
        <v>0</v>
      </c>
      <c r="L23" s="24">
        <v>0</v>
      </c>
      <c r="M23" s="24">
        <f t="shared" si="0"/>
        <v>16</v>
      </c>
      <c r="N23" s="2"/>
    </row>
    <row r="24" spans="1:15" ht="19.5" customHeight="1">
      <c r="A24" s="8">
        <v>43636</v>
      </c>
      <c r="B24" s="57"/>
      <c r="C24" s="57"/>
      <c r="D24" s="22">
        <v>213.8</v>
      </c>
      <c r="E24" s="34">
        <v>949</v>
      </c>
      <c r="F24" s="25">
        <v>203.74</v>
      </c>
      <c r="G24" s="11">
        <v>144.43</v>
      </c>
      <c r="H24" s="9">
        <v>16</v>
      </c>
      <c r="I24" s="24">
        <v>0</v>
      </c>
      <c r="J24" s="1">
        <v>16</v>
      </c>
      <c r="K24" s="1">
        <v>0</v>
      </c>
      <c r="L24" s="24">
        <v>0</v>
      </c>
      <c r="M24" s="24">
        <f t="shared" si="0"/>
        <v>16</v>
      </c>
      <c r="N24" s="2"/>
    </row>
    <row r="25" spans="1:15" ht="19.5" customHeight="1">
      <c r="A25" s="8">
        <v>43637</v>
      </c>
      <c r="B25" s="57"/>
      <c r="C25" s="57"/>
      <c r="D25" s="22">
        <v>213.8</v>
      </c>
      <c r="E25" s="34">
        <v>949</v>
      </c>
      <c r="F25" s="25">
        <v>203.74</v>
      </c>
      <c r="G25" s="11">
        <v>144.43</v>
      </c>
      <c r="H25" s="9">
        <v>16</v>
      </c>
      <c r="I25" s="24">
        <v>0</v>
      </c>
      <c r="J25" s="1">
        <v>16</v>
      </c>
      <c r="K25" s="1">
        <v>0</v>
      </c>
      <c r="L25" s="24">
        <v>0</v>
      </c>
      <c r="M25" s="24">
        <f t="shared" si="0"/>
        <v>16</v>
      </c>
      <c r="N25" s="2"/>
    </row>
    <row r="26" spans="1:15" ht="19.5" customHeight="1">
      <c r="A26" s="8">
        <v>43638</v>
      </c>
      <c r="B26" s="57"/>
      <c r="C26" s="57"/>
      <c r="D26" s="22">
        <v>213.8</v>
      </c>
      <c r="E26" s="34">
        <v>949</v>
      </c>
      <c r="F26" s="25">
        <v>203.78</v>
      </c>
      <c r="G26" s="11">
        <v>146.19999999999999</v>
      </c>
      <c r="H26" s="9">
        <v>36</v>
      </c>
      <c r="I26" s="24">
        <v>0</v>
      </c>
      <c r="J26" s="1">
        <v>16</v>
      </c>
      <c r="K26" s="1">
        <v>0</v>
      </c>
      <c r="L26" s="24">
        <v>0</v>
      </c>
      <c r="M26" s="24">
        <f t="shared" si="0"/>
        <v>16</v>
      </c>
      <c r="N26" s="2"/>
      <c r="O26" s="18"/>
    </row>
    <row r="27" spans="1:15" ht="19.5" customHeight="1">
      <c r="A27" s="8">
        <v>43639</v>
      </c>
      <c r="B27" s="57"/>
      <c r="C27" s="57"/>
      <c r="D27" s="22">
        <v>213.8</v>
      </c>
      <c r="E27" s="34">
        <v>949</v>
      </c>
      <c r="F27" s="25">
        <v>203.87</v>
      </c>
      <c r="G27" s="11">
        <v>150.79</v>
      </c>
      <c r="H27" s="9"/>
      <c r="I27" s="24">
        <v>0</v>
      </c>
      <c r="J27" s="1">
        <v>16</v>
      </c>
      <c r="K27" s="1">
        <v>0</v>
      </c>
      <c r="L27" s="24">
        <v>0</v>
      </c>
      <c r="M27" s="24">
        <f t="shared" si="0"/>
        <v>16</v>
      </c>
      <c r="N27" s="2"/>
    </row>
    <row r="28" spans="1:15" ht="19.5" customHeight="1">
      <c r="A28" s="8">
        <v>43640</v>
      </c>
      <c r="B28" s="57"/>
      <c r="C28" s="57"/>
      <c r="D28" s="22">
        <v>213.8</v>
      </c>
      <c r="E28" s="34">
        <v>949</v>
      </c>
      <c r="F28" s="25">
        <v>203.87</v>
      </c>
      <c r="G28" s="11">
        <v>150.79</v>
      </c>
      <c r="H28" s="9">
        <v>41</v>
      </c>
      <c r="I28" s="24">
        <v>0</v>
      </c>
      <c r="J28" s="1">
        <v>16</v>
      </c>
      <c r="K28" s="1">
        <v>0</v>
      </c>
      <c r="L28" s="24">
        <v>0</v>
      </c>
      <c r="M28" s="24">
        <f t="shared" si="0"/>
        <v>16</v>
      </c>
      <c r="N28" s="2"/>
    </row>
    <row r="29" spans="1:15" ht="19.5" customHeight="1">
      <c r="A29" s="8">
        <v>43641</v>
      </c>
      <c r="B29" s="57"/>
      <c r="C29" s="57"/>
      <c r="D29" s="22">
        <v>213.8</v>
      </c>
      <c r="E29" s="34">
        <v>949</v>
      </c>
      <c r="F29" s="25">
        <v>203.87</v>
      </c>
      <c r="G29" s="11">
        <v>150.79</v>
      </c>
      <c r="H29" s="9">
        <v>16</v>
      </c>
      <c r="I29" s="24">
        <v>0</v>
      </c>
      <c r="J29" s="1">
        <v>16</v>
      </c>
      <c r="K29" s="1">
        <v>0</v>
      </c>
      <c r="L29" s="24">
        <v>0</v>
      </c>
      <c r="M29" s="24">
        <f t="shared" si="0"/>
        <v>16</v>
      </c>
      <c r="N29" s="2"/>
    </row>
    <row r="30" spans="1:15" ht="19.5" customHeight="1">
      <c r="A30" s="8">
        <v>43642</v>
      </c>
      <c r="B30" s="57"/>
      <c r="C30" s="57"/>
      <c r="D30" s="22">
        <v>213.8</v>
      </c>
      <c r="E30" s="34">
        <v>949</v>
      </c>
      <c r="F30" s="25">
        <v>203.87</v>
      </c>
      <c r="G30" s="11">
        <v>150.79</v>
      </c>
      <c r="H30" s="9">
        <v>16</v>
      </c>
      <c r="I30" s="24">
        <v>0</v>
      </c>
      <c r="J30" s="1">
        <v>16</v>
      </c>
      <c r="K30" s="1">
        <v>0</v>
      </c>
      <c r="L30" s="24">
        <v>0</v>
      </c>
      <c r="M30" s="24">
        <f t="shared" si="0"/>
        <v>16</v>
      </c>
      <c r="N30" s="2"/>
    </row>
    <row r="31" spans="1:15" ht="21" customHeight="1">
      <c r="A31" s="8">
        <v>43643</v>
      </c>
      <c r="B31" s="57"/>
      <c r="C31" s="57"/>
      <c r="D31" s="22">
        <v>213.8</v>
      </c>
      <c r="E31" s="34">
        <v>949</v>
      </c>
      <c r="F31" s="25">
        <v>203.82</v>
      </c>
      <c r="G31" s="11">
        <v>148.32</v>
      </c>
      <c r="H31" s="9"/>
      <c r="I31" s="24">
        <v>0</v>
      </c>
      <c r="J31" s="1">
        <v>16</v>
      </c>
      <c r="K31" s="1">
        <v>0</v>
      </c>
      <c r="L31" s="24">
        <v>0</v>
      </c>
      <c r="M31" s="24">
        <f t="shared" si="0"/>
        <v>16</v>
      </c>
      <c r="N31" s="2"/>
    </row>
    <row r="32" spans="1:15" ht="21" customHeight="1">
      <c r="A32" s="8">
        <v>43644</v>
      </c>
      <c r="B32" s="57"/>
      <c r="C32" s="57"/>
      <c r="D32" s="22">
        <v>213.8</v>
      </c>
      <c r="E32" s="34">
        <v>949</v>
      </c>
      <c r="F32" s="25">
        <v>203.81</v>
      </c>
      <c r="G32" s="11">
        <v>147.61000000000001</v>
      </c>
      <c r="H32" s="9">
        <v>8</v>
      </c>
      <c r="I32" s="24">
        <v>0</v>
      </c>
      <c r="J32" s="1">
        <v>16</v>
      </c>
      <c r="K32" s="1">
        <v>0</v>
      </c>
      <c r="L32" s="24">
        <v>0</v>
      </c>
      <c r="M32" s="24">
        <f t="shared" si="0"/>
        <v>16</v>
      </c>
      <c r="N32" s="2"/>
    </row>
    <row r="33" spans="1:15" ht="21" customHeight="1">
      <c r="A33" s="8">
        <v>43645</v>
      </c>
      <c r="B33" s="57"/>
      <c r="C33" s="57"/>
      <c r="D33" s="22">
        <v>213.8</v>
      </c>
      <c r="E33" s="34">
        <v>949</v>
      </c>
      <c r="F33" s="25">
        <v>203.77</v>
      </c>
      <c r="G33" s="11">
        <v>145.85</v>
      </c>
      <c r="H33" s="9"/>
      <c r="I33" s="24">
        <v>0</v>
      </c>
      <c r="J33" s="1">
        <v>16</v>
      </c>
      <c r="K33" s="1">
        <v>0</v>
      </c>
      <c r="L33" s="24">
        <v>0</v>
      </c>
      <c r="M33" s="24">
        <f t="shared" si="0"/>
        <v>16</v>
      </c>
      <c r="N33" s="2"/>
    </row>
    <row r="34" spans="1:15" ht="21" customHeight="1">
      <c r="A34" s="8">
        <v>43646</v>
      </c>
      <c r="B34" s="57"/>
      <c r="C34" s="57"/>
      <c r="D34" s="22">
        <v>213.8</v>
      </c>
      <c r="E34" s="34">
        <v>949</v>
      </c>
      <c r="F34" s="25">
        <v>203.76</v>
      </c>
      <c r="G34" s="11">
        <v>145.49</v>
      </c>
      <c r="H34" s="9">
        <v>12</v>
      </c>
      <c r="I34" s="24">
        <v>0</v>
      </c>
      <c r="J34" s="1">
        <v>16</v>
      </c>
      <c r="K34" s="1">
        <v>0</v>
      </c>
      <c r="L34" s="24">
        <v>0</v>
      </c>
      <c r="M34" s="24">
        <f t="shared" si="0"/>
        <v>16</v>
      </c>
      <c r="N34" s="2"/>
    </row>
    <row r="35" spans="1:15" ht="21" customHeight="1">
      <c r="A35" s="12"/>
      <c r="B35" s="13"/>
      <c r="C35" s="13"/>
      <c r="D35" s="14"/>
      <c r="E35" s="37"/>
      <c r="F35" s="15"/>
      <c r="G35" s="14"/>
      <c r="H35" s="16">
        <f>SUM(H5:H34)</f>
        <v>277</v>
      </c>
      <c r="I35" s="16">
        <f t="shared" ref="I35:M35" si="1">SUM(I5:I34)</f>
        <v>0</v>
      </c>
      <c r="J35" s="16">
        <f t="shared" si="1"/>
        <v>304</v>
      </c>
      <c r="K35" s="16">
        <f t="shared" si="1"/>
        <v>0</v>
      </c>
      <c r="L35" s="16">
        <f t="shared" si="1"/>
        <v>160</v>
      </c>
      <c r="M35" s="16">
        <f t="shared" si="1"/>
        <v>464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2.3932953170900294E-2</v>
      </c>
      <c r="I36" s="5"/>
      <c r="J36" s="5">
        <f>J35/11574</f>
        <v>2.6265768100915847E-2</v>
      </c>
      <c r="K36" s="5">
        <f>K35/11574</f>
        <v>0</v>
      </c>
      <c r="L36" s="28"/>
      <c r="M36" s="28"/>
      <c r="N36" s="7"/>
    </row>
    <row r="37" spans="1:15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5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5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5" zoomScale="60" workbookViewId="0">
      <selection activeCell="G35" sqref="G5:G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43647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203.74</v>
      </c>
      <c r="G5" s="11">
        <v>144.43</v>
      </c>
      <c r="H5" s="9">
        <v>4</v>
      </c>
      <c r="I5" s="24">
        <v>0</v>
      </c>
      <c r="J5" s="1">
        <v>16</v>
      </c>
      <c r="K5" s="1">
        <v>0</v>
      </c>
      <c r="L5" s="24">
        <v>0</v>
      </c>
      <c r="M5" s="24">
        <f>L5+K5+J5+I5</f>
        <v>16</v>
      </c>
      <c r="N5" s="2"/>
    </row>
    <row r="6" spans="1:14" ht="19.5" customHeight="1">
      <c r="A6" s="8">
        <v>43648</v>
      </c>
      <c r="B6" s="57"/>
      <c r="C6" s="57"/>
      <c r="D6" s="22">
        <v>213.8</v>
      </c>
      <c r="E6" s="34">
        <v>949</v>
      </c>
      <c r="F6" s="25">
        <v>203.72</v>
      </c>
      <c r="G6" s="11">
        <v>143.37</v>
      </c>
      <c r="H6" s="9">
        <v>4</v>
      </c>
      <c r="I6" s="24">
        <v>0</v>
      </c>
      <c r="J6" s="1">
        <v>16</v>
      </c>
      <c r="K6" s="1">
        <v>0</v>
      </c>
      <c r="L6" s="24">
        <v>0</v>
      </c>
      <c r="M6" s="24">
        <f t="shared" ref="M6:M35" si="0">L6+K6+J6+I6</f>
        <v>16</v>
      </c>
      <c r="N6" s="2"/>
    </row>
    <row r="7" spans="1:14" ht="19.5" customHeight="1">
      <c r="A7" s="8">
        <v>43649</v>
      </c>
      <c r="B7" s="57"/>
      <c r="C7" s="57"/>
      <c r="D7" s="22">
        <v>213.8</v>
      </c>
      <c r="E7" s="34">
        <v>949</v>
      </c>
      <c r="F7" s="25">
        <v>203.72</v>
      </c>
      <c r="G7" s="11">
        <v>143.37</v>
      </c>
      <c r="H7" s="9">
        <v>16</v>
      </c>
      <c r="I7" s="24">
        <v>0</v>
      </c>
      <c r="J7" s="1">
        <v>16</v>
      </c>
      <c r="K7" s="1">
        <v>0</v>
      </c>
      <c r="L7" s="24">
        <v>0</v>
      </c>
      <c r="M7" s="24">
        <f t="shared" si="0"/>
        <v>16</v>
      </c>
      <c r="N7" s="2"/>
    </row>
    <row r="8" spans="1:14" ht="19.5" customHeight="1">
      <c r="A8" s="8">
        <v>43650</v>
      </c>
      <c r="B8" s="57"/>
      <c r="C8" s="57"/>
      <c r="D8" s="22">
        <v>213.8</v>
      </c>
      <c r="E8" s="34">
        <v>949</v>
      </c>
      <c r="F8" s="25">
        <v>203.71</v>
      </c>
      <c r="G8" s="11">
        <v>143.02000000000001</v>
      </c>
      <c r="H8" s="9">
        <v>12</v>
      </c>
      <c r="I8" s="24">
        <v>0</v>
      </c>
      <c r="J8" s="1">
        <v>16</v>
      </c>
      <c r="K8" s="1">
        <v>0</v>
      </c>
      <c r="L8" s="24">
        <v>0</v>
      </c>
      <c r="M8" s="24">
        <f t="shared" si="0"/>
        <v>16</v>
      </c>
      <c r="N8" s="2"/>
    </row>
    <row r="9" spans="1:14" ht="19.5" customHeight="1">
      <c r="A9" s="8">
        <v>43651</v>
      </c>
      <c r="B9" s="57"/>
      <c r="C9" s="57"/>
      <c r="D9" s="22">
        <v>213.8</v>
      </c>
      <c r="E9" s="34">
        <v>949</v>
      </c>
      <c r="F9" s="25">
        <v>203.68</v>
      </c>
      <c r="G9" s="11">
        <v>141.61000000000001</v>
      </c>
      <c r="H9" s="9"/>
      <c r="I9" s="24">
        <v>0</v>
      </c>
      <c r="J9" s="1">
        <v>16</v>
      </c>
      <c r="K9" s="1">
        <v>0</v>
      </c>
      <c r="L9" s="24">
        <v>0</v>
      </c>
      <c r="M9" s="24">
        <f t="shared" si="0"/>
        <v>16</v>
      </c>
      <c r="N9" s="2"/>
    </row>
    <row r="10" spans="1:14" ht="19.5" customHeight="1">
      <c r="A10" s="8">
        <v>43652</v>
      </c>
      <c r="B10" s="57"/>
      <c r="C10" s="57"/>
      <c r="D10" s="22">
        <v>213.8</v>
      </c>
      <c r="E10" s="34">
        <v>949</v>
      </c>
      <c r="F10" s="25">
        <v>203.69</v>
      </c>
      <c r="G10" s="11">
        <v>141.96</v>
      </c>
      <c r="H10" s="9">
        <v>20</v>
      </c>
      <c r="I10" s="24">
        <v>0</v>
      </c>
      <c r="J10" s="1">
        <v>16</v>
      </c>
      <c r="K10" s="1">
        <v>0</v>
      </c>
      <c r="L10" s="24">
        <v>0</v>
      </c>
      <c r="M10" s="24">
        <f t="shared" si="0"/>
        <v>16</v>
      </c>
      <c r="N10" s="2"/>
    </row>
    <row r="11" spans="1:14" ht="19.5" customHeight="1">
      <c r="A11" s="8">
        <v>43653</v>
      </c>
      <c r="B11" s="57"/>
      <c r="C11" s="57"/>
      <c r="D11" s="22">
        <v>213.8</v>
      </c>
      <c r="E11" s="34">
        <v>949</v>
      </c>
      <c r="F11" s="25">
        <v>203.69</v>
      </c>
      <c r="G11" s="11">
        <v>141.96</v>
      </c>
      <c r="H11" s="9">
        <v>16</v>
      </c>
      <c r="I11" s="24">
        <v>0</v>
      </c>
      <c r="J11" s="1">
        <v>16</v>
      </c>
      <c r="K11" s="1">
        <v>0</v>
      </c>
      <c r="L11" s="24">
        <v>0</v>
      </c>
      <c r="M11" s="24">
        <f t="shared" si="0"/>
        <v>16</v>
      </c>
      <c r="N11" s="2"/>
    </row>
    <row r="12" spans="1:14" ht="19.5" customHeight="1">
      <c r="A12" s="8">
        <v>43654</v>
      </c>
      <c r="B12" s="57"/>
      <c r="C12" s="57"/>
      <c r="D12" s="22">
        <v>213.8</v>
      </c>
      <c r="E12" s="34">
        <v>949</v>
      </c>
      <c r="F12" s="25">
        <v>203.71</v>
      </c>
      <c r="G12" s="11">
        <v>143.02000000000001</v>
      </c>
      <c r="H12" s="9">
        <v>28</v>
      </c>
      <c r="I12" s="24">
        <v>0</v>
      </c>
      <c r="J12" s="1">
        <v>16</v>
      </c>
      <c r="K12" s="1">
        <v>0</v>
      </c>
      <c r="L12" s="24">
        <v>0</v>
      </c>
      <c r="M12" s="24">
        <f t="shared" si="0"/>
        <v>16</v>
      </c>
      <c r="N12" s="2"/>
    </row>
    <row r="13" spans="1:14" ht="19.5" customHeight="1">
      <c r="A13" s="8">
        <v>43655</v>
      </c>
      <c r="B13" s="57"/>
      <c r="C13" s="57"/>
      <c r="D13" s="22">
        <v>213.8</v>
      </c>
      <c r="E13" s="34">
        <v>949</v>
      </c>
      <c r="F13" s="25">
        <v>203.71</v>
      </c>
      <c r="G13" s="11">
        <v>143.02000000000001</v>
      </c>
      <c r="H13" s="9">
        <v>16</v>
      </c>
      <c r="I13" s="24">
        <v>0</v>
      </c>
      <c r="J13" s="1">
        <v>16</v>
      </c>
      <c r="K13" s="1">
        <v>0</v>
      </c>
      <c r="L13" s="24">
        <v>0</v>
      </c>
      <c r="M13" s="24">
        <f t="shared" si="0"/>
        <v>16</v>
      </c>
      <c r="N13" s="2"/>
    </row>
    <row r="14" spans="1:14" ht="19.5" customHeight="1">
      <c r="A14" s="8">
        <v>43656</v>
      </c>
      <c r="B14" s="57"/>
      <c r="C14" s="57"/>
      <c r="D14" s="22">
        <v>213.8</v>
      </c>
      <c r="E14" s="34">
        <v>949</v>
      </c>
      <c r="F14" s="25">
        <v>203.71</v>
      </c>
      <c r="G14" s="11">
        <v>143.02000000000001</v>
      </c>
      <c r="H14" s="9">
        <v>16</v>
      </c>
      <c r="I14" s="24">
        <v>0</v>
      </c>
      <c r="J14" s="1">
        <v>16</v>
      </c>
      <c r="K14" s="1">
        <v>0</v>
      </c>
      <c r="L14" s="24">
        <v>0</v>
      </c>
      <c r="M14" s="24">
        <f t="shared" si="0"/>
        <v>16</v>
      </c>
      <c r="N14" s="2"/>
    </row>
    <row r="15" spans="1:14" ht="19.5" customHeight="1">
      <c r="A15" s="8">
        <v>43657</v>
      </c>
      <c r="B15" s="57"/>
      <c r="C15" s="57"/>
      <c r="D15" s="22">
        <v>213.8</v>
      </c>
      <c r="E15" s="34">
        <v>949</v>
      </c>
      <c r="F15" s="25">
        <v>203.71</v>
      </c>
      <c r="G15" s="11">
        <v>143.02000000000001</v>
      </c>
      <c r="H15" s="9">
        <v>16</v>
      </c>
      <c r="I15" s="24">
        <v>0</v>
      </c>
      <c r="J15" s="1">
        <v>16</v>
      </c>
      <c r="K15" s="1">
        <v>0</v>
      </c>
      <c r="L15" s="24">
        <v>0</v>
      </c>
      <c r="M15" s="24">
        <f t="shared" si="0"/>
        <v>16</v>
      </c>
      <c r="N15" s="2"/>
    </row>
    <row r="16" spans="1:14" ht="19.5" customHeight="1">
      <c r="A16" s="8">
        <v>43658</v>
      </c>
      <c r="B16" s="57"/>
      <c r="C16" s="57"/>
      <c r="D16" s="22">
        <v>213.8</v>
      </c>
      <c r="E16" s="34">
        <v>949</v>
      </c>
      <c r="F16" s="25">
        <v>203.68</v>
      </c>
      <c r="G16" s="11">
        <v>141.61000000000001</v>
      </c>
      <c r="H16" s="9"/>
      <c r="I16" s="24">
        <v>0</v>
      </c>
      <c r="J16" s="1">
        <v>16</v>
      </c>
      <c r="K16" s="1">
        <v>0</v>
      </c>
      <c r="L16" s="24">
        <v>0</v>
      </c>
      <c r="M16" s="24">
        <f t="shared" si="0"/>
        <v>16</v>
      </c>
      <c r="N16" s="2"/>
    </row>
    <row r="17" spans="1:15" ht="19.5" customHeight="1">
      <c r="A17" s="8">
        <v>43659</v>
      </c>
      <c r="B17" s="57"/>
      <c r="C17" s="57"/>
      <c r="D17" s="22">
        <v>213.8</v>
      </c>
      <c r="E17" s="34">
        <v>949</v>
      </c>
      <c r="F17" s="25">
        <v>203.68</v>
      </c>
      <c r="G17" s="11">
        <v>141.61000000000001</v>
      </c>
      <c r="H17" s="9">
        <v>16</v>
      </c>
      <c r="I17" s="24">
        <v>0</v>
      </c>
      <c r="J17" s="1">
        <v>16</v>
      </c>
      <c r="K17" s="1">
        <v>0</v>
      </c>
      <c r="L17" s="24">
        <v>0</v>
      </c>
      <c r="M17" s="24">
        <f t="shared" si="0"/>
        <v>16</v>
      </c>
      <c r="N17" s="2"/>
    </row>
    <row r="18" spans="1:15" ht="19.5" customHeight="1">
      <c r="A18" s="8">
        <v>43660</v>
      </c>
      <c r="B18" s="57"/>
      <c r="C18" s="57"/>
      <c r="D18" s="22">
        <v>213.8</v>
      </c>
      <c r="E18" s="34">
        <v>949</v>
      </c>
      <c r="F18" s="25">
        <v>203.66</v>
      </c>
      <c r="G18" s="11">
        <v>140.9</v>
      </c>
      <c r="H18" s="9"/>
      <c r="I18" s="24">
        <v>0</v>
      </c>
      <c r="J18" s="1">
        <v>16</v>
      </c>
      <c r="K18" s="1">
        <v>0</v>
      </c>
      <c r="L18" s="24">
        <v>0</v>
      </c>
      <c r="M18" s="24">
        <f t="shared" si="0"/>
        <v>16</v>
      </c>
      <c r="N18" s="2"/>
    </row>
    <row r="19" spans="1:15" ht="19.5" customHeight="1">
      <c r="A19" s="8">
        <v>43661</v>
      </c>
      <c r="B19" s="57"/>
      <c r="C19" s="57"/>
      <c r="D19" s="22">
        <v>213.8</v>
      </c>
      <c r="E19" s="34">
        <v>949</v>
      </c>
      <c r="F19" s="25">
        <v>203.64</v>
      </c>
      <c r="G19" s="11">
        <v>139.84</v>
      </c>
      <c r="H19" s="9">
        <v>4</v>
      </c>
      <c r="I19" s="24">
        <v>0</v>
      </c>
      <c r="J19" s="1">
        <v>16</v>
      </c>
      <c r="K19" s="1">
        <v>0</v>
      </c>
      <c r="L19" s="24">
        <v>0</v>
      </c>
      <c r="M19" s="24">
        <f t="shared" si="0"/>
        <v>16</v>
      </c>
      <c r="N19" s="2"/>
    </row>
    <row r="20" spans="1:15" ht="19.5" customHeight="1">
      <c r="A20" s="8">
        <v>43662</v>
      </c>
      <c r="B20" s="57"/>
      <c r="C20" s="57"/>
      <c r="D20" s="22">
        <v>213.8</v>
      </c>
      <c r="E20" s="34">
        <v>949</v>
      </c>
      <c r="F20" s="25">
        <v>203.64</v>
      </c>
      <c r="G20" s="11">
        <v>139.84</v>
      </c>
      <c r="H20" s="9">
        <v>40</v>
      </c>
      <c r="I20" s="24">
        <v>0</v>
      </c>
      <c r="J20" s="1">
        <v>16</v>
      </c>
      <c r="K20" s="1">
        <v>0</v>
      </c>
      <c r="L20" s="24">
        <v>0</v>
      </c>
      <c r="M20" s="24">
        <f t="shared" si="0"/>
        <v>16</v>
      </c>
      <c r="N20" s="2"/>
    </row>
    <row r="21" spans="1:15" ht="19.5" customHeight="1">
      <c r="A21" s="8">
        <v>43663</v>
      </c>
      <c r="B21" s="57"/>
      <c r="C21" s="57"/>
      <c r="D21" s="22">
        <v>213.8</v>
      </c>
      <c r="E21" s="34">
        <v>949</v>
      </c>
      <c r="F21" s="25">
        <v>203.58</v>
      </c>
      <c r="G21" s="11">
        <v>137.01</v>
      </c>
      <c r="H21" s="9"/>
      <c r="I21" s="24">
        <v>0</v>
      </c>
      <c r="J21" s="1">
        <v>16</v>
      </c>
      <c r="K21" s="1">
        <v>0</v>
      </c>
      <c r="L21" s="24">
        <v>0</v>
      </c>
      <c r="M21" s="24">
        <f t="shared" si="0"/>
        <v>16</v>
      </c>
      <c r="N21" s="2"/>
    </row>
    <row r="22" spans="1:15" ht="19.5" customHeight="1">
      <c r="A22" s="8">
        <v>43664</v>
      </c>
      <c r="B22" s="57"/>
      <c r="C22" s="57"/>
      <c r="D22" s="22">
        <v>213.8</v>
      </c>
      <c r="E22" s="34">
        <v>949</v>
      </c>
      <c r="F22" s="25">
        <v>203.68</v>
      </c>
      <c r="G22" s="11">
        <v>141.61000000000001</v>
      </c>
      <c r="H22" s="9">
        <v>69</v>
      </c>
      <c r="I22" s="24">
        <v>0</v>
      </c>
      <c r="J22" s="1">
        <v>16</v>
      </c>
      <c r="K22" s="1">
        <v>0</v>
      </c>
      <c r="L22" s="24">
        <v>0</v>
      </c>
      <c r="M22" s="24">
        <f t="shared" si="0"/>
        <v>16</v>
      </c>
      <c r="N22" s="2"/>
    </row>
    <row r="23" spans="1:15" ht="19.5" customHeight="1">
      <c r="A23" s="8">
        <v>43665</v>
      </c>
      <c r="B23" s="57"/>
      <c r="C23" s="57"/>
      <c r="D23" s="22">
        <v>213.8</v>
      </c>
      <c r="E23" s="34">
        <v>949</v>
      </c>
      <c r="F23" s="25">
        <v>203.92</v>
      </c>
      <c r="G23" s="11">
        <v>143.62</v>
      </c>
      <c r="H23" s="9">
        <v>155</v>
      </c>
      <c r="I23" s="24">
        <v>0</v>
      </c>
      <c r="J23" s="1">
        <v>16</v>
      </c>
      <c r="K23" s="1">
        <v>0</v>
      </c>
      <c r="L23" s="24">
        <v>0</v>
      </c>
      <c r="M23" s="24">
        <f t="shared" si="0"/>
        <v>16</v>
      </c>
      <c r="N23" s="2"/>
    </row>
    <row r="24" spans="1:15" ht="19.5" customHeight="1">
      <c r="A24" s="8">
        <v>43666</v>
      </c>
      <c r="B24" s="57"/>
      <c r="C24" s="57"/>
      <c r="D24" s="22">
        <v>213.8</v>
      </c>
      <c r="E24" s="34">
        <v>949</v>
      </c>
      <c r="F24" s="25">
        <v>203.94</v>
      </c>
      <c r="G24" s="11">
        <v>154.66999999999999</v>
      </c>
      <c r="H24" s="9">
        <v>28</v>
      </c>
      <c r="I24" s="24">
        <v>0</v>
      </c>
      <c r="J24" s="1">
        <v>16</v>
      </c>
      <c r="K24" s="1">
        <v>0</v>
      </c>
      <c r="L24" s="24">
        <v>0</v>
      </c>
      <c r="M24" s="24">
        <f t="shared" si="0"/>
        <v>16</v>
      </c>
      <c r="N24" s="2"/>
    </row>
    <row r="25" spans="1:15" ht="19.5" customHeight="1">
      <c r="A25" s="8">
        <v>43667</v>
      </c>
      <c r="B25" s="57"/>
      <c r="C25" s="57"/>
      <c r="D25" s="22">
        <v>213.8</v>
      </c>
      <c r="E25" s="34">
        <v>949</v>
      </c>
      <c r="F25" s="25">
        <v>203.94</v>
      </c>
      <c r="G25" s="11">
        <v>154.66999999999999</v>
      </c>
      <c r="H25" s="9">
        <v>16</v>
      </c>
      <c r="I25" s="24">
        <v>0</v>
      </c>
      <c r="J25" s="1">
        <v>16</v>
      </c>
      <c r="K25" s="1">
        <v>0</v>
      </c>
      <c r="L25" s="24">
        <v>0</v>
      </c>
      <c r="M25" s="24">
        <f t="shared" si="0"/>
        <v>16</v>
      </c>
      <c r="N25" s="2"/>
    </row>
    <row r="26" spans="1:15" ht="19.5" customHeight="1">
      <c r="A26" s="8">
        <v>43668</v>
      </c>
      <c r="B26" s="57"/>
      <c r="C26" s="57"/>
      <c r="D26" s="22">
        <v>213.8</v>
      </c>
      <c r="E26" s="34">
        <v>949</v>
      </c>
      <c r="F26" s="25">
        <v>203.94</v>
      </c>
      <c r="G26" s="11">
        <v>154.66999999999999</v>
      </c>
      <c r="H26" s="9">
        <v>16</v>
      </c>
      <c r="I26" s="24">
        <v>0</v>
      </c>
      <c r="J26" s="1">
        <v>16</v>
      </c>
      <c r="K26" s="1">
        <v>0</v>
      </c>
      <c r="L26" s="24">
        <v>0</v>
      </c>
      <c r="M26" s="24">
        <f t="shared" si="0"/>
        <v>16</v>
      </c>
      <c r="N26" s="2"/>
      <c r="O26" s="18"/>
    </row>
    <row r="27" spans="1:15" ht="19.5" customHeight="1">
      <c r="A27" s="8">
        <v>43669</v>
      </c>
      <c r="B27" s="57"/>
      <c r="C27" s="57"/>
      <c r="D27" s="22">
        <v>213.8</v>
      </c>
      <c r="E27" s="34">
        <v>949</v>
      </c>
      <c r="F27" s="25">
        <v>203.94</v>
      </c>
      <c r="G27" s="11">
        <v>154.66999999999999</v>
      </c>
      <c r="H27" s="9">
        <v>16</v>
      </c>
      <c r="I27" s="24">
        <v>0</v>
      </c>
      <c r="J27" s="1">
        <v>16</v>
      </c>
      <c r="K27" s="1">
        <v>0</v>
      </c>
      <c r="L27" s="24">
        <v>0</v>
      </c>
      <c r="M27" s="24">
        <f t="shared" si="0"/>
        <v>16</v>
      </c>
      <c r="N27" s="2"/>
    </row>
    <row r="28" spans="1:15" ht="19.5" customHeight="1">
      <c r="A28" s="8">
        <v>43670</v>
      </c>
      <c r="B28" s="57"/>
      <c r="C28" s="57"/>
      <c r="D28" s="22">
        <v>213.8</v>
      </c>
      <c r="E28" s="34">
        <v>949</v>
      </c>
      <c r="F28" s="25">
        <v>203.91</v>
      </c>
      <c r="G28" s="11">
        <v>152.9</v>
      </c>
      <c r="H28" s="9"/>
      <c r="I28" s="24">
        <v>0</v>
      </c>
      <c r="J28" s="1">
        <v>16</v>
      </c>
      <c r="K28" s="1">
        <v>0</v>
      </c>
      <c r="L28" s="24">
        <v>0</v>
      </c>
      <c r="M28" s="24">
        <f t="shared" si="0"/>
        <v>16</v>
      </c>
      <c r="N28" s="2"/>
    </row>
    <row r="29" spans="1:15" ht="19.5" customHeight="1">
      <c r="A29" s="8">
        <v>43671</v>
      </c>
      <c r="B29" s="57"/>
      <c r="C29" s="57"/>
      <c r="D29" s="22">
        <v>213.8</v>
      </c>
      <c r="E29" s="34">
        <v>949</v>
      </c>
      <c r="F29" s="25">
        <v>203.88</v>
      </c>
      <c r="G29" s="11">
        <v>159.49</v>
      </c>
      <c r="H29" s="9"/>
      <c r="I29" s="24">
        <v>0</v>
      </c>
      <c r="J29" s="1">
        <v>16</v>
      </c>
      <c r="K29" s="1">
        <v>0</v>
      </c>
      <c r="L29" s="24">
        <v>0</v>
      </c>
      <c r="M29" s="24">
        <f t="shared" si="0"/>
        <v>16</v>
      </c>
      <c r="N29" s="2"/>
    </row>
    <row r="30" spans="1:15" ht="19.5" customHeight="1">
      <c r="A30" s="8">
        <v>43672</v>
      </c>
      <c r="B30" s="57"/>
      <c r="C30" s="57"/>
      <c r="D30" s="22">
        <v>213.8</v>
      </c>
      <c r="E30" s="34">
        <v>949</v>
      </c>
      <c r="F30" s="25">
        <v>203.87</v>
      </c>
      <c r="G30" s="11">
        <v>150.79</v>
      </c>
      <c r="H30" s="9">
        <v>8</v>
      </c>
      <c r="I30" s="24">
        <v>0</v>
      </c>
      <c r="J30" s="1">
        <v>16</v>
      </c>
      <c r="K30" s="1">
        <v>0</v>
      </c>
      <c r="L30" s="24">
        <v>0</v>
      </c>
      <c r="M30" s="24">
        <f t="shared" si="0"/>
        <v>16</v>
      </c>
      <c r="N30" s="2"/>
    </row>
    <row r="31" spans="1:15" ht="21" customHeight="1">
      <c r="A31" s="8">
        <v>43673</v>
      </c>
      <c r="B31" s="57"/>
      <c r="C31" s="57"/>
      <c r="D31" s="22">
        <v>213.8</v>
      </c>
      <c r="E31" s="34">
        <v>949</v>
      </c>
      <c r="F31" s="25">
        <v>203.92</v>
      </c>
      <c r="G31" s="11">
        <v>153.62</v>
      </c>
      <c r="H31" s="9">
        <v>49</v>
      </c>
      <c r="I31" s="24">
        <v>0</v>
      </c>
      <c r="J31" s="1">
        <v>16</v>
      </c>
      <c r="K31" s="1">
        <v>0</v>
      </c>
      <c r="L31" s="24">
        <v>0</v>
      </c>
      <c r="M31" s="24">
        <f t="shared" si="0"/>
        <v>16</v>
      </c>
      <c r="N31" s="2"/>
    </row>
    <row r="32" spans="1:15" ht="21" customHeight="1">
      <c r="A32" s="8">
        <v>43674</v>
      </c>
      <c r="B32" s="57"/>
      <c r="C32" s="57"/>
      <c r="D32" s="22">
        <v>213.8</v>
      </c>
      <c r="E32" s="34">
        <v>949</v>
      </c>
      <c r="F32" s="25">
        <v>203.99</v>
      </c>
      <c r="G32" s="11">
        <v>157.13999999999999</v>
      </c>
      <c r="H32" s="9">
        <v>57</v>
      </c>
      <c r="I32" s="24">
        <v>0</v>
      </c>
      <c r="J32" s="1">
        <v>16</v>
      </c>
      <c r="K32" s="1">
        <v>0</v>
      </c>
      <c r="L32" s="24">
        <v>0</v>
      </c>
      <c r="M32" s="24">
        <f t="shared" si="0"/>
        <v>16</v>
      </c>
      <c r="N32" s="2"/>
    </row>
    <row r="33" spans="1:15" ht="21" customHeight="1">
      <c r="A33" s="8">
        <v>43675</v>
      </c>
      <c r="B33" s="57"/>
      <c r="C33" s="57"/>
      <c r="D33" s="22">
        <v>213.8</v>
      </c>
      <c r="E33" s="34">
        <v>949</v>
      </c>
      <c r="F33" s="25">
        <v>204.07</v>
      </c>
      <c r="G33" s="11">
        <v>161.38</v>
      </c>
      <c r="H33" s="9">
        <v>6</v>
      </c>
      <c r="I33" s="24">
        <v>0</v>
      </c>
      <c r="J33" s="1">
        <v>16</v>
      </c>
      <c r="K33" s="1">
        <v>0</v>
      </c>
      <c r="L33" s="24">
        <v>0</v>
      </c>
      <c r="M33" s="24">
        <f t="shared" si="0"/>
        <v>16</v>
      </c>
      <c r="N33" s="2"/>
    </row>
    <row r="34" spans="1:15" ht="21" customHeight="1">
      <c r="A34" s="8">
        <v>43676</v>
      </c>
      <c r="B34" s="57"/>
      <c r="C34" s="57"/>
      <c r="D34" s="22">
        <v>213.8</v>
      </c>
      <c r="E34" s="34">
        <v>949</v>
      </c>
      <c r="F34" s="25">
        <v>204.21</v>
      </c>
      <c r="G34" s="11">
        <v>166.32</v>
      </c>
      <c r="H34" s="9">
        <v>73</v>
      </c>
      <c r="I34" s="24">
        <v>0</v>
      </c>
      <c r="J34" s="1">
        <v>16</v>
      </c>
      <c r="K34" s="1">
        <v>0</v>
      </c>
      <c r="L34" s="24">
        <v>0</v>
      </c>
      <c r="M34" s="24">
        <f t="shared" si="0"/>
        <v>16</v>
      </c>
      <c r="N34" s="2"/>
    </row>
    <row r="35" spans="1:15" ht="21" customHeight="1">
      <c r="A35" s="8">
        <v>43677</v>
      </c>
      <c r="B35" s="58"/>
      <c r="C35" s="58"/>
      <c r="D35" s="23">
        <v>213.8</v>
      </c>
      <c r="E35" s="34">
        <v>949</v>
      </c>
      <c r="F35" s="25">
        <v>204.28</v>
      </c>
      <c r="G35" s="11">
        <v>171.98</v>
      </c>
      <c r="H35" s="9">
        <v>81</v>
      </c>
      <c r="I35" s="24">
        <v>0</v>
      </c>
      <c r="J35" s="1">
        <v>16</v>
      </c>
      <c r="K35" s="1">
        <v>0</v>
      </c>
      <c r="L35" s="24">
        <v>0</v>
      </c>
      <c r="M35" s="24">
        <f t="shared" si="0"/>
        <v>16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782</v>
      </c>
      <c r="I36" s="16">
        <f t="shared" ref="I36:M36" si="1">SUM(I5:I35)</f>
        <v>0</v>
      </c>
      <c r="J36" s="16">
        <f t="shared" si="1"/>
        <v>496</v>
      </c>
      <c r="K36" s="16">
        <f t="shared" si="1"/>
        <v>0</v>
      </c>
      <c r="L36" s="16">
        <f t="shared" si="1"/>
        <v>0</v>
      </c>
      <c r="M36" s="16">
        <f t="shared" si="1"/>
        <v>496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6.7565232417487478E-2</v>
      </c>
      <c r="I37" s="5"/>
      <c r="J37" s="5">
        <f>J36/11574</f>
        <v>4.2854674269915329E-2</v>
      </c>
      <c r="K37" s="5">
        <f>K36/11574</f>
        <v>0</v>
      </c>
      <c r="L37" s="28"/>
      <c r="M37" s="28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5" zoomScale="60" workbookViewId="0">
      <selection activeCell="G35" sqref="G5:G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43678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204.34</v>
      </c>
      <c r="G5" s="11">
        <v>175.86</v>
      </c>
      <c r="H5" s="9">
        <v>60</v>
      </c>
      <c r="I5" s="24">
        <v>0</v>
      </c>
      <c r="J5" s="1">
        <v>16</v>
      </c>
      <c r="K5" s="1">
        <v>0</v>
      </c>
      <c r="L5" s="24">
        <v>0</v>
      </c>
      <c r="M5" s="24">
        <f>L5+K5+J5+I5</f>
        <v>16</v>
      </c>
      <c r="N5" s="2"/>
    </row>
    <row r="6" spans="1:14" ht="19.5" customHeight="1">
      <c r="A6" s="8">
        <v>43679</v>
      </c>
      <c r="B6" s="57"/>
      <c r="C6" s="57"/>
      <c r="D6" s="22">
        <v>213.8</v>
      </c>
      <c r="E6" s="34">
        <v>949</v>
      </c>
      <c r="F6" s="25">
        <v>204.77</v>
      </c>
      <c r="G6" s="40">
        <v>177.2</v>
      </c>
      <c r="H6" s="9">
        <v>31</v>
      </c>
      <c r="I6" s="24">
        <v>0</v>
      </c>
      <c r="J6" s="1">
        <v>16</v>
      </c>
      <c r="K6" s="1">
        <v>0</v>
      </c>
      <c r="L6" s="24">
        <v>0</v>
      </c>
      <c r="M6" s="24">
        <f t="shared" ref="M6:M35" si="0">L6+K6+J6+I6</f>
        <v>16</v>
      </c>
      <c r="N6" s="2"/>
    </row>
    <row r="7" spans="1:14" ht="19.5" customHeight="1">
      <c r="A7" s="8">
        <v>43680</v>
      </c>
      <c r="B7" s="57"/>
      <c r="C7" s="57"/>
      <c r="D7" s="22">
        <v>213.8</v>
      </c>
      <c r="E7" s="34">
        <v>949</v>
      </c>
      <c r="F7" s="25">
        <v>204.48</v>
      </c>
      <c r="G7" s="11">
        <v>183.2</v>
      </c>
      <c r="H7" s="9">
        <v>85</v>
      </c>
      <c r="I7" s="24">
        <v>0</v>
      </c>
      <c r="J7" s="1">
        <v>16</v>
      </c>
      <c r="K7" s="1">
        <v>0</v>
      </c>
      <c r="L7" s="24">
        <v>0</v>
      </c>
      <c r="M7" s="24">
        <f t="shared" si="0"/>
        <v>16</v>
      </c>
      <c r="N7" s="2"/>
    </row>
    <row r="8" spans="1:14" ht="19.5" customHeight="1">
      <c r="A8" s="8">
        <v>43681</v>
      </c>
      <c r="B8" s="57"/>
      <c r="C8" s="57"/>
      <c r="D8" s="22">
        <v>213.8</v>
      </c>
      <c r="E8" s="34">
        <v>949</v>
      </c>
      <c r="F8" s="25">
        <v>204.59</v>
      </c>
      <c r="G8" s="11">
        <v>188.55</v>
      </c>
      <c r="H8" s="9">
        <v>81</v>
      </c>
      <c r="I8" s="24">
        <v>0</v>
      </c>
      <c r="J8" s="1">
        <v>16</v>
      </c>
      <c r="K8" s="1">
        <v>0</v>
      </c>
      <c r="L8" s="24">
        <v>0</v>
      </c>
      <c r="M8" s="24">
        <f t="shared" si="0"/>
        <v>16</v>
      </c>
      <c r="N8" s="2"/>
    </row>
    <row r="9" spans="1:14" ht="19.5" customHeight="1">
      <c r="A9" s="8">
        <v>43682</v>
      </c>
      <c r="B9" s="57"/>
      <c r="C9" s="57"/>
      <c r="D9" s="22">
        <v>213.8</v>
      </c>
      <c r="E9" s="34">
        <v>949</v>
      </c>
      <c r="F9" s="25">
        <v>204.67</v>
      </c>
      <c r="G9" s="11">
        <v>192.73</v>
      </c>
      <c r="H9" s="9">
        <v>80</v>
      </c>
      <c r="I9" s="24">
        <v>0</v>
      </c>
      <c r="J9" s="1">
        <v>16</v>
      </c>
      <c r="K9" s="1">
        <v>0</v>
      </c>
      <c r="L9" s="24">
        <v>0</v>
      </c>
      <c r="M9" s="24">
        <f t="shared" si="0"/>
        <v>16</v>
      </c>
      <c r="N9" s="2"/>
    </row>
    <row r="10" spans="1:14" ht="19.5" customHeight="1">
      <c r="A10" s="8">
        <v>43683</v>
      </c>
      <c r="B10" s="57"/>
      <c r="C10" s="57"/>
      <c r="D10" s="22">
        <v>213.8</v>
      </c>
      <c r="E10" s="34">
        <v>949</v>
      </c>
      <c r="F10" s="25">
        <v>204.7</v>
      </c>
      <c r="G10" s="11">
        <v>195.51</v>
      </c>
      <c r="H10" s="9">
        <v>52</v>
      </c>
      <c r="I10" s="24">
        <v>0</v>
      </c>
      <c r="J10" s="1">
        <v>16</v>
      </c>
      <c r="K10" s="1">
        <v>0</v>
      </c>
      <c r="L10" s="24">
        <v>0</v>
      </c>
      <c r="M10" s="24">
        <f t="shared" si="0"/>
        <v>16</v>
      </c>
      <c r="N10" s="2"/>
    </row>
    <row r="11" spans="1:14" ht="19.5" customHeight="1">
      <c r="A11" s="8">
        <v>43684</v>
      </c>
      <c r="B11" s="57"/>
      <c r="C11" s="57"/>
      <c r="D11" s="22">
        <v>213.8</v>
      </c>
      <c r="E11" s="34">
        <v>949</v>
      </c>
      <c r="F11" s="25">
        <v>204.81</v>
      </c>
      <c r="G11" s="11">
        <v>200.85</v>
      </c>
      <c r="H11" s="9">
        <v>73</v>
      </c>
      <c r="I11" s="24">
        <v>0</v>
      </c>
      <c r="J11" s="1">
        <v>16</v>
      </c>
      <c r="K11" s="1">
        <v>0</v>
      </c>
      <c r="L11" s="24">
        <v>0</v>
      </c>
      <c r="M11" s="24">
        <f t="shared" si="0"/>
        <v>16</v>
      </c>
      <c r="N11" s="2"/>
    </row>
    <row r="12" spans="1:14" ht="19.5" customHeight="1">
      <c r="A12" s="8">
        <v>43685</v>
      </c>
      <c r="B12" s="57"/>
      <c r="C12" s="57"/>
      <c r="D12" s="22">
        <v>213.8</v>
      </c>
      <c r="E12" s="34">
        <v>949</v>
      </c>
      <c r="F12" s="25">
        <v>205.02</v>
      </c>
      <c r="G12" s="11">
        <v>213.21</v>
      </c>
      <c r="H12" s="9">
        <v>159</v>
      </c>
      <c r="I12" s="24">
        <v>0</v>
      </c>
      <c r="J12" s="1">
        <v>16</v>
      </c>
      <c r="K12" s="1">
        <v>0</v>
      </c>
      <c r="L12" s="24">
        <v>0</v>
      </c>
      <c r="M12" s="24">
        <f t="shared" si="0"/>
        <v>16</v>
      </c>
      <c r="N12" s="2"/>
    </row>
    <row r="13" spans="1:14" ht="19.5" customHeight="1">
      <c r="A13" s="8">
        <v>43686</v>
      </c>
      <c r="B13" s="57"/>
      <c r="C13" s="57"/>
      <c r="D13" s="22">
        <v>213.8</v>
      </c>
      <c r="E13" s="34">
        <v>949</v>
      </c>
      <c r="F13" s="26">
        <v>205.19</v>
      </c>
      <c r="G13" s="25">
        <v>223.44</v>
      </c>
      <c r="H13" s="9">
        <v>134</v>
      </c>
      <c r="I13" s="24">
        <v>0</v>
      </c>
      <c r="J13" s="1">
        <v>16</v>
      </c>
      <c r="K13" s="1">
        <v>0</v>
      </c>
      <c r="L13" s="24">
        <v>0</v>
      </c>
      <c r="M13" s="24">
        <f t="shared" si="0"/>
        <v>16</v>
      </c>
      <c r="N13" s="2"/>
    </row>
    <row r="14" spans="1:14" ht="19.5" customHeight="1">
      <c r="A14" s="8">
        <v>43687</v>
      </c>
      <c r="B14" s="57"/>
      <c r="C14" s="57"/>
      <c r="D14" s="22">
        <v>213.8</v>
      </c>
      <c r="E14" s="34">
        <v>949</v>
      </c>
      <c r="F14" s="25">
        <v>205.79</v>
      </c>
      <c r="G14" s="11">
        <v>229.45</v>
      </c>
      <c r="H14" s="9">
        <v>85</v>
      </c>
      <c r="I14" s="24">
        <v>0</v>
      </c>
      <c r="J14" s="1">
        <v>16</v>
      </c>
      <c r="K14" s="1">
        <v>0</v>
      </c>
      <c r="L14" s="24">
        <v>0</v>
      </c>
      <c r="M14" s="24">
        <f t="shared" si="0"/>
        <v>16</v>
      </c>
      <c r="N14" s="2"/>
    </row>
    <row r="15" spans="1:14" ht="19.5" customHeight="1">
      <c r="A15" s="8">
        <v>43688</v>
      </c>
      <c r="B15" s="57"/>
      <c r="C15" s="57"/>
      <c r="D15" s="22">
        <v>213.8</v>
      </c>
      <c r="E15" s="34">
        <v>949</v>
      </c>
      <c r="F15" s="25">
        <v>205.34</v>
      </c>
      <c r="G15" s="11">
        <v>232.27</v>
      </c>
      <c r="H15" s="9">
        <v>33</v>
      </c>
      <c r="I15" s="24">
        <v>0</v>
      </c>
      <c r="J15" s="1">
        <v>0</v>
      </c>
      <c r="K15" s="1">
        <v>0</v>
      </c>
      <c r="L15" s="24">
        <v>0</v>
      </c>
      <c r="M15" s="24">
        <f t="shared" si="0"/>
        <v>0</v>
      </c>
      <c r="N15" s="2"/>
    </row>
    <row r="16" spans="1:14" ht="19.5" customHeight="1">
      <c r="A16" s="8">
        <v>43689</v>
      </c>
      <c r="B16" s="57"/>
      <c r="C16" s="57"/>
      <c r="D16" s="22">
        <v>213.8</v>
      </c>
      <c r="E16" s="34">
        <v>949</v>
      </c>
      <c r="F16" s="25">
        <v>205.39</v>
      </c>
      <c r="G16" s="11">
        <v>235.09</v>
      </c>
      <c r="H16" s="9">
        <v>33</v>
      </c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43690</v>
      </c>
      <c r="B17" s="57"/>
      <c r="C17" s="57"/>
      <c r="D17" s="22">
        <v>213.8</v>
      </c>
      <c r="E17" s="34">
        <v>949</v>
      </c>
      <c r="F17" s="25">
        <v>205.44</v>
      </c>
      <c r="G17" s="11">
        <v>238.27</v>
      </c>
      <c r="H17" s="9">
        <v>37</v>
      </c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43691</v>
      </c>
      <c r="B18" s="57"/>
      <c r="C18" s="57"/>
      <c r="D18" s="22">
        <v>213.8</v>
      </c>
      <c r="E18" s="34">
        <v>949</v>
      </c>
      <c r="F18" s="25">
        <v>205.47</v>
      </c>
      <c r="G18" s="11">
        <v>240.04</v>
      </c>
      <c r="H18" s="9">
        <v>20</v>
      </c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43692</v>
      </c>
      <c r="B19" s="57"/>
      <c r="C19" s="57"/>
      <c r="D19" s="22">
        <v>213.8</v>
      </c>
      <c r="E19" s="34">
        <v>949</v>
      </c>
      <c r="F19" s="25">
        <v>205.54</v>
      </c>
      <c r="G19" s="11">
        <v>244.27</v>
      </c>
      <c r="H19" s="9">
        <v>49</v>
      </c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43693</v>
      </c>
      <c r="B20" s="57"/>
      <c r="C20" s="57"/>
      <c r="D20" s="22">
        <v>213.8</v>
      </c>
      <c r="E20" s="34">
        <v>949</v>
      </c>
      <c r="F20" s="25">
        <v>205.57</v>
      </c>
      <c r="G20" s="11">
        <v>246.04</v>
      </c>
      <c r="H20" s="9">
        <v>21</v>
      </c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43694</v>
      </c>
      <c r="B21" s="57"/>
      <c r="C21" s="57"/>
      <c r="D21" s="22">
        <v>213.8</v>
      </c>
      <c r="E21" s="34">
        <v>949</v>
      </c>
      <c r="F21" s="25">
        <v>205.64</v>
      </c>
      <c r="G21" s="11">
        <v>250.27</v>
      </c>
      <c r="H21" s="9">
        <v>49</v>
      </c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43695</v>
      </c>
      <c r="B22" s="57"/>
      <c r="C22" s="57"/>
      <c r="D22" s="22">
        <v>213.8</v>
      </c>
      <c r="E22" s="34">
        <v>949</v>
      </c>
      <c r="F22" s="25">
        <v>205.68</v>
      </c>
      <c r="G22" s="11">
        <v>252.39</v>
      </c>
      <c r="H22" s="9">
        <v>44</v>
      </c>
      <c r="I22" s="24">
        <v>0</v>
      </c>
      <c r="J22" s="1">
        <v>10</v>
      </c>
      <c r="K22" s="1">
        <v>5</v>
      </c>
      <c r="L22" s="24">
        <v>0</v>
      </c>
      <c r="M22" s="24">
        <f t="shared" si="0"/>
        <v>15</v>
      </c>
      <c r="N22" s="2"/>
    </row>
    <row r="23" spans="1:15" ht="19.5" customHeight="1">
      <c r="A23" s="8">
        <v>43696</v>
      </c>
      <c r="B23" s="57"/>
      <c r="C23" s="57"/>
      <c r="D23" s="22">
        <v>213.8</v>
      </c>
      <c r="E23" s="34">
        <v>949</v>
      </c>
      <c r="F23" s="25">
        <v>205.78</v>
      </c>
      <c r="G23" s="11">
        <v>258.39</v>
      </c>
      <c r="H23" s="9">
        <v>114</v>
      </c>
      <c r="I23" s="24">
        <v>0</v>
      </c>
      <c r="J23" s="1">
        <v>30</v>
      </c>
      <c r="K23" s="1">
        <v>15</v>
      </c>
      <c r="L23" s="24">
        <v>0</v>
      </c>
      <c r="M23" s="24">
        <f t="shared" si="0"/>
        <v>45</v>
      </c>
      <c r="N23" s="2"/>
    </row>
    <row r="24" spans="1:15" ht="19.5" customHeight="1">
      <c r="A24" s="8">
        <v>43697</v>
      </c>
      <c r="B24" s="57"/>
      <c r="C24" s="57"/>
      <c r="D24" s="22">
        <v>213.8</v>
      </c>
      <c r="E24" s="34">
        <v>949</v>
      </c>
      <c r="F24" s="25">
        <v>205.76</v>
      </c>
      <c r="G24" s="11">
        <v>257.33</v>
      </c>
      <c r="H24" s="9">
        <v>47</v>
      </c>
      <c r="I24" s="24">
        <v>0</v>
      </c>
      <c r="J24" s="1">
        <v>30</v>
      </c>
      <c r="K24" s="1">
        <v>30</v>
      </c>
      <c r="L24" s="24">
        <v>0</v>
      </c>
      <c r="M24" s="24">
        <f t="shared" si="0"/>
        <v>60</v>
      </c>
      <c r="N24" s="2"/>
    </row>
    <row r="25" spans="1:15" ht="19.5" customHeight="1">
      <c r="A25" s="8">
        <v>43698</v>
      </c>
      <c r="B25" s="57"/>
      <c r="C25" s="57"/>
      <c r="D25" s="22">
        <v>213.8</v>
      </c>
      <c r="E25" s="34">
        <v>949</v>
      </c>
      <c r="F25" s="25">
        <v>205.69</v>
      </c>
      <c r="G25" s="11">
        <v>253.1</v>
      </c>
      <c r="H25" s="9">
        <v>11</v>
      </c>
      <c r="I25" s="24">
        <v>0</v>
      </c>
      <c r="J25" s="1">
        <v>30</v>
      </c>
      <c r="K25" s="1">
        <v>30</v>
      </c>
      <c r="L25" s="24">
        <v>0</v>
      </c>
      <c r="M25" s="24">
        <f t="shared" si="0"/>
        <v>60</v>
      </c>
      <c r="N25" s="2"/>
    </row>
    <row r="26" spans="1:15" ht="19.5" customHeight="1">
      <c r="A26" s="8">
        <v>43699</v>
      </c>
      <c r="B26" s="57"/>
      <c r="C26" s="57"/>
      <c r="D26" s="22">
        <v>213.8</v>
      </c>
      <c r="E26" s="34">
        <v>949</v>
      </c>
      <c r="F26" s="25">
        <v>205.71</v>
      </c>
      <c r="G26" s="11">
        <v>254.16</v>
      </c>
      <c r="H26" s="9">
        <v>87</v>
      </c>
      <c r="I26" s="24">
        <v>0</v>
      </c>
      <c r="J26" s="1">
        <v>45</v>
      </c>
      <c r="K26" s="1">
        <v>30</v>
      </c>
      <c r="L26" s="24">
        <v>0</v>
      </c>
      <c r="M26" s="24">
        <f t="shared" si="0"/>
        <v>75</v>
      </c>
      <c r="N26" s="2"/>
      <c r="O26" s="18"/>
    </row>
    <row r="27" spans="1:15" ht="19.5" customHeight="1">
      <c r="A27" s="8">
        <v>43700</v>
      </c>
      <c r="B27" s="57"/>
      <c r="C27" s="57"/>
      <c r="D27" s="22">
        <v>213.8</v>
      </c>
      <c r="E27" s="34">
        <v>949</v>
      </c>
      <c r="F27" s="25">
        <v>205.71</v>
      </c>
      <c r="G27" s="11">
        <v>249.57</v>
      </c>
      <c r="H27" s="9">
        <v>21</v>
      </c>
      <c r="I27" s="24">
        <v>0</v>
      </c>
      <c r="J27" s="1">
        <v>45</v>
      </c>
      <c r="K27" s="1">
        <v>30</v>
      </c>
      <c r="L27" s="24">
        <v>0</v>
      </c>
      <c r="M27" s="24">
        <f t="shared" si="0"/>
        <v>75</v>
      </c>
      <c r="N27" s="2"/>
    </row>
    <row r="28" spans="1:15" ht="19.5" customHeight="1">
      <c r="A28" s="8">
        <v>43701</v>
      </c>
      <c r="B28" s="57"/>
      <c r="C28" s="57"/>
      <c r="D28" s="22">
        <v>213.8</v>
      </c>
      <c r="E28" s="34">
        <v>949</v>
      </c>
      <c r="F28" s="25">
        <v>205.56</v>
      </c>
      <c r="G28" s="11">
        <v>245.33</v>
      </c>
      <c r="H28" s="9">
        <v>26</v>
      </c>
      <c r="I28" s="24">
        <v>0</v>
      </c>
      <c r="J28" s="1">
        <v>45</v>
      </c>
      <c r="K28" s="1">
        <v>30</v>
      </c>
      <c r="L28" s="24">
        <v>0</v>
      </c>
      <c r="M28" s="24">
        <f t="shared" si="0"/>
        <v>75</v>
      </c>
      <c r="N28" s="2"/>
    </row>
    <row r="29" spans="1:15" ht="19.5" customHeight="1">
      <c r="A29" s="8">
        <v>43702</v>
      </c>
      <c r="B29" s="57"/>
      <c r="C29" s="57"/>
      <c r="D29" s="22">
        <v>213.8</v>
      </c>
      <c r="E29" s="34">
        <v>949</v>
      </c>
      <c r="F29" s="25">
        <v>205.47</v>
      </c>
      <c r="G29" s="11">
        <v>241.04</v>
      </c>
      <c r="H29" s="9">
        <v>23</v>
      </c>
      <c r="I29" s="24">
        <v>0</v>
      </c>
      <c r="J29" s="1">
        <v>45</v>
      </c>
      <c r="K29" s="1">
        <v>40</v>
      </c>
      <c r="L29" s="24">
        <v>0</v>
      </c>
      <c r="M29" s="24">
        <f t="shared" si="0"/>
        <v>85</v>
      </c>
      <c r="N29" s="2"/>
    </row>
    <row r="30" spans="1:15" ht="19.5" customHeight="1">
      <c r="A30" s="8">
        <v>43703</v>
      </c>
      <c r="B30" s="57"/>
      <c r="C30" s="57"/>
      <c r="D30" s="22">
        <v>213.8</v>
      </c>
      <c r="E30" s="34">
        <v>949</v>
      </c>
      <c r="F30" s="25">
        <v>205.36</v>
      </c>
      <c r="G30" s="11">
        <v>233.33</v>
      </c>
      <c r="H30" s="9">
        <v>7</v>
      </c>
      <c r="I30" s="24">
        <v>0</v>
      </c>
      <c r="J30" s="1">
        <v>45</v>
      </c>
      <c r="K30" s="1">
        <v>40</v>
      </c>
      <c r="L30" s="24">
        <v>0</v>
      </c>
      <c r="M30" s="24">
        <f t="shared" si="0"/>
        <v>85</v>
      </c>
      <c r="N30" s="2"/>
    </row>
    <row r="31" spans="1:15" ht="21" customHeight="1">
      <c r="A31" s="8">
        <v>43704</v>
      </c>
      <c r="B31" s="57"/>
      <c r="C31" s="57"/>
      <c r="D31" s="22">
        <v>213.8</v>
      </c>
      <c r="E31" s="34">
        <v>949</v>
      </c>
      <c r="F31" s="25">
        <v>205.24</v>
      </c>
      <c r="G31" s="11">
        <v>226.27</v>
      </c>
      <c r="H31" s="9">
        <v>3</v>
      </c>
      <c r="I31" s="24">
        <v>0</v>
      </c>
      <c r="J31" s="1">
        <v>45</v>
      </c>
      <c r="K31" s="1">
        <v>40</v>
      </c>
      <c r="L31" s="24">
        <v>0</v>
      </c>
      <c r="M31" s="24">
        <f t="shared" si="0"/>
        <v>85</v>
      </c>
      <c r="N31" s="2"/>
    </row>
    <row r="32" spans="1:15" ht="21" customHeight="1">
      <c r="A32" s="8">
        <v>43705</v>
      </c>
      <c r="B32" s="57"/>
      <c r="C32" s="57"/>
      <c r="D32" s="22">
        <v>213.8</v>
      </c>
      <c r="E32" s="34">
        <v>949</v>
      </c>
      <c r="F32" s="25">
        <v>205.13</v>
      </c>
      <c r="G32" s="11">
        <v>219.91</v>
      </c>
      <c r="H32" s="9">
        <v>11</v>
      </c>
      <c r="I32" s="24">
        <v>0</v>
      </c>
      <c r="J32" s="1">
        <v>45</v>
      </c>
      <c r="K32" s="1">
        <v>40</v>
      </c>
      <c r="L32" s="24">
        <v>0</v>
      </c>
      <c r="M32" s="24">
        <f t="shared" si="0"/>
        <v>85</v>
      </c>
      <c r="N32" s="2"/>
    </row>
    <row r="33" spans="1:15" ht="21" customHeight="1">
      <c r="A33" s="8">
        <v>43706</v>
      </c>
      <c r="B33" s="57"/>
      <c r="C33" s="57"/>
      <c r="D33" s="22">
        <v>213.8</v>
      </c>
      <c r="E33" s="34">
        <v>949</v>
      </c>
      <c r="F33" s="25">
        <v>205.13</v>
      </c>
      <c r="G33" s="11">
        <v>213.91</v>
      </c>
      <c r="H33" s="9">
        <v>15</v>
      </c>
      <c r="I33" s="24">
        <v>0</v>
      </c>
      <c r="J33" s="1">
        <v>45</v>
      </c>
      <c r="K33" s="1">
        <v>40</v>
      </c>
      <c r="L33" s="24">
        <v>0</v>
      </c>
      <c r="M33" s="24">
        <f t="shared" si="0"/>
        <v>85</v>
      </c>
      <c r="N33" s="2"/>
    </row>
    <row r="34" spans="1:15" ht="21" customHeight="1">
      <c r="A34" s="8">
        <v>43707</v>
      </c>
      <c r="B34" s="57"/>
      <c r="C34" s="57"/>
      <c r="D34" s="22">
        <v>213.8</v>
      </c>
      <c r="E34" s="34">
        <v>949</v>
      </c>
      <c r="F34" s="25">
        <v>204.91</v>
      </c>
      <c r="G34" s="11">
        <v>206.85</v>
      </c>
      <c r="H34" s="9">
        <v>3</v>
      </c>
      <c r="I34" s="24">
        <v>0</v>
      </c>
      <c r="J34" s="1">
        <v>45</v>
      </c>
      <c r="K34" s="1">
        <v>40</v>
      </c>
      <c r="L34" s="24">
        <v>0</v>
      </c>
      <c r="M34" s="24">
        <f t="shared" si="0"/>
        <v>85</v>
      </c>
      <c r="N34" s="2"/>
    </row>
    <row r="35" spans="1:15" ht="21" customHeight="1">
      <c r="A35" s="8">
        <v>43708</v>
      </c>
      <c r="B35" s="58"/>
      <c r="C35" s="58"/>
      <c r="D35" s="23">
        <v>213.8</v>
      </c>
      <c r="E35" s="34">
        <v>949</v>
      </c>
      <c r="F35" s="25">
        <v>204.78</v>
      </c>
      <c r="G35" s="11">
        <v>199.09</v>
      </c>
      <c r="H35" s="9"/>
      <c r="I35" s="24">
        <v>0</v>
      </c>
      <c r="J35" s="1">
        <v>45</v>
      </c>
      <c r="K35" s="1">
        <v>40</v>
      </c>
      <c r="L35" s="24">
        <v>0</v>
      </c>
      <c r="M35" s="24">
        <f t="shared" si="0"/>
        <v>85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1494</v>
      </c>
      <c r="I36" s="16">
        <f t="shared" ref="I36:M36" si="1">SUM(I5:I35)</f>
        <v>0</v>
      </c>
      <c r="J36" s="16">
        <f t="shared" si="1"/>
        <v>710</v>
      </c>
      <c r="K36" s="16">
        <f t="shared" si="1"/>
        <v>450</v>
      </c>
      <c r="L36" s="16">
        <f t="shared" si="1"/>
        <v>0</v>
      </c>
      <c r="M36" s="16">
        <f t="shared" si="1"/>
        <v>1160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0.12908242612752721</v>
      </c>
      <c r="I37" s="5"/>
      <c r="J37" s="5">
        <f>J36/11574</f>
        <v>6.1344392604112667E-2</v>
      </c>
      <c r="K37" s="5">
        <f>K36/11574</f>
        <v>3.8880248833592534E-2</v>
      </c>
      <c r="L37" s="28"/>
      <c r="M37" s="28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5" zoomScale="60" workbookViewId="0">
      <selection activeCell="G34" sqref="G5:G34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43709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204.71</v>
      </c>
      <c r="G5" s="11">
        <v>194.85</v>
      </c>
      <c r="H5" s="9">
        <v>36</v>
      </c>
      <c r="I5" s="24">
        <v>0</v>
      </c>
      <c r="J5" s="1">
        <v>45</v>
      </c>
      <c r="K5" s="1">
        <v>40</v>
      </c>
      <c r="L5" s="24">
        <v>0</v>
      </c>
      <c r="M5" s="24">
        <f>L5+K5+J5+I5</f>
        <v>85</v>
      </c>
      <c r="N5" s="2"/>
    </row>
    <row r="6" spans="1:14" ht="19.5" customHeight="1">
      <c r="A6" s="8">
        <v>43710</v>
      </c>
      <c r="B6" s="57"/>
      <c r="C6" s="57"/>
      <c r="D6" s="22">
        <v>213.8</v>
      </c>
      <c r="E6" s="34">
        <v>949</v>
      </c>
      <c r="F6" s="25">
        <v>204.74</v>
      </c>
      <c r="G6" s="11">
        <v>196.62</v>
      </c>
      <c r="H6" s="9">
        <v>105</v>
      </c>
      <c r="I6" s="24">
        <v>0</v>
      </c>
      <c r="J6" s="1">
        <v>45</v>
      </c>
      <c r="K6" s="1">
        <v>40</v>
      </c>
      <c r="L6" s="24">
        <v>0</v>
      </c>
      <c r="M6" s="24">
        <f t="shared" ref="M6:M34" si="0">L6+K6+J6+I6</f>
        <v>85</v>
      </c>
      <c r="N6" s="2"/>
    </row>
    <row r="7" spans="1:14" ht="19.5" customHeight="1">
      <c r="A7" s="8">
        <v>43711</v>
      </c>
      <c r="B7" s="57"/>
      <c r="C7" s="57"/>
      <c r="D7" s="22">
        <v>213.8</v>
      </c>
      <c r="E7" s="34">
        <v>949</v>
      </c>
      <c r="F7" s="25">
        <v>204.81</v>
      </c>
      <c r="G7" s="11">
        <v>200.85</v>
      </c>
      <c r="H7" s="9">
        <v>134</v>
      </c>
      <c r="I7" s="24">
        <v>0</v>
      </c>
      <c r="J7" s="1">
        <v>45</v>
      </c>
      <c r="K7" s="1">
        <v>40</v>
      </c>
      <c r="L7" s="24">
        <v>0</v>
      </c>
      <c r="M7" s="24">
        <f t="shared" si="0"/>
        <v>85</v>
      </c>
      <c r="N7" s="2"/>
    </row>
    <row r="8" spans="1:14" ht="19.5" customHeight="1">
      <c r="A8" s="8">
        <v>43712</v>
      </c>
      <c r="B8" s="57"/>
      <c r="C8" s="57"/>
      <c r="D8" s="22">
        <v>213.8</v>
      </c>
      <c r="E8" s="34">
        <v>949</v>
      </c>
      <c r="F8" s="25">
        <v>204.79</v>
      </c>
      <c r="G8" s="11">
        <v>199.44</v>
      </c>
      <c r="H8" s="9">
        <v>53</v>
      </c>
      <c r="I8" s="24">
        <v>0</v>
      </c>
      <c r="J8" s="1">
        <v>45</v>
      </c>
      <c r="K8" s="1">
        <v>25</v>
      </c>
      <c r="L8" s="24">
        <v>0</v>
      </c>
      <c r="M8" s="24">
        <f t="shared" si="0"/>
        <v>70</v>
      </c>
      <c r="N8" s="2"/>
    </row>
    <row r="9" spans="1:14" ht="19.5" customHeight="1">
      <c r="A9" s="8">
        <v>43713</v>
      </c>
      <c r="B9" s="57"/>
      <c r="C9" s="57"/>
      <c r="D9" s="22">
        <v>213.8</v>
      </c>
      <c r="E9" s="34">
        <v>949</v>
      </c>
      <c r="F9" s="25">
        <v>204.77</v>
      </c>
      <c r="G9" s="11">
        <v>198.38</v>
      </c>
      <c r="H9" s="9">
        <v>57</v>
      </c>
      <c r="I9" s="24">
        <v>0</v>
      </c>
      <c r="J9" s="1">
        <v>45</v>
      </c>
      <c r="K9" s="1">
        <v>25</v>
      </c>
      <c r="L9" s="24">
        <v>0</v>
      </c>
      <c r="M9" s="24">
        <f t="shared" si="0"/>
        <v>70</v>
      </c>
      <c r="N9" s="2"/>
    </row>
    <row r="10" spans="1:14" ht="19.5" customHeight="1">
      <c r="A10" s="8">
        <v>43714</v>
      </c>
      <c r="B10" s="57"/>
      <c r="C10" s="57"/>
      <c r="D10" s="22">
        <v>213.8</v>
      </c>
      <c r="E10" s="34">
        <v>949</v>
      </c>
      <c r="F10" s="25">
        <v>204.78</v>
      </c>
      <c r="G10" s="11">
        <v>199.09</v>
      </c>
      <c r="H10" s="9">
        <v>78</v>
      </c>
      <c r="I10" s="24">
        <v>0</v>
      </c>
      <c r="J10" s="1">
        <v>45</v>
      </c>
      <c r="K10" s="1">
        <v>25</v>
      </c>
      <c r="L10" s="24">
        <v>0</v>
      </c>
      <c r="M10" s="24">
        <f t="shared" si="0"/>
        <v>70</v>
      </c>
      <c r="N10" s="2"/>
    </row>
    <row r="11" spans="1:14" ht="19.5" customHeight="1">
      <c r="A11" s="8">
        <v>43715</v>
      </c>
      <c r="B11" s="57"/>
      <c r="C11" s="57"/>
      <c r="D11" s="22">
        <v>213.8</v>
      </c>
      <c r="E11" s="34">
        <v>949</v>
      </c>
      <c r="F11" s="25">
        <v>204.83</v>
      </c>
      <c r="G11" s="11">
        <v>201.91</v>
      </c>
      <c r="H11" s="9">
        <v>102</v>
      </c>
      <c r="I11" s="24">
        <v>0</v>
      </c>
      <c r="J11" s="1">
        <v>45</v>
      </c>
      <c r="K11" s="1">
        <v>25</v>
      </c>
      <c r="L11" s="24">
        <v>0</v>
      </c>
      <c r="M11" s="24">
        <f t="shared" si="0"/>
        <v>70</v>
      </c>
      <c r="N11" s="2"/>
    </row>
    <row r="12" spans="1:14" ht="19.5" customHeight="1">
      <c r="A12" s="8">
        <v>43716</v>
      </c>
      <c r="B12" s="57"/>
      <c r="C12" s="57"/>
      <c r="D12" s="22">
        <v>213.8</v>
      </c>
      <c r="E12" s="34">
        <v>949</v>
      </c>
      <c r="F12" s="25">
        <v>204.86</v>
      </c>
      <c r="G12" s="11">
        <v>203.68</v>
      </c>
      <c r="H12" s="9">
        <v>90</v>
      </c>
      <c r="I12" s="24">
        <v>0</v>
      </c>
      <c r="J12" s="1">
        <v>45</v>
      </c>
      <c r="K12" s="1">
        <v>25</v>
      </c>
      <c r="L12" s="24">
        <v>0</v>
      </c>
      <c r="M12" s="24">
        <f t="shared" si="0"/>
        <v>70</v>
      </c>
      <c r="N12" s="2"/>
    </row>
    <row r="13" spans="1:14" ht="19.5" customHeight="1">
      <c r="A13" s="8">
        <v>43717</v>
      </c>
      <c r="B13" s="57"/>
      <c r="C13" s="57"/>
      <c r="D13" s="22">
        <v>213.8</v>
      </c>
      <c r="E13" s="34">
        <v>949</v>
      </c>
      <c r="F13" s="26">
        <v>204.82</v>
      </c>
      <c r="G13" s="25">
        <v>201.21</v>
      </c>
      <c r="H13" s="9">
        <v>41</v>
      </c>
      <c r="I13" s="24">
        <v>0</v>
      </c>
      <c r="J13" s="1">
        <v>45</v>
      </c>
      <c r="K13" s="1">
        <v>25</v>
      </c>
      <c r="L13" s="24">
        <v>0</v>
      </c>
      <c r="M13" s="24">
        <f t="shared" si="0"/>
        <v>70</v>
      </c>
      <c r="N13" s="2"/>
    </row>
    <row r="14" spans="1:14" ht="19.5" customHeight="1">
      <c r="A14" s="8">
        <v>43718</v>
      </c>
      <c r="B14" s="57"/>
      <c r="C14" s="57"/>
      <c r="D14" s="22">
        <v>213.8</v>
      </c>
      <c r="E14" s="34">
        <v>949</v>
      </c>
      <c r="F14" s="25">
        <v>204.79</v>
      </c>
      <c r="G14" s="11">
        <v>199.44</v>
      </c>
      <c r="H14" s="9">
        <v>48</v>
      </c>
      <c r="I14" s="24">
        <v>0</v>
      </c>
      <c r="J14" s="1">
        <v>45</v>
      </c>
      <c r="K14" s="1">
        <v>25</v>
      </c>
      <c r="L14" s="24">
        <v>0</v>
      </c>
      <c r="M14" s="24">
        <f t="shared" si="0"/>
        <v>70</v>
      </c>
      <c r="N14" s="2"/>
    </row>
    <row r="15" spans="1:14" ht="19.5" customHeight="1">
      <c r="A15" s="8">
        <v>43719</v>
      </c>
      <c r="B15" s="57"/>
      <c r="C15" s="57"/>
      <c r="D15" s="22">
        <v>213.8</v>
      </c>
      <c r="E15" s="34">
        <v>949</v>
      </c>
      <c r="F15" s="25">
        <v>204.76</v>
      </c>
      <c r="G15" s="11">
        <v>197.68</v>
      </c>
      <c r="H15" s="9">
        <v>49</v>
      </c>
      <c r="I15" s="24">
        <v>0</v>
      </c>
      <c r="J15" s="1">
        <v>45</v>
      </c>
      <c r="K15" s="1">
        <v>25</v>
      </c>
      <c r="L15" s="24">
        <v>0</v>
      </c>
      <c r="M15" s="24">
        <f t="shared" si="0"/>
        <v>70</v>
      </c>
      <c r="N15" s="2"/>
    </row>
    <row r="16" spans="1:14" ht="19.5" customHeight="1">
      <c r="A16" s="8">
        <v>43720</v>
      </c>
      <c r="B16" s="57"/>
      <c r="C16" s="57"/>
      <c r="D16" s="22">
        <v>213.8</v>
      </c>
      <c r="E16" s="34">
        <v>949</v>
      </c>
      <c r="F16" s="25">
        <v>204.74</v>
      </c>
      <c r="G16" s="11">
        <v>196.62</v>
      </c>
      <c r="H16" s="9">
        <v>57</v>
      </c>
      <c r="I16" s="24">
        <v>0</v>
      </c>
      <c r="J16" s="1">
        <v>45</v>
      </c>
      <c r="K16" s="1">
        <v>25</v>
      </c>
      <c r="L16" s="24">
        <v>0</v>
      </c>
      <c r="M16" s="24">
        <f t="shared" si="0"/>
        <v>70</v>
      </c>
      <c r="N16" s="2"/>
    </row>
    <row r="17" spans="1:15" ht="19.5" customHeight="1">
      <c r="A17" s="8">
        <v>43721</v>
      </c>
      <c r="B17" s="57"/>
      <c r="C17" s="57"/>
      <c r="D17" s="22">
        <v>213.8</v>
      </c>
      <c r="E17" s="34">
        <v>949</v>
      </c>
      <c r="F17" s="25">
        <v>204.72</v>
      </c>
      <c r="G17" s="11">
        <v>195.56</v>
      </c>
      <c r="H17" s="9">
        <v>37</v>
      </c>
      <c r="I17" s="24">
        <v>0</v>
      </c>
      <c r="J17" s="1">
        <v>45</v>
      </c>
      <c r="K17" s="1">
        <v>25</v>
      </c>
      <c r="L17" s="24">
        <v>0</v>
      </c>
      <c r="M17" s="24">
        <f t="shared" si="0"/>
        <v>70</v>
      </c>
      <c r="N17" s="2"/>
    </row>
    <row r="18" spans="1:15" ht="19.5" customHeight="1">
      <c r="A18" s="8">
        <v>43722</v>
      </c>
      <c r="B18" s="57"/>
      <c r="C18" s="57"/>
      <c r="D18" s="22">
        <v>213.8</v>
      </c>
      <c r="E18" s="34">
        <v>949</v>
      </c>
      <c r="F18" s="25">
        <v>204.67</v>
      </c>
      <c r="G18" s="11">
        <v>192.76</v>
      </c>
      <c r="H18" s="9">
        <v>102</v>
      </c>
      <c r="I18" s="24">
        <v>0</v>
      </c>
      <c r="J18" s="1">
        <v>45</v>
      </c>
      <c r="K18" s="1">
        <v>25</v>
      </c>
      <c r="L18" s="24">
        <v>0</v>
      </c>
      <c r="M18" s="24">
        <f t="shared" si="0"/>
        <v>70</v>
      </c>
      <c r="N18" s="2"/>
    </row>
    <row r="19" spans="1:15" ht="19.5" customHeight="1">
      <c r="A19" s="8">
        <v>43723</v>
      </c>
      <c r="B19" s="57"/>
      <c r="C19" s="57"/>
      <c r="D19" s="22">
        <v>213.8</v>
      </c>
      <c r="E19" s="34">
        <v>949</v>
      </c>
      <c r="F19" s="25">
        <v>204.72</v>
      </c>
      <c r="G19" s="11">
        <v>195.56</v>
      </c>
      <c r="H19" s="9">
        <v>45</v>
      </c>
      <c r="I19" s="24">
        <v>0</v>
      </c>
      <c r="J19" s="1">
        <v>45</v>
      </c>
      <c r="K19" s="1">
        <v>25</v>
      </c>
      <c r="L19" s="24">
        <v>0</v>
      </c>
      <c r="M19" s="24">
        <f t="shared" si="0"/>
        <v>70</v>
      </c>
      <c r="N19" s="2"/>
    </row>
    <row r="20" spans="1:15" ht="19.5" customHeight="1">
      <c r="A20" s="8">
        <v>43724</v>
      </c>
      <c r="B20" s="57"/>
      <c r="C20" s="57"/>
      <c r="D20" s="22">
        <v>213.8</v>
      </c>
      <c r="E20" s="34">
        <v>949</v>
      </c>
      <c r="F20" s="25">
        <v>204.68</v>
      </c>
      <c r="G20" s="11">
        <v>193.44</v>
      </c>
      <c r="H20" s="9">
        <v>163</v>
      </c>
      <c r="I20" s="24">
        <v>0</v>
      </c>
      <c r="J20" s="1">
        <v>45</v>
      </c>
      <c r="K20" s="1">
        <v>25</v>
      </c>
      <c r="L20" s="24">
        <v>0</v>
      </c>
      <c r="M20" s="24">
        <f t="shared" si="0"/>
        <v>70</v>
      </c>
      <c r="N20" s="2"/>
    </row>
    <row r="21" spans="1:15" ht="19.5" customHeight="1">
      <c r="A21" s="8">
        <v>43725</v>
      </c>
      <c r="B21" s="57"/>
      <c r="C21" s="57"/>
      <c r="D21" s="22">
        <v>213.8</v>
      </c>
      <c r="E21" s="34">
        <v>949</v>
      </c>
      <c r="F21" s="25">
        <v>204.86</v>
      </c>
      <c r="G21" s="11">
        <v>203.68</v>
      </c>
      <c r="H21" s="9">
        <v>57</v>
      </c>
      <c r="I21" s="24">
        <v>0</v>
      </c>
      <c r="J21" s="1">
        <v>25</v>
      </c>
      <c r="K21" s="1">
        <v>20</v>
      </c>
      <c r="L21" s="24">
        <v>0</v>
      </c>
      <c r="M21" s="24">
        <f t="shared" si="0"/>
        <v>45</v>
      </c>
      <c r="N21" s="2"/>
    </row>
    <row r="22" spans="1:15" ht="19.5" customHeight="1">
      <c r="A22" s="8">
        <v>43726</v>
      </c>
      <c r="B22" s="57"/>
      <c r="C22" s="57"/>
      <c r="D22" s="22">
        <v>213.8</v>
      </c>
      <c r="E22" s="34">
        <v>949</v>
      </c>
      <c r="F22" s="25">
        <v>204.88</v>
      </c>
      <c r="G22" s="11">
        <v>204.74</v>
      </c>
      <c r="H22" s="9">
        <v>192</v>
      </c>
      <c r="I22" s="24">
        <v>0</v>
      </c>
      <c r="J22" s="1">
        <v>25</v>
      </c>
      <c r="K22" s="1">
        <v>20</v>
      </c>
      <c r="L22" s="24">
        <v>0</v>
      </c>
      <c r="M22" s="24">
        <f t="shared" si="0"/>
        <v>45</v>
      </c>
      <c r="N22" s="2"/>
    </row>
    <row r="23" spans="1:15" ht="19.5" customHeight="1">
      <c r="A23" s="8">
        <v>43727</v>
      </c>
      <c r="B23" s="57"/>
      <c r="C23" s="57"/>
      <c r="D23" s="22">
        <v>213.8</v>
      </c>
      <c r="E23" s="34">
        <v>949</v>
      </c>
      <c r="F23" s="25">
        <v>205.09</v>
      </c>
      <c r="G23" s="11">
        <v>217.44</v>
      </c>
      <c r="H23" s="9">
        <v>298</v>
      </c>
      <c r="I23" s="24">
        <v>0</v>
      </c>
      <c r="J23" s="1">
        <v>25</v>
      </c>
      <c r="K23" s="1">
        <v>20</v>
      </c>
      <c r="L23" s="24">
        <v>0</v>
      </c>
      <c r="M23" s="24">
        <f t="shared" si="0"/>
        <v>45</v>
      </c>
      <c r="N23" s="2"/>
    </row>
    <row r="24" spans="1:15" ht="19.5" customHeight="1">
      <c r="A24" s="8">
        <v>43728</v>
      </c>
      <c r="B24" s="57"/>
      <c r="C24" s="57"/>
      <c r="D24" s="22">
        <v>213.8</v>
      </c>
      <c r="E24" s="34">
        <v>949</v>
      </c>
      <c r="F24" s="25">
        <v>205.46</v>
      </c>
      <c r="G24" s="11">
        <v>239.33</v>
      </c>
      <c r="H24" s="9">
        <v>183</v>
      </c>
      <c r="I24" s="24">
        <v>0</v>
      </c>
      <c r="J24" s="1">
        <v>25</v>
      </c>
      <c r="K24" s="1">
        <v>20</v>
      </c>
      <c r="L24" s="24">
        <v>0</v>
      </c>
      <c r="M24" s="24">
        <f t="shared" si="0"/>
        <v>45</v>
      </c>
      <c r="N24" s="2"/>
    </row>
    <row r="25" spans="1:15" ht="19.5" customHeight="1">
      <c r="A25" s="8">
        <v>43729</v>
      </c>
      <c r="B25" s="57"/>
      <c r="C25" s="57"/>
      <c r="D25" s="22">
        <v>213.8</v>
      </c>
      <c r="E25" s="34">
        <v>949</v>
      </c>
      <c r="F25" s="25">
        <v>205.66</v>
      </c>
      <c r="G25" s="11">
        <v>251.33600000000001</v>
      </c>
      <c r="H25" s="9">
        <v>113</v>
      </c>
      <c r="I25" s="24">
        <v>0</v>
      </c>
      <c r="J25" s="1">
        <v>25</v>
      </c>
      <c r="K25" s="1">
        <v>20</v>
      </c>
      <c r="L25" s="24">
        <v>0</v>
      </c>
      <c r="M25" s="24">
        <f t="shared" si="0"/>
        <v>45</v>
      </c>
      <c r="N25" s="2"/>
    </row>
    <row r="26" spans="1:15" ht="19.5" customHeight="1">
      <c r="A26" s="8">
        <v>43730</v>
      </c>
      <c r="B26" s="57"/>
      <c r="C26" s="57"/>
      <c r="D26" s="22">
        <v>213.8</v>
      </c>
      <c r="E26" s="34">
        <v>949</v>
      </c>
      <c r="F26" s="25">
        <v>205.76</v>
      </c>
      <c r="G26" s="11">
        <v>257.33</v>
      </c>
      <c r="H26" s="9">
        <v>98</v>
      </c>
      <c r="I26" s="24">
        <v>0</v>
      </c>
      <c r="J26" s="1">
        <v>25</v>
      </c>
      <c r="K26" s="1">
        <v>20</v>
      </c>
      <c r="L26" s="24">
        <v>0</v>
      </c>
      <c r="M26" s="24">
        <f t="shared" si="0"/>
        <v>45</v>
      </c>
      <c r="N26" s="2"/>
      <c r="O26" s="18"/>
    </row>
    <row r="27" spans="1:15" ht="19.5" customHeight="1">
      <c r="A27" s="8">
        <v>43731</v>
      </c>
      <c r="B27" s="57"/>
      <c r="C27" s="57"/>
      <c r="D27" s="22">
        <v>213.8</v>
      </c>
      <c r="E27" s="34">
        <v>949</v>
      </c>
      <c r="F27" s="25">
        <v>205.84</v>
      </c>
      <c r="G27" s="11">
        <v>261.92</v>
      </c>
      <c r="H27" s="9">
        <v>81</v>
      </c>
      <c r="I27" s="24">
        <v>0</v>
      </c>
      <c r="J27" s="1">
        <v>25</v>
      </c>
      <c r="K27" s="1">
        <v>20</v>
      </c>
      <c r="L27" s="24">
        <v>0</v>
      </c>
      <c r="M27" s="24">
        <f t="shared" si="0"/>
        <v>45</v>
      </c>
      <c r="N27" s="2"/>
    </row>
    <row r="28" spans="1:15" ht="19.5" customHeight="1">
      <c r="A28" s="8">
        <v>43732</v>
      </c>
      <c r="B28" s="57"/>
      <c r="C28" s="57"/>
      <c r="D28" s="22">
        <v>213.8</v>
      </c>
      <c r="E28" s="34">
        <v>949</v>
      </c>
      <c r="F28" s="25">
        <v>205.89</v>
      </c>
      <c r="G28" s="11">
        <v>265.10300000000001</v>
      </c>
      <c r="H28" s="9">
        <v>126</v>
      </c>
      <c r="I28" s="24">
        <v>0</v>
      </c>
      <c r="J28" s="1">
        <v>25</v>
      </c>
      <c r="K28" s="1">
        <v>20</v>
      </c>
      <c r="L28" s="24">
        <v>0</v>
      </c>
      <c r="M28" s="24">
        <f t="shared" si="0"/>
        <v>45</v>
      </c>
      <c r="N28" s="2"/>
    </row>
    <row r="29" spans="1:15" ht="19.5" customHeight="1">
      <c r="A29" s="8">
        <v>43733</v>
      </c>
      <c r="B29" s="57"/>
      <c r="C29" s="57"/>
      <c r="D29" s="22">
        <v>213.8</v>
      </c>
      <c r="E29" s="34">
        <v>949</v>
      </c>
      <c r="F29" s="25">
        <v>206.1</v>
      </c>
      <c r="G29" s="11">
        <v>272.16000000000003</v>
      </c>
      <c r="H29" s="9">
        <v>147</v>
      </c>
      <c r="I29" s="24">
        <v>0</v>
      </c>
      <c r="J29" s="1">
        <v>25</v>
      </c>
      <c r="K29" s="1">
        <v>20</v>
      </c>
      <c r="L29" s="24">
        <v>0</v>
      </c>
      <c r="M29" s="24">
        <f t="shared" si="0"/>
        <v>45</v>
      </c>
      <c r="N29" s="2"/>
    </row>
    <row r="30" spans="1:15" ht="19.5" customHeight="1">
      <c r="A30" s="8">
        <v>43734</v>
      </c>
      <c r="B30" s="57"/>
      <c r="C30" s="57"/>
      <c r="D30" s="22">
        <v>213.8</v>
      </c>
      <c r="E30" s="34">
        <v>949</v>
      </c>
      <c r="F30" s="25">
        <v>206.16</v>
      </c>
      <c r="G30" s="11">
        <v>280.97000000000003</v>
      </c>
      <c r="H30" s="9">
        <v>122</v>
      </c>
      <c r="I30" s="24">
        <v>0</v>
      </c>
      <c r="J30" s="1">
        <v>25</v>
      </c>
      <c r="K30" s="1">
        <v>20</v>
      </c>
      <c r="L30" s="24">
        <v>0</v>
      </c>
      <c r="M30" s="24">
        <f t="shared" si="0"/>
        <v>45</v>
      </c>
      <c r="N30" s="2"/>
    </row>
    <row r="31" spans="1:15" ht="21" customHeight="1">
      <c r="A31" s="8">
        <v>43735</v>
      </c>
      <c r="B31" s="57"/>
      <c r="C31" s="57"/>
      <c r="D31" s="22">
        <v>213.8</v>
      </c>
      <c r="E31" s="34">
        <v>949</v>
      </c>
      <c r="F31" s="25">
        <v>206.27</v>
      </c>
      <c r="G31" s="11">
        <v>287.27</v>
      </c>
      <c r="H31" s="9">
        <v>163</v>
      </c>
      <c r="I31" s="24">
        <v>0</v>
      </c>
      <c r="J31" s="1">
        <v>25</v>
      </c>
      <c r="K31" s="1">
        <v>20</v>
      </c>
      <c r="L31" s="24">
        <v>0</v>
      </c>
      <c r="M31" s="24">
        <f t="shared" si="0"/>
        <v>45</v>
      </c>
      <c r="N31" s="2"/>
    </row>
    <row r="32" spans="1:15" ht="21" customHeight="1">
      <c r="A32" s="8">
        <v>43736</v>
      </c>
      <c r="B32" s="57"/>
      <c r="C32" s="57"/>
      <c r="D32" s="22">
        <v>213.8</v>
      </c>
      <c r="E32" s="34">
        <v>949</v>
      </c>
      <c r="F32" s="25">
        <v>206.44</v>
      </c>
      <c r="G32" s="11">
        <v>297.93200000000002</v>
      </c>
      <c r="H32" s="9">
        <v>239</v>
      </c>
      <c r="I32" s="24">
        <v>0</v>
      </c>
      <c r="J32" s="1">
        <v>25</v>
      </c>
      <c r="K32" s="1">
        <v>20</v>
      </c>
      <c r="L32" s="24">
        <v>0</v>
      </c>
      <c r="M32" s="24">
        <f t="shared" si="0"/>
        <v>45</v>
      </c>
      <c r="N32" s="2"/>
    </row>
    <row r="33" spans="1:15" ht="21" customHeight="1">
      <c r="A33" s="8">
        <v>43737</v>
      </c>
      <c r="B33" s="57"/>
      <c r="C33" s="57"/>
      <c r="D33" s="22">
        <v>213.8</v>
      </c>
      <c r="E33" s="34">
        <v>949</v>
      </c>
      <c r="F33" s="25">
        <v>206.72</v>
      </c>
      <c r="G33" s="11">
        <v>314.52</v>
      </c>
      <c r="H33" s="9">
        <v>331</v>
      </c>
      <c r="I33" s="24">
        <v>0</v>
      </c>
      <c r="J33" s="1">
        <v>25</v>
      </c>
      <c r="K33" s="1">
        <v>20</v>
      </c>
      <c r="L33" s="24">
        <v>0</v>
      </c>
      <c r="M33" s="24">
        <f t="shared" si="0"/>
        <v>45</v>
      </c>
      <c r="N33" s="2"/>
    </row>
    <row r="34" spans="1:15" ht="21" customHeight="1">
      <c r="A34" s="8">
        <v>43738</v>
      </c>
      <c r="B34" s="57"/>
      <c r="C34" s="57"/>
      <c r="D34" s="22">
        <v>213.8</v>
      </c>
      <c r="E34" s="34">
        <v>949</v>
      </c>
      <c r="F34" s="25">
        <v>207.08</v>
      </c>
      <c r="G34" s="11">
        <v>339.23</v>
      </c>
      <c r="H34" s="9"/>
      <c r="I34" s="24">
        <v>0</v>
      </c>
      <c r="J34" s="1">
        <v>25</v>
      </c>
      <c r="K34" s="1">
        <v>20</v>
      </c>
      <c r="L34" s="24">
        <v>0</v>
      </c>
      <c r="M34" s="24">
        <f t="shared" si="0"/>
        <v>45</v>
      </c>
      <c r="N34" s="2"/>
    </row>
    <row r="35" spans="1:15" ht="21" customHeight="1">
      <c r="A35" s="12"/>
      <c r="B35" s="13"/>
      <c r="C35" s="13"/>
      <c r="D35" s="14"/>
      <c r="E35" s="37"/>
      <c r="F35" s="15"/>
      <c r="G35" s="14"/>
      <c r="H35" s="16">
        <f>SUM(H5:H34)</f>
        <v>3347</v>
      </c>
      <c r="I35" s="16">
        <f t="shared" ref="I35:M35" si="1">SUM(I5:I34)</f>
        <v>0</v>
      </c>
      <c r="J35" s="16">
        <f t="shared" si="1"/>
        <v>1070</v>
      </c>
      <c r="K35" s="16">
        <f t="shared" si="1"/>
        <v>725</v>
      </c>
      <c r="L35" s="16">
        <f t="shared" si="1"/>
        <v>0</v>
      </c>
      <c r="M35" s="16">
        <f t="shared" si="1"/>
        <v>1795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0.28918265076896493</v>
      </c>
      <c r="I36" s="5"/>
      <c r="J36" s="5">
        <f>J35/11574</f>
        <v>9.2448591670986693E-2</v>
      </c>
      <c r="K36" s="5">
        <f>K35/11574</f>
        <v>6.2640400898565748E-2</v>
      </c>
      <c r="L36" s="28"/>
      <c r="M36" s="28"/>
      <c r="N36" s="7"/>
    </row>
    <row r="37" spans="1:15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5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5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2" zoomScale="60" workbookViewId="0">
      <selection activeCell="J36" sqref="J36:K36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43739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207.29</v>
      </c>
      <c r="G5" s="11">
        <v>354.09</v>
      </c>
      <c r="H5" s="9">
        <v>216</v>
      </c>
      <c r="I5" s="24">
        <v>0</v>
      </c>
      <c r="J5" s="1">
        <v>25</v>
      </c>
      <c r="K5" s="1">
        <v>20</v>
      </c>
      <c r="L5" s="24">
        <v>0</v>
      </c>
      <c r="M5" s="24">
        <f>L5+K5+J5+I5</f>
        <v>45</v>
      </c>
      <c r="N5" s="2"/>
    </row>
    <row r="6" spans="1:14" ht="19.5" customHeight="1">
      <c r="A6" s="8">
        <v>43740</v>
      </c>
      <c r="B6" s="57"/>
      <c r="C6" s="57"/>
      <c r="D6" s="22">
        <v>213.8</v>
      </c>
      <c r="E6" s="34">
        <v>949</v>
      </c>
      <c r="F6" s="25">
        <v>207.2</v>
      </c>
      <c r="G6" s="11">
        <v>385.47</v>
      </c>
      <c r="H6" s="9">
        <v>408</v>
      </c>
      <c r="I6" s="24">
        <v>0</v>
      </c>
      <c r="J6" s="1">
        <v>35</v>
      </c>
      <c r="K6" s="1">
        <v>10</v>
      </c>
      <c r="L6" s="24">
        <v>0</v>
      </c>
      <c r="M6" s="24">
        <f t="shared" ref="M6:M35" si="0">L6+K6+J6+I6</f>
        <v>45</v>
      </c>
      <c r="N6" s="2"/>
    </row>
    <row r="7" spans="1:14" ht="19.5" customHeight="1">
      <c r="A7" s="8">
        <v>43741</v>
      </c>
      <c r="B7" s="57"/>
      <c r="C7" s="57"/>
      <c r="D7" s="22">
        <v>213.8</v>
      </c>
      <c r="E7" s="34">
        <v>949</v>
      </c>
      <c r="F7" s="25">
        <v>207.97</v>
      </c>
      <c r="G7" s="11">
        <v>402.77</v>
      </c>
      <c r="H7" s="9">
        <v>245</v>
      </c>
      <c r="I7" s="24">
        <v>0</v>
      </c>
      <c r="J7" s="1">
        <v>35</v>
      </c>
      <c r="K7" s="1">
        <v>10</v>
      </c>
      <c r="L7" s="24">
        <v>0</v>
      </c>
      <c r="M7" s="24">
        <f t="shared" si="0"/>
        <v>45</v>
      </c>
      <c r="N7" s="2"/>
    </row>
    <row r="8" spans="1:14" ht="19.5" customHeight="1">
      <c r="A8" s="8">
        <v>43742</v>
      </c>
      <c r="B8" s="57"/>
      <c r="C8" s="57"/>
      <c r="D8" s="22">
        <v>213.8</v>
      </c>
      <c r="E8" s="34">
        <v>949</v>
      </c>
      <c r="F8" s="25">
        <v>208.1</v>
      </c>
      <c r="G8" s="11">
        <v>412.3</v>
      </c>
      <c r="H8" s="9">
        <v>145</v>
      </c>
      <c r="I8" s="24">
        <v>0</v>
      </c>
      <c r="J8" s="1">
        <v>25</v>
      </c>
      <c r="K8" s="1">
        <v>20</v>
      </c>
      <c r="L8" s="24">
        <v>0</v>
      </c>
      <c r="M8" s="24">
        <f t="shared" si="0"/>
        <v>45</v>
      </c>
      <c r="N8" s="2"/>
    </row>
    <row r="9" spans="1:14" ht="19.5" customHeight="1">
      <c r="A9" s="8">
        <v>43743</v>
      </c>
      <c r="B9" s="57"/>
      <c r="C9" s="57"/>
      <c r="D9" s="22">
        <v>213.8</v>
      </c>
      <c r="E9" s="34">
        <v>949</v>
      </c>
      <c r="F9" s="25">
        <v>208.22</v>
      </c>
      <c r="G9" s="11">
        <v>420.77</v>
      </c>
      <c r="H9" s="9">
        <v>133</v>
      </c>
      <c r="I9" s="24">
        <v>0</v>
      </c>
      <c r="J9" s="1">
        <v>25</v>
      </c>
      <c r="K9" s="1">
        <v>10</v>
      </c>
      <c r="L9" s="24">
        <v>0</v>
      </c>
      <c r="M9" s="24">
        <f t="shared" si="0"/>
        <v>35</v>
      </c>
      <c r="N9" s="2"/>
    </row>
    <row r="10" spans="1:14" ht="19.5" customHeight="1">
      <c r="A10" s="8">
        <v>43744</v>
      </c>
      <c r="B10" s="57"/>
      <c r="C10" s="57"/>
      <c r="D10" s="22">
        <v>213.8</v>
      </c>
      <c r="E10" s="34">
        <v>949</v>
      </c>
      <c r="F10" s="25">
        <v>208.29</v>
      </c>
      <c r="G10" s="11">
        <v>425.71</v>
      </c>
      <c r="H10" s="9">
        <v>92</v>
      </c>
      <c r="I10" s="24">
        <v>0</v>
      </c>
      <c r="J10" s="1">
        <v>25</v>
      </c>
      <c r="K10" s="1">
        <v>10</v>
      </c>
      <c r="L10" s="24">
        <v>0</v>
      </c>
      <c r="M10" s="24">
        <f t="shared" si="0"/>
        <v>35</v>
      </c>
      <c r="N10" s="2"/>
    </row>
    <row r="11" spans="1:14" ht="19.5" customHeight="1">
      <c r="A11" s="8">
        <v>43745</v>
      </c>
      <c r="B11" s="57"/>
      <c r="C11" s="57"/>
      <c r="D11" s="22">
        <v>213.8</v>
      </c>
      <c r="E11" s="34">
        <v>949</v>
      </c>
      <c r="F11" s="25">
        <v>208.38</v>
      </c>
      <c r="G11" s="11">
        <v>432.07</v>
      </c>
      <c r="H11" s="9">
        <v>108</v>
      </c>
      <c r="I11" s="24">
        <v>0</v>
      </c>
      <c r="J11" s="1">
        <v>25</v>
      </c>
      <c r="K11" s="1">
        <v>10</v>
      </c>
      <c r="L11" s="24">
        <v>0</v>
      </c>
      <c r="M11" s="24">
        <f t="shared" si="0"/>
        <v>35</v>
      </c>
      <c r="N11" s="2"/>
    </row>
    <row r="12" spans="1:14" ht="19.5" customHeight="1">
      <c r="A12" s="8">
        <v>43746</v>
      </c>
      <c r="B12" s="57"/>
      <c r="C12" s="57"/>
      <c r="D12" s="22">
        <v>213.8</v>
      </c>
      <c r="E12" s="34">
        <v>949</v>
      </c>
      <c r="F12" s="25">
        <v>208.72</v>
      </c>
      <c r="G12" s="11">
        <v>456.42</v>
      </c>
      <c r="H12" s="9">
        <v>317</v>
      </c>
      <c r="I12" s="24">
        <v>0</v>
      </c>
      <c r="J12" s="1">
        <v>25</v>
      </c>
      <c r="K12" s="1">
        <v>10</v>
      </c>
      <c r="L12" s="24">
        <v>0</v>
      </c>
      <c r="M12" s="24">
        <f t="shared" si="0"/>
        <v>35</v>
      </c>
      <c r="N12" s="2"/>
    </row>
    <row r="13" spans="1:14" ht="19.5" customHeight="1">
      <c r="A13" s="8">
        <v>43747</v>
      </c>
      <c r="B13" s="57"/>
      <c r="C13" s="57"/>
      <c r="D13" s="22">
        <v>213.8</v>
      </c>
      <c r="E13" s="34">
        <v>949</v>
      </c>
      <c r="F13" s="26">
        <v>209.04</v>
      </c>
      <c r="G13" s="25">
        <v>480.78</v>
      </c>
      <c r="H13" s="9">
        <v>317</v>
      </c>
      <c r="I13" s="24">
        <v>0</v>
      </c>
      <c r="J13" s="1">
        <v>25</v>
      </c>
      <c r="K13" s="1">
        <v>10</v>
      </c>
      <c r="L13" s="24">
        <v>0</v>
      </c>
      <c r="M13" s="24">
        <f t="shared" si="0"/>
        <v>35</v>
      </c>
      <c r="N13" s="2"/>
    </row>
    <row r="14" spans="1:14" ht="19.5" customHeight="1">
      <c r="A14" s="8">
        <v>43748</v>
      </c>
      <c r="B14" s="57"/>
      <c r="C14" s="57"/>
      <c r="D14" s="22">
        <v>213.8</v>
      </c>
      <c r="E14" s="34">
        <v>949</v>
      </c>
      <c r="F14" s="25">
        <v>209.27</v>
      </c>
      <c r="G14" s="11">
        <v>502.67</v>
      </c>
      <c r="H14" s="9">
        <v>288</v>
      </c>
      <c r="I14" s="24">
        <v>0</v>
      </c>
      <c r="J14" s="1">
        <v>25</v>
      </c>
      <c r="K14" s="1">
        <v>10</v>
      </c>
      <c r="L14" s="24">
        <v>0</v>
      </c>
      <c r="M14" s="24">
        <f t="shared" si="0"/>
        <v>35</v>
      </c>
      <c r="N14" s="2"/>
    </row>
    <row r="15" spans="1:14" ht="19.5" customHeight="1">
      <c r="A15" s="8">
        <v>43749</v>
      </c>
      <c r="B15" s="57"/>
      <c r="C15" s="57"/>
      <c r="D15" s="22">
        <v>213.8</v>
      </c>
      <c r="E15" s="34">
        <v>949</v>
      </c>
      <c r="F15" s="25">
        <v>209.77</v>
      </c>
      <c r="G15" s="11">
        <v>546.09</v>
      </c>
      <c r="H15" s="9">
        <v>537</v>
      </c>
      <c r="I15" s="24">
        <v>0</v>
      </c>
      <c r="J15" s="1">
        <v>25</v>
      </c>
      <c r="K15" s="1">
        <v>10</v>
      </c>
      <c r="L15" s="24">
        <v>0</v>
      </c>
      <c r="M15" s="24">
        <f t="shared" si="0"/>
        <v>35</v>
      </c>
      <c r="N15" s="2"/>
    </row>
    <row r="16" spans="1:14" ht="19.5" customHeight="1">
      <c r="A16" s="8">
        <v>43750</v>
      </c>
      <c r="B16" s="57"/>
      <c r="C16" s="57"/>
      <c r="D16" s="22">
        <v>213.8</v>
      </c>
      <c r="E16" s="34">
        <v>949</v>
      </c>
      <c r="F16" s="25">
        <v>210.25</v>
      </c>
      <c r="G16" s="11">
        <v>587.74</v>
      </c>
      <c r="H16" s="9">
        <v>517</v>
      </c>
      <c r="I16" s="24">
        <v>0</v>
      </c>
      <c r="J16" s="1">
        <v>25</v>
      </c>
      <c r="K16" s="1">
        <v>10</v>
      </c>
      <c r="L16" s="24">
        <v>0</v>
      </c>
      <c r="M16" s="24">
        <f t="shared" si="0"/>
        <v>35</v>
      </c>
      <c r="N16" s="2"/>
    </row>
    <row r="17" spans="1:15" ht="19.5" customHeight="1">
      <c r="A17" s="8">
        <v>43751</v>
      </c>
      <c r="B17" s="57"/>
      <c r="C17" s="57"/>
      <c r="D17" s="22">
        <v>213.8</v>
      </c>
      <c r="E17" s="34">
        <v>949</v>
      </c>
      <c r="F17" s="25">
        <v>210.5</v>
      </c>
      <c r="G17" s="11">
        <v>609.27</v>
      </c>
      <c r="H17" s="9">
        <v>284</v>
      </c>
      <c r="I17" s="24">
        <v>0</v>
      </c>
      <c r="J17" s="1">
        <v>25</v>
      </c>
      <c r="K17" s="1">
        <v>10</v>
      </c>
      <c r="L17" s="24">
        <v>0</v>
      </c>
      <c r="M17" s="24">
        <f t="shared" si="0"/>
        <v>35</v>
      </c>
      <c r="N17" s="2"/>
    </row>
    <row r="18" spans="1:15" ht="19.5" customHeight="1">
      <c r="A18" s="8">
        <v>43752</v>
      </c>
      <c r="B18" s="57"/>
      <c r="C18" s="57"/>
      <c r="D18" s="22">
        <v>213.8</v>
      </c>
      <c r="E18" s="34">
        <v>949</v>
      </c>
      <c r="F18" s="25">
        <v>210.75</v>
      </c>
      <c r="G18" s="11">
        <v>632.22</v>
      </c>
      <c r="H18" s="9">
        <v>300</v>
      </c>
      <c r="I18" s="24">
        <v>0</v>
      </c>
      <c r="J18" s="1">
        <v>25</v>
      </c>
      <c r="K18" s="1">
        <v>10</v>
      </c>
      <c r="L18" s="24">
        <v>0</v>
      </c>
      <c r="M18" s="24">
        <f t="shared" si="0"/>
        <v>35</v>
      </c>
      <c r="N18" s="2"/>
    </row>
    <row r="19" spans="1:15" ht="19.5" customHeight="1">
      <c r="A19" s="8">
        <v>43753</v>
      </c>
      <c r="B19" s="57"/>
      <c r="C19" s="57"/>
      <c r="D19" s="22">
        <v>213.8</v>
      </c>
      <c r="E19" s="34">
        <v>949</v>
      </c>
      <c r="F19" s="25">
        <v>210.9</v>
      </c>
      <c r="G19" s="11">
        <v>648.80999999999995</v>
      </c>
      <c r="H19" s="9">
        <v>227</v>
      </c>
      <c r="I19" s="24">
        <v>0</v>
      </c>
      <c r="J19" s="1">
        <v>25</v>
      </c>
      <c r="K19" s="1">
        <v>10</v>
      </c>
      <c r="L19" s="24">
        <v>0</v>
      </c>
      <c r="M19" s="24">
        <f t="shared" si="0"/>
        <v>35</v>
      </c>
      <c r="N19" s="2"/>
    </row>
    <row r="20" spans="1:15" ht="19.5" customHeight="1">
      <c r="A20" s="8">
        <v>43754</v>
      </c>
      <c r="B20" s="57"/>
      <c r="C20" s="57"/>
      <c r="D20" s="22">
        <v>213.8</v>
      </c>
      <c r="E20" s="34">
        <v>949</v>
      </c>
      <c r="F20" s="25">
        <v>211.01</v>
      </c>
      <c r="G20" s="11">
        <v>657.28</v>
      </c>
      <c r="H20" s="9">
        <v>133</v>
      </c>
      <c r="I20" s="24">
        <v>0</v>
      </c>
      <c r="J20" s="1">
        <v>25</v>
      </c>
      <c r="K20" s="1">
        <v>10</v>
      </c>
      <c r="L20" s="24">
        <v>0</v>
      </c>
      <c r="M20" s="24">
        <f t="shared" si="0"/>
        <v>35</v>
      </c>
      <c r="N20" s="2"/>
    </row>
    <row r="21" spans="1:15" ht="19.5" customHeight="1">
      <c r="A21" s="8">
        <v>43755</v>
      </c>
      <c r="B21" s="57"/>
      <c r="C21" s="57"/>
      <c r="D21" s="22">
        <v>213.8</v>
      </c>
      <c r="E21" s="34">
        <v>949</v>
      </c>
      <c r="F21" s="25">
        <v>211.11</v>
      </c>
      <c r="G21" s="11">
        <v>667.52</v>
      </c>
      <c r="H21" s="9">
        <v>153</v>
      </c>
      <c r="I21" s="24">
        <v>0</v>
      </c>
      <c r="J21" s="1">
        <v>25</v>
      </c>
      <c r="K21" s="1">
        <v>10</v>
      </c>
      <c r="L21" s="24">
        <v>0</v>
      </c>
      <c r="M21" s="24">
        <f t="shared" si="0"/>
        <v>35</v>
      </c>
      <c r="N21" s="2"/>
    </row>
    <row r="22" spans="1:15" ht="19.5" customHeight="1">
      <c r="A22" s="8">
        <v>43756</v>
      </c>
      <c r="B22" s="57"/>
      <c r="C22" s="57"/>
      <c r="D22" s="22">
        <v>213.8</v>
      </c>
      <c r="E22" s="34">
        <v>949</v>
      </c>
      <c r="F22" s="25">
        <v>211.18</v>
      </c>
      <c r="G22" s="11">
        <v>674.93</v>
      </c>
      <c r="H22" s="9">
        <v>120</v>
      </c>
      <c r="I22" s="24">
        <v>0</v>
      </c>
      <c r="J22" s="1">
        <v>25</v>
      </c>
      <c r="K22" s="1">
        <v>10</v>
      </c>
      <c r="L22" s="24">
        <v>0</v>
      </c>
      <c r="M22" s="24">
        <f t="shared" si="0"/>
        <v>35</v>
      </c>
      <c r="N22" s="2"/>
    </row>
    <row r="23" spans="1:15" ht="19.5" customHeight="1">
      <c r="A23" s="8">
        <v>43757</v>
      </c>
      <c r="B23" s="57"/>
      <c r="C23" s="57"/>
      <c r="D23" s="22">
        <v>213.8</v>
      </c>
      <c r="E23" s="34">
        <v>949</v>
      </c>
      <c r="F23" s="25">
        <v>211.26</v>
      </c>
      <c r="G23" s="11">
        <v>683.4</v>
      </c>
      <c r="H23" s="9">
        <v>143</v>
      </c>
      <c r="I23" s="24">
        <v>0</v>
      </c>
      <c r="J23" s="1">
        <v>30</v>
      </c>
      <c r="K23" s="1">
        <v>15</v>
      </c>
      <c r="L23" s="24">
        <v>0</v>
      </c>
      <c r="M23" s="24">
        <f t="shared" si="0"/>
        <v>45</v>
      </c>
      <c r="N23" s="2"/>
    </row>
    <row r="24" spans="1:15" ht="19.5" customHeight="1">
      <c r="A24" s="8">
        <v>43758</v>
      </c>
      <c r="B24" s="57"/>
      <c r="C24" s="57"/>
      <c r="D24" s="22">
        <v>213.8</v>
      </c>
      <c r="E24" s="34">
        <v>949</v>
      </c>
      <c r="F24" s="25">
        <v>211.35</v>
      </c>
      <c r="G24" s="11">
        <v>690.11</v>
      </c>
      <c r="H24" s="9">
        <v>112</v>
      </c>
      <c r="I24" s="24">
        <v>0</v>
      </c>
      <c r="J24" s="1">
        <v>20</v>
      </c>
      <c r="K24" s="1">
        <v>15</v>
      </c>
      <c r="L24" s="24">
        <v>0</v>
      </c>
      <c r="M24" s="24">
        <f t="shared" si="0"/>
        <v>35</v>
      </c>
      <c r="N24" s="2"/>
    </row>
    <row r="25" spans="1:15" ht="19.5" customHeight="1">
      <c r="A25" s="8">
        <v>43759</v>
      </c>
      <c r="B25" s="57"/>
      <c r="C25" s="57"/>
      <c r="D25" s="22">
        <v>213.8</v>
      </c>
      <c r="E25" s="34">
        <v>949</v>
      </c>
      <c r="F25" s="25">
        <v>211.45</v>
      </c>
      <c r="G25" s="11">
        <v>698.23</v>
      </c>
      <c r="H25" s="9">
        <v>129</v>
      </c>
      <c r="I25" s="24">
        <v>0</v>
      </c>
      <c r="J25" s="1">
        <v>20</v>
      </c>
      <c r="K25" s="1">
        <v>15</v>
      </c>
      <c r="L25" s="24">
        <v>0</v>
      </c>
      <c r="M25" s="24">
        <f t="shared" si="0"/>
        <v>35</v>
      </c>
      <c r="N25" s="2"/>
    </row>
    <row r="26" spans="1:15" ht="19.5" customHeight="1">
      <c r="A26" s="8">
        <v>43760</v>
      </c>
      <c r="B26" s="57"/>
      <c r="C26" s="57"/>
      <c r="D26" s="22">
        <v>213.8</v>
      </c>
      <c r="E26" s="34">
        <v>949</v>
      </c>
      <c r="F26" s="25">
        <v>211.51</v>
      </c>
      <c r="G26" s="11">
        <v>704.94</v>
      </c>
      <c r="H26" s="9">
        <v>112</v>
      </c>
      <c r="I26" s="24">
        <v>0</v>
      </c>
      <c r="J26" s="1">
        <v>20</v>
      </c>
      <c r="K26" s="1">
        <v>15</v>
      </c>
      <c r="L26" s="24">
        <v>0</v>
      </c>
      <c r="M26" s="24">
        <f t="shared" si="0"/>
        <v>35</v>
      </c>
      <c r="N26" s="2"/>
      <c r="O26" s="18"/>
    </row>
    <row r="27" spans="1:15" ht="19.5" customHeight="1">
      <c r="A27" s="8">
        <v>43761</v>
      </c>
      <c r="B27" s="57"/>
      <c r="C27" s="57"/>
      <c r="D27" s="22">
        <v>213.8</v>
      </c>
      <c r="E27" s="34">
        <v>949</v>
      </c>
      <c r="F27" s="25">
        <v>211.59</v>
      </c>
      <c r="G27" s="11">
        <v>717.29</v>
      </c>
      <c r="H27" s="9">
        <v>178</v>
      </c>
      <c r="I27" s="24">
        <v>0</v>
      </c>
      <c r="J27" s="1">
        <v>20</v>
      </c>
      <c r="K27" s="1">
        <v>15</v>
      </c>
      <c r="L27" s="24">
        <v>0</v>
      </c>
      <c r="M27" s="24">
        <f t="shared" si="0"/>
        <v>35</v>
      </c>
      <c r="N27" s="2"/>
    </row>
    <row r="28" spans="1:15" ht="19.5" customHeight="1">
      <c r="A28" s="8">
        <v>43762</v>
      </c>
      <c r="B28" s="57"/>
      <c r="C28" s="57"/>
      <c r="D28" s="22">
        <v>213.8</v>
      </c>
      <c r="E28" s="34">
        <v>949</v>
      </c>
      <c r="F28" s="25">
        <v>212.56</v>
      </c>
      <c r="G28" s="11">
        <v>819.31</v>
      </c>
      <c r="H28" s="9">
        <v>1216</v>
      </c>
      <c r="I28" s="24">
        <v>0</v>
      </c>
      <c r="J28" s="1">
        <v>20</v>
      </c>
      <c r="K28" s="1">
        <v>15</v>
      </c>
      <c r="L28" s="24">
        <v>0</v>
      </c>
      <c r="M28" s="24">
        <f t="shared" si="0"/>
        <v>35</v>
      </c>
      <c r="N28" s="2"/>
    </row>
    <row r="29" spans="1:15" ht="19.5" customHeight="1">
      <c r="A29" s="8">
        <v>43763</v>
      </c>
      <c r="B29" s="57"/>
      <c r="C29" s="57"/>
      <c r="D29" s="22">
        <v>213.8</v>
      </c>
      <c r="E29" s="34">
        <v>949</v>
      </c>
      <c r="F29" s="25">
        <v>213.44</v>
      </c>
      <c r="G29" s="11">
        <v>911.54</v>
      </c>
      <c r="H29" s="9">
        <v>1137</v>
      </c>
      <c r="I29" s="24">
        <v>0</v>
      </c>
      <c r="J29" s="1">
        <v>70</v>
      </c>
      <c r="K29" s="1">
        <v>0</v>
      </c>
      <c r="L29" s="24">
        <v>0</v>
      </c>
      <c r="M29" s="24">
        <f t="shared" si="0"/>
        <v>70</v>
      </c>
      <c r="N29" s="2"/>
    </row>
    <row r="30" spans="1:15" ht="19.5" customHeight="1">
      <c r="A30" s="8">
        <v>43764</v>
      </c>
      <c r="B30" s="57"/>
      <c r="C30" s="57"/>
      <c r="D30" s="22">
        <v>213.8</v>
      </c>
      <c r="E30" s="34">
        <v>949</v>
      </c>
      <c r="F30" s="25">
        <v>213.55</v>
      </c>
      <c r="G30" s="11">
        <v>922.38</v>
      </c>
      <c r="H30" s="9">
        <v>526</v>
      </c>
      <c r="I30" s="24">
        <v>600</v>
      </c>
      <c r="J30" s="1">
        <v>70</v>
      </c>
      <c r="K30" s="1">
        <v>0</v>
      </c>
      <c r="L30" s="24">
        <v>0</v>
      </c>
      <c r="M30" s="24">
        <f t="shared" si="0"/>
        <v>670</v>
      </c>
      <c r="N30" s="2"/>
    </row>
    <row r="31" spans="1:15" ht="21" customHeight="1">
      <c r="A31" s="8">
        <v>43765</v>
      </c>
      <c r="B31" s="57"/>
      <c r="C31" s="57"/>
      <c r="D31" s="22">
        <v>213.8</v>
      </c>
      <c r="E31" s="34">
        <v>949</v>
      </c>
      <c r="F31" s="25">
        <v>213.61</v>
      </c>
      <c r="G31" s="11">
        <v>929.09</v>
      </c>
      <c r="H31" s="9">
        <v>437</v>
      </c>
      <c r="I31" s="24">
        <v>250</v>
      </c>
      <c r="J31" s="1">
        <v>0</v>
      </c>
      <c r="K31" s="1">
        <v>0</v>
      </c>
      <c r="L31" s="24">
        <v>0</v>
      </c>
      <c r="M31" s="24">
        <f t="shared" si="0"/>
        <v>250</v>
      </c>
      <c r="N31" s="2"/>
    </row>
    <row r="32" spans="1:15" ht="21" customHeight="1">
      <c r="A32" s="8">
        <v>43766</v>
      </c>
      <c r="B32" s="57"/>
      <c r="C32" s="57"/>
      <c r="D32" s="22">
        <v>213.8</v>
      </c>
      <c r="E32" s="34">
        <v>949</v>
      </c>
      <c r="F32" s="25">
        <v>213.61</v>
      </c>
      <c r="G32" s="11">
        <v>929.09</v>
      </c>
      <c r="H32" s="9">
        <v>437</v>
      </c>
      <c r="I32" s="24">
        <v>250</v>
      </c>
      <c r="J32" s="1">
        <v>0</v>
      </c>
      <c r="K32" s="1">
        <v>0</v>
      </c>
      <c r="L32" s="24">
        <v>0</v>
      </c>
      <c r="M32" s="24">
        <f t="shared" si="0"/>
        <v>250</v>
      </c>
      <c r="N32" s="2"/>
    </row>
    <row r="33" spans="1:15" ht="21" customHeight="1">
      <c r="A33" s="8">
        <v>43767</v>
      </c>
      <c r="B33" s="57"/>
      <c r="C33" s="57"/>
      <c r="D33" s="22">
        <v>213.8</v>
      </c>
      <c r="E33" s="34">
        <v>949</v>
      </c>
      <c r="F33" s="25">
        <v>213.59</v>
      </c>
      <c r="G33" s="11">
        <v>926.62</v>
      </c>
      <c r="H33" s="9">
        <v>281</v>
      </c>
      <c r="I33" s="24">
        <v>600</v>
      </c>
      <c r="J33" s="1">
        <v>20</v>
      </c>
      <c r="K33" s="1">
        <v>0</v>
      </c>
      <c r="L33" s="24">
        <v>0</v>
      </c>
      <c r="M33" s="24">
        <f t="shared" si="0"/>
        <v>620</v>
      </c>
      <c r="N33" s="2"/>
    </row>
    <row r="34" spans="1:15" ht="21" customHeight="1">
      <c r="A34" s="8">
        <v>43768</v>
      </c>
      <c r="B34" s="57"/>
      <c r="C34" s="57"/>
      <c r="D34" s="22">
        <v>213.8</v>
      </c>
      <c r="E34" s="34">
        <v>949</v>
      </c>
      <c r="F34" s="25">
        <v>213.6</v>
      </c>
      <c r="G34" s="11">
        <v>928.27</v>
      </c>
      <c r="H34" s="9">
        <v>233</v>
      </c>
      <c r="I34" s="24">
        <v>200</v>
      </c>
      <c r="J34" s="1">
        <v>20</v>
      </c>
      <c r="K34" s="1">
        <v>0</v>
      </c>
      <c r="L34" s="24">
        <v>0</v>
      </c>
      <c r="M34" s="24">
        <f t="shared" si="0"/>
        <v>220</v>
      </c>
      <c r="N34" s="2"/>
    </row>
    <row r="35" spans="1:15" ht="21" customHeight="1">
      <c r="A35" s="8">
        <v>43769</v>
      </c>
      <c r="B35" s="58"/>
      <c r="C35" s="58"/>
      <c r="D35" s="23">
        <v>213.8</v>
      </c>
      <c r="E35" s="34">
        <v>949</v>
      </c>
      <c r="F35" s="26">
        <v>213.59</v>
      </c>
      <c r="G35" s="11">
        <v>926.62</v>
      </c>
      <c r="H35" s="9">
        <v>251</v>
      </c>
      <c r="I35" s="24">
        <v>250</v>
      </c>
      <c r="J35" s="1">
        <v>20</v>
      </c>
      <c r="K35" s="1">
        <v>0</v>
      </c>
      <c r="L35" s="24">
        <v>0</v>
      </c>
      <c r="M35" s="24">
        <f t="shared" si="0"/>
        <v>270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9732</v>
      </c>
      <c r="I36" s="16">
        <f t="shared" ref="I36:M36" si="1">SUM(I5:I35)</f>
        <v>2150</v>
      </c>
      <c r="J36" s="16">
        <f t="shared" si="1"/>
        <v>800</v>
      </c>
      <c r="K36" s="16">
        <f t="shared" si="1"/>
        <v>290</v>
      </c>
      <c r="L36" s="16">
        <f t="shared" si="1"/>
        <v>0</v>
      </c>
      <c r="M36" s="16">
        <f t="shared" si="1"/>
        <v>3240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0.84085018144116119</v>
      </c>
      <c r="I37" s="5"/>
      <c r="J37" s="5">
        <f>J36/11574</f>
        <v>6.9120442370831175E-2</v>
      </c>
      <c r="K37" s="5">
        <f>K36/11574</f>
        <v>2.5056160359426299E-2</v>
      </c>
      <c r="L37" s="28"/>
      <c r="M37" s="28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10" zoomScale="60" workbookViewId="0">
      <selection activeCell="G34" sqref="G5:G34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30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43770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213.57</v>
      </c>
      <c r="G5" s="11">
        <v>925.52</v>
      </c>
      <c r="H5" s="9">
        <v>257</v>
      </c>
      <c r="I5" s="24">
        <v>250</v>
      </c>
      <c r="J5" s="1">
        <v>20</v>
      </c>
      <c r="K5" s="1">
        <v>0</v>
      </c>
      <c r="L5" s="24">
        <v>0</v>
      </c>
      <c r="M5" s="24">
        <f>L5+K5+J5+I5</f>
        <v>270</v>
      </c>
      <c r="N5" s="2"/>
    </row>
    <row r="6" spans="1:14" ht="19.5" customHeight="1">
      <c r="A6" s="8">
        <v>43771</v>
      </c>
      <c r="B6" s="57"/>
      <c r="C6" s="57"/>
      <c r="D6" s="22">
        <v>213.8</v>
      </c>
      <c r="E6" s="34">
        <v>949</v>
      </c>
      <c r="F6" s="25">
        <v>213.59</v>
      </c>
      <c r="G6" s="11">
        <v>926.62</v>
      </c>
      <c r="H6" s="9">
        <v>232</v>
      </c>
      <c r="I6" s="24">
        <v>250</v>
      </c>
      <c r="J6" s="1">
        <v>20</v>
      </c>
      <c r="K6" s="1">
        <v>0</v>
      </c>
      <c r="L6" s="24">
        <v>0</v>
      </c>
      <c r="M6" s="24">
        <f t="shared" ref="M6:M34" si="0">L6+K6+J6+I6</f>
        <v>270</v>
      </c>
      <c r="N6" s="2"/>
    </row>
    <row r="7" spans="1:14" ht="19.5" customHeight="1">
      <c r="A7" s="8">
        <v>43772</v>
      </c>
      <c r="B7" s="57"/>
      <c r="C7" s="57"/>
      <c r="D7" s="22">
        <v>213.8</v>
      </c>
      <c r="E7" s="34">
        <v>949</v>
      </c>
      <c r="F7" s="25">
        <v>213.61</v>
      </c>
      <c r="G7" s="11">
        <v>929.09</v>
      </c>
      <c r="H7" s="9">
        <v>118</v>
      </c>
      <c r="I7" s="24">
        <v>0</v>
      </c>
      <c r="J7" s="1">
        <v>20</v>
      </c>
      <c r="K7" s="1">
        <v>70</v>
      </c>
      <c r="L7" s="24">
        <v>0</v>
      </c>
      <c r="M7" s="24">
        <f t="shared" si="0"/>
        <v>90</v>
      </c>
      <c r="N7" s="2"/>
    </row>
    <row r="8" spans="1:14" ht="19.5" customHeight="1">
      <c r="A8" s="8">
        <v>43773</v>
      </c>
      <c r="B8" s="57"/>
      <c r="C8" s="57"/>
      <c r="D8" s="22">
        <v>213.8</v>
      </c>
      <c r="E8" s="34">
        <v>949</v>
      </c>
      <c r="F8" s="25">
        <v>213.61</v>
      </c>
      <c r="G8" s="11">
        <v>929.29</v>
      </c>
      <c r="H8" s="9">
        <v>90</v>
      </c>
      <c r="I8" s="24">
        <v>0</v>
      </c>
      <c r="J8" s="1">
        <v>20</v>
      </c>
      <c r="K8" s="1">
        <v>70</v>
      </c>
      <c r="L8" s="24">
        <v>0</v>
      </c>
      <c r="M8" s="24">
        <f t="shared" si="0"/>
        <v>90</v>
      </c>
      <c r="N8" s="2"/>
    </row>
    <row r="9" spans="1:14" ht="19.5" customHeight="1">
      <c r="A9" s="8">
        <v>43774</v>
      </c>
      <c r="B9" s="57"/>
      <c r="C9" s="57"/>
      <c r="D9" s="22">
        <v>213.8</v>
      </c>
      <c r="E9" s="34">
        <v>949</v>
      </c>
      <c r="F9" s="25">
        <v>213.68</v>
      </c>
      <c r="G9" s="11">
        <v>930.86</v>
      </c>
      <c r="H9" s="9">
        <v>110</v>
      </c>
      <c r="I9" s="24">
        <v>0</v>
      </c>
      <c r="J9" s="1">
        <v>90</v>
      </c>
      <c r="K9" s="1">
        <v>0</v>
      </c>
      <c r="L9" s="24">
        <v>0</v>
      </c>
      <c r="M9" s="24">
        <f t="shared" si="0"/>
        <v>90</v>
      </c>
      <c r="N9" s="2"/>
    </row>
    <row r="10" spans="1:14" ht="19.5" customHeight="1">
      <c r="A10" s="8">
        <v>43775</v>
      </c>
      <c r="B10" s="57"/>
      <c r="C10" s="57"/>
      <c r="D10" s="22">
        <v>213.8</v>
      </c>
      <c r="E10" s="34">
        <v>949</v>
      </c>
      <c r="F10" s="25">
        <v>213.63</v>
      </c>
      <c r="G10" s="11">
        <v>930.86</v>
      </c>
      <c r="H10" s="9">
        <v>90</v>
      </c>
      <c r="I10" s="24">
        <v>0</v>
      </c>
      <c r="J10" s="1">
        <v>20</v>
      </c>
      <c r="K10" s="1">
        <v>70</v>
      </c>
      <c r="L10" s="24">
        <v>0</v>
      </c>
      <c r="M10" s="24">
        <f t="shared" si="0"/>
        <v>90</v>
      </c>
      <c r="N10" s="2"/>
    </row>
    <row r="11" spans="1:14" ht="19.5" customHeight="1">
      <c r="A11" s="8">
        <v>43776</v>
      </c>
      <c r="B11" s="57"/>
      <c r="C11" s="57"/>
      <c r="D11" s="22">
        <v>213.8</v>
      </c>
      <c r="E11" s="34">
        <v>949</v>
      </c>
      <c r="F11" s="25">
        <v>213.61</v>
      </c>
      <c r="G11" s="11">
        <v>929.09</v>
      </c>
      <c r="H11" s="9">
        <v>70</v>
      </c>
      <c r="I11" s="24">
        <v>0</v>
      </c>
      <c r="J11" s="1">
        <v>20</v>
      </c>
      <c r="K11" s="1">
        <v>70</v>
      </c>
      <c r="L11" s="24">
        <v>0</v>
      </c>
      <c r="M11" s="24">
        <f t="shared" si="0"/>
        <v>90</v>
      </c>
      <c r="N11" s="2"/>
    </row>
    <row r="12" spans="1:14" ht="19.5" customHeight="1">
      <c r="A12" s="8">
        <v>43777</v>
      </c>
      <c r="B12" s="57"/>
      <c r="C12" s="57"/>
      <c r="D12" s="22">
        <v>213.8</v>
      </c>
      <c r="E12" s="34">
        <v>949</v>
      </c>
      <c r="F12" s="25">
        <v>213.59</v>
      </c>
      <c r="G12" s="11">
        <v>926.62</v>
      </c>
      <c r="H12" s="9">
        <v>80</v>
      </c>
      <c r="I12" s="24">
        <v>0</v>
      </c>
      <c r="J12" s="1">
        <v>20</v>
      </c>
      <c r="K12" s="1">
        <v>70</v>
      </c>
      <c r="L12" s="24">
        <v>0</v>
      </c>
      <c r="M12" s="24">
        <f t="shared" si="0"/>
        <v>90</v>
      </c>
      <c r="N12" s="2"/>
    </row>
    <row r="13" spans="1:14" ht="19.5" customHeight="1">
      <c r="A13" s="8">
        <v>43778</v>
      </c>
      <c r="B13" s="57"/>
      <c r="C13" s="57"/>
      <c r="D13" s="22">
        <v>213.8</v>
      </c>
      <c r="E13" s="34">
        <v>949</v>
      </c>
      <c r="F13" s="26">
        <v>213.6</v>
      </c>
      <c r="G13" s="25">
        <v>928.03</v>
      </c>
      <c r="H13" s="9">
        <v>77</v>
      </c>
      <c r="I13" s="24">
        <v>0</v>
      </c>
      <c r="J13" s="1">
        <v>20</v>
      </c>
      <c r="K13" s="1">
        <v>70</v>
      </c>
      <c r="L13" s="24">
        <v>0</v>
      </c>
      <c r="M13" s="24">
        <f t="shared" si="0"/>
        <v>90</v>
      </c>
      <c r="N13" s="2"/>
    </row>
    <row r="14" spans="1:14" ht="19.5" customHeight="1">
      <c r="A14" s="8">
        <v>43779</v>
      </c>
      <c r="B14" s="57"/>
      <c r="C14" s="57"/>
      <c r="D14" s="22">
        <v>213.8</v>
      </c>
      <c r="E14" s="34">
        <v>949</v>
      </c>
      <c r="F14" s="25">
        <v>213.6</v>
      </c>
      <c r="G14" s="11">
        <v>928.03</v>
      </c>
      <c r="H14" s="9">
        <v>77</v>
      </c>
      <c r="I14" s="24">
        <v>0</v>
      </c>
      <c r="J14" s="1">
        <v>20</v>
      </c>
      <c r="K14" s="1">
        <v>70</v>
      </c>
      <c r="L14" s="24">
        <v>0</v>
      </c>
      <c r="M14" s="24">
        <f t="shared" si="0"/>
        <v>90</v>
      </c>
      <c r="N14" s="2"/>
    </row>
    <row r="15" spans="1:14" ht="19.5" customHeight="1">
      <c r="A15" s="8">
        <v>43780</v>
      </c>
      <c r="B15" s="57"/>
      <c r="C15" s="57"/>
      <c r="D15" s="22">
        <v>213.8</v>
      </c>
      <c r="E15" s="34">
        <v>949</v>
      </c>
      <c r="F15" s="25">
        <v>213.58</v>
      </c>
      <c r="G15" s="11">
        <v>925.56</v>
      </c>
      <c r="H15" s="9">
        <v>81</v>
      </c>
      <c r="I15" s="24">
        <v>0</v>
      </c>
      <c r="J15" s="1">
        <v>40</v>
      </c>
      <c r="K15" s="1">
        <v>70</v>
      </c>
      <c r="L15" s="24">
        <v>0</v>
      </c>
      <c r="M15" s="24">
        <f t="shared" si="0"/>
        <v>110</v>
      </c>
      <c r="N15" s="2"/>
    </row>
    <row r="16" spans="1:14" ht="19.5" customHeight="1">
      <c r="A16" s="8">
        <v>43781</v>
      </c>
      <c r="B16" s="57"/>
      <c r="C16" s="57"/>
      <c r="D16" s="22">
        <v>213.8</v>
      </c>
      <c r="E16" s="34">
        <v>949</v>
      </c>
      <c r="F16" s="25">
        <v>213.54</v>
      </c>
      <c r="G16" s="11">
        <v>921.33</v>
      </c>
      <c r="H16" s="9">
        <v>55</v>
      </c>
      <c r="I16" s="24">
        <v>0</v>
      </c>
      <c r="J16" s="1">
        <v>40</v>
      </c>
      <c r="K16" s="1">
        <v>70</v>
      </c>
      <c r="L16" s="24">
        <v>0</v>
      </c>
      <c r="M16" s="24">
        <f t="shared" si="0"/>
        <v>110</v>
      </c>
      <c r="N16" s="2"/>
    </row>
    <row r="17" spans="1:15" ht="19.5" customHeight="1">
      <c r="A17" s="8">
        <v>43782</v>
      </c>
      <c r="B17" s="57"/>
      <c r="C17" s="57"/>
      <c r="D17" s="22">
        <v>213.8</v>
      </c>
      <c r="E17" s="34">
        <v>949</v>
      </c>
      <c r="F17" s="25">
        <v>213.54</v>
      </c>
      <c r="G17" s="11">
        <v>921.33</v>
      </c>
      <c r="H17" s="9">
        <v>110</v>
      </c>
      <c r="I17" s="24">
        <v>0</v>
      </c>
      <c r="J17" s="1">
        <v>40</v>
      </c>
      <c r="K17" s="1">
        <v>70</v>
      </c>
      <c r="L17" s="24">
        <v>0</v>
      </c>
      <c r="M17" s="24">
        <f t="shared" si="0"/>
        <v>110</v>
      </c>
      <c r="N17" s="2"/>
    </row>
    <row r="18" spans="1:15" ht="19.5" customHeight="1">
      <c r="A18" s="8">
        <v>43783</v>
      </c>
      <c r="B18" s="57"/>
      <c r="C18" s="57"/>
      <c r="D18" s="22">
        <v>213.8</v>
      </c>
      <c r="E18" s="34">
        <v>949</v>
      </c>
      <c r="F18" s="25">
        <v>213.49</v>
      </c>
      <c r="G18" s="11">
        <v>916.03</v>
      </c>
      <c r="H18" s="9">
        <v>48</v>
      </c>
      <c r="I18" s="24">
        <v>0</v>
      </c>
      <c r="J18" s="1">
        <v>40</v>
      </c>
      <c r="K18" s="1">
        <v>70</v>
      </c>
      <c r="L18" s="24">
        <v>0</v>
      </c>
      <c r="M18" s="24">
        <f t="shared" si="0"/>
        <v>110</v>
      </c>
      <c r="N18" s="2"/>
    </row>
    <row r="19" spans="1:15" ht="19.5" customHeight="1">
      <c r="A19" s="8">
        <v>43784</v>
      </c>
      <c r="B19" s="57"/>
      <c r="C19" s="57"/>
      <c r="D19" s="22">
        <v>213.8</v>
      </c>
      <c r="E19" s="34">
        <v>949</v>
      </c>
      <c r="F19" s="25">
        <v>213.46</v>
      </c>
      <c r="G19" s="11">
        <v>913.01</v>
      </c>
      <c r="H19" s="9">
        <v>78</v>
      </c>
      <c r="I19" s="24">
        <v>0</v>
      </c>
      <c r="J19" s="1">
        <v>40</v>
      </c>
      <c r="K19" s="1">
        <v>70</v>
      </c>
      <c r="L19" s="24">
        <v>0</v>
      </c>
      <c r="M19" s="24">
        <f t="shared" si="0"/>
        <v>110</v>
      </c>
      <c r="N19" s="2"/>
    </row>
    <row r="20" spans="1:15" ht="19.5" customHeight="1">
      <c r="A20" s="8">
        <v>43785</v>
      </c>
      <c r="B20" s="57"/>
      <c r="C20" s="57"/>
      <c r="D20" s="22">
        <v>213.8</v>
      </c>
      <c r="E20" s="34">
        <v>949</v>
      </c>
      <c r="F20" s="25">
        <v>213.43</v>
      </c>
      <c r="G20" s="11">
        <v>910.03</v>
      </c>
      <c r="H20" s="9">
        <v>21</v>
      </c>
      <c r="I20" s="24">
        <v>0</v>
      </c>
      <c r="J20" s="1">
        <v>40</v>
      </c>
      <c r="K20" s="1">
        <v>50</v>
      </c>
      <c r="L20" s="24">
        <v>0</v>
      </c>
      <c r="M20" s="24">
        <f t="shared" si="0"/>
        <v>90</v>
      </c>
      <c r="N20" s="2"/>
    </row>
    <row r="21" spans="1:15" ht="19.5" customHeight="1">
      <c r="A21" s="8">
        <v>43786</v>
      </c>
      <c r="B21" s="57"/>
      <c r="C21" s="57"/>
      <c r="D21" s="22">
        <v>213.8</v>
      </c>
      <c r="E21" s="34">
        <v>949</v>
      </c>
      <c r="F21" s="25">
        <v>213.39</v>
      </c>
      <c r="G21" s="11">
        <v>905.79</v>
      </c>
      <c r="H21" s="9">
        <v>41</v>
      </c>
      <c r="I21" s="24">
        <v>0</v>
      </c>
      <c r="J21" s="1">
        <v>40</v>
      </c>
      <c r="K21" s="1">
        <v>50</v>
      </c>
      <c r="L21" s="24">
        <v>0</v>
      </c>
      <c r="M21" s="24">
        <f t="shared" si="0"/>
        <v>90</v>
      </c>
      <c r="N21" s="2"/>
    </row>
    <row r="22" spans="1:15" ht="19.5" customHeight="1">
      <c r="A22" s="8">
        <v>43787</v>
      </c>
      <c r="B22" s="57"/>
      <c r="C22" s="57"/>
      <c r="D22" s="22">
        <v>213.8</v>
      </c>
      <c r="E22" s="34">
        <v>949</v>
      </c>
      <c r="F22" s="25">
        <v>213.36</v>
      </c>
      <c r="G22" s="11">
        <v>902.97</v>
      </c>
      <c r="H22" s="9">
        <v>57</v>
      </c>
      <c r="I22" s="24">
        <v>0</v>
      </c>
      <c r="J22" s="1">
        <v>40</v>
      </c>
      <c r="K22" s="1">
        <v>50</v>
      </c>
      <c r="L22" s="24">
        <v>0</v>
      </c>
      <c r="M22" s="24">
        <f t="shared" si="0"/>
        <v>90</v>
      </c>
      <c r="N22" s="2"/>
    </row>
    <row r="23" spans="1:15" ht="19.5" customHeight="1">
      <c r="A23" s="8">
        <v>43788</v>
      </c>
      <c r="B23" s="57"/>
      <c r="C23" s="57"/>
      <c r="D23" s="22">
        <v>213.8</v>
      </c>
      <c r="E23" s="34">
        <v>949</v>
      </c>
      <c r="F23" s="25">
        <v>213.8</v>
      </c>
      <c r="G23" s="11">
        <v>897.69</v>
      </c>
      <c r="H23" s="9">
        <v>28</v>
      </c>
      <c r="I23" s="24">
        <v>0</v>
      </c>
      <c r="J23" s="1">
        <v>40</v>
      </c>
      <c r="K23" s="1">
        <v>50</v>
      </c>
      <c r="L23" s="24">
        <v>0</v>
      </c>
      <c r="M23" s="24">
        <f t="shared" si="0"/>
        <v>90</v>
      </c>
      <c r="N23" s="2"/>
    </row>
    <row r="24" spans="1:15" ht="19.5" customHeight="1">
      <c r="A24" s="8">
        <v>43789</v>
      </c>
      <c r="B24" s="57"/>
      <c r="C24" s="57"/>
      <c r="D24" s="22">
        <v>213.8</v>
      </c>
      <c r="E24" s="34">
        <v>949</v>
      </c>
      <c r="F24" s="25">
        <v>213.3</v>
      </c>
      <c r="G24" s="11">
        <v>896.62</v>
      </c>
      <c r="H24" s="9">
        <v>77</v>
      </c>
      <c r="I24" s="24">
        <v>0</v>
      </c>
      <c r="J24" s="1">
        <v>40</v>
      </c>
      <c r="K24" s="1">
        <v>50</v>
      </c>
      <c r="L24" s="24">
        <v>0</v>
      </c>
      <c r="M24" s="24">
        <f t="shared" si="0"/>
        <v>90</v>
      </c>
      <c r="N24" s="2"/>
    </row>
    <row r="25" spans="1:15" ht="19.5" customHeight="1">
      <c r="A25" s="8">
        <v>43790</v>
      </c>
      <c r="B25" s="57"/>
      <c r="C25" s="57"/>
      <c r="D25" s="22">
        <v>213.8</v>
      </c>
      <c r="E25" s="34">
        <v>949</v>
      </c>
      <c r="F25" s="25">
        <v>213.26</v>
      </c>
      <c r="G25" s="11">
        <v>892.38</v>
      </c>
      <c r="H25" s="9">
        <v>41</v>
      </c>
      <c r="I25" s="24">
        <v>0</v>
      </c>
      <c r="J25" s="1">
        <v>40</v>
      </c>
      <c r="K25" s="1">
        <v>50</v>
      </c>
      <c r="L25" s="24">
        <v>0</v>
      </c>
      <c r="M25" s="24">
        <f t="shared" si="0"/>
        <v>90</v>
      </c>
      <c r="N25" s="2"/>
    </row>
    <row r="26" spans="1:15" ht="19.5" customHeight="1">
      <c r="A26" s="8">
        <v>43791</v>
      </c>
      <c r="B26" s="57"/>
      <c r="C26" s="57"/>
      <c r="D26" s="22">
        <v>213.8</v>
      </c>
      <c r="E26" s="34">
        <v>949</v>
      </c>
      <c r="F26" s="25">
        <v>213.23</v>
      </c>
      <c r="G26" s="11">
        <v>889.2</v>
      </c>
      <c r="H26" s="9">
        <v>53</v>
      </c>
      <c r="I26" s="24">
        <v>0</v>
      </c>
      <c r="J26" s="1">
        <v>40</v>
      </c>
      <c r="K26" s="1">
        <v>50</v>
      </c>
      <c r="L26" s="24">
        <v>0</v>
      </c>
      <c r="M26" s="24">
        <f t="shared" si="0"/>
        <v>90</v>
      </c>
      <c r="N26" s="2"/>
      <c r="O26" s="18"/>
    </row>
    <row r="27" spans="1:15" ht="19.5" customHeight="1">
      <c r="A27" s="8">
        <v>43792</v>
      </c>
      <c r="B27" s="57"/>
      <c r="C27" s="57"/>
      <c r="D27" s="22">
        <v>213.8</v>
      </c>
      <c r="E27" s="34">
        <v>949</v>
      </c>
      <c r="F27" s="25">
        <v>213.2</v>
      </c>
      <c r="G27" s="11">
        <v>888.2</v>
      </c>
      <c r="H27" s="9">
        <v>54</v>
      </c>
      <c r="I27" s="24">
        <v>0</v>
      </c>
      <c r="J27" s="1">
        <v>40</v>
      </c>
      <c r="K27" s="1">
        <v>40</v>
      </c>
      <c r="L27" s="24">
        <v>0</v>
      </c>
      <c r="M27" s="24">
        <f t="shared" si="0"/>
        <v>80</v>
      </c>
      <c r="N27" s="2"/>
    </row>
    <row r="28" spans="1:15" ht="19.5" customHeight="1">
      <c r="A28" s="8">
        <v>43793</v>
      </c>
      <c r="B28" s="57"/>
      <c r="C28" s="57"/>
      <c r="D28" s="22">
        <v>213.8</v>
      </c>
      <c r="E28" s="34">
        <v>949</v>
      </c>
      <c r="F28" s="25">
        <v>213.18</v>
      </c>
      <c r="G28" s="11">
        <v>883.91</v>
      </c>
      <c r="H28" s="9">
        <v>30</v>
      </c>
      <c r="I28" s="24">
        <v>0</v>
      </c>
      <c r="J28" s="1">
        <v>40</v>
      </c>
      <c r="K28" s="1">
        <v>40</v>
      </c>
      <c r="L28" s="24">
        <v>0</v>
      </c>
      <c r="M28" s="24">
        <f t="shared" si="0"/>
        <v>80</v>
      </c>
      <c r="N28" s="2"/>
    </row>
    <row r="29" spans="1:15" ht="19.5" customHeight="1">
      <c r="A29" s="8">
        <v>43794</v>
      </c>
      <c r="B29" s="57"/>
      <c r="C29" s="57"/>
      <c r="D29" s="22">
        <v>213.8</v>
      </c>
      <c r="E29" s="34">
        <v>949</v>
      </c>
      <c r="F29" s="25">
        <v>213.15</v>
      </c>
      <c r="G29" s="11">
        <v>880.75</v>
      </c>
      <c r="H29" s="9">
        <v>43</v>
      </c>
      <c r="I29" s="24">
        <v>0</v>
      </c>
      <c r="J29" s="1">
        <v>40</v>
      </c>
      <c r="K29" s="1">
        <v>40</v>
      </c>
      <c r="L29" s="24">
        <v>0</v>
      </c>
      <c r="M29" s="24">
        <f t="shared" si="0"/>
        <v>80</v>
      </c>
      <c r="N29" s="2"/>
    </row>
    <row r="30" spans="1:15" ht="19.5" customHeight="1">
      <c r="A30" s="8">
        <v>43795</v>
      </c>
      <c r="B30" s="57"/>
      <c r="C30" s="57"/>
      <c r="D30" s="22">
        <v>213.8</v>
      </c>
      <c r="E30" s="34">
        <v>949</v>
      </c>
      <c r="F30" s="25">
        <v>213.16</v>
      </c>
      <c r="G30" s="11">
        <v>881.74</v>
      </c>
      <c r="H30" s="9">
        <v>82</v>
      </c>
      <c r="I30" s="24">
        <v>0</v>
      </c>
      <c r="J30" s="1">
        <v>40</v>
      </c>
      <c r="K30" s="1">
        <v>30</v>
      </c>
      <c r="L30" s="24">
        <v>0</v>
      </c>
      <c r="M30" s="24">
        <f t="shared" si="0"/>
        <v>70</v>
      </c>
      <c r="N30" s="2"/>
    </row>
    <row r="31" spans="1:15" ht="21" customHeight="1">
      <c r="A31" s="8">
        <v>43796</v>
      </c>
      <c r="B31" s="57"/>
      <c r="C31" s="57"/>
      <c r="D31" s="22">
        <v>213.8</v>
      </c>
      <c r="E31" s="34">
        <v>949</v>
      </c>
      <c r="F31" s="25">
        <v>213.16</v>
      </c>
      <c r="G31" s="11">
        <v>881.79</v>
      </c>
      <c r="H31" s="9">
        <v>82</v>
      </c>
      <c r="I31" s="24">
        <v>0</v>
      </c>
      <c r="J31" s="1">
        <v>40</v>
      </c>
      <c r="K31" s="1">
        <v>30</v>
      </c>
      <c r="L31" s="24">
        <v>0</v>
      </c>
      <c r="M31" s="24">
        <f t="shared" si="0"/>
        <v>70</v>
      </c>
      <c r="N31" s="2"/>
    </row>
    <row r="32" spans="1:15" ht="21" customHeight="1">
      <c r="A32" s="8">
        <v>43797</v>
      </c>
      <c r="B32" s="57"/>
      <c r="C32" s="57"/>
      <c r="D32" s="22">
        <v>213.8</v>
      </c>
      <c r="E32" s="34">
        <v>949</v>
      </c>
      <c r="F32" s="25">
        <v>213.14</v>
      </c>
      <c r="G32" s="11">
        <v>879.67</v>
      </c>
      <c r="H32" s="9">
        <v>11</v>
      </c>
      <c r="I32" s="24">
        <v>0</v>
      </c>
      <c r="J32" s="1">
        <v>20</v>
      </c>
      <c r="K32" s="1">
        <v>15</v>
      </c>
      <c r="L32" s="24">
        <v>0</v>
      </c>
      <c r="M32" s="24">
        <f t="shared" si="0"/>
        <v>35</v>
      </c>
      <c r="N32" s="2"/>
    </row>
    <row r="33" spans="1:15" ht="21" customHeight="1">
      <c r="A33" s="8">
        <v>43798</v>
      </c>
      <c r="B33" s="57"/>
      <c r="C33" s="57"/>
      <c r="D33" s="22">
        <v>213.8</v>
      </c>
      <c r="E33" s="34">
        <v>949</v>
      </c>
      <c r="F33" s="25">
        <v>213.14</v>
      </c>
      <c r="G33" s="11">
        <v>879.67</v>
      </c>
      <c r="H33" s="9">
        <v>35</v>
      </c>
      <c r="I33" s="24">
        <v>0</v>
      </c>
      <c r="J33" s="1">
        <v>20</v>
      </c>
      <c r="K33" s="1">
        <v>15</v>
      </c>
      <c r="L33" s="24">
        <v>0</v>
      </c>
      <c r="M33" s="24">
        <f t="shared" si="0"/>
        <v>35</v>
      </c>
      <c r="N33" s="2"/>
    </row>
    <row r="34" spans="1:15" ht="21" customHeight="1">
      <c r="A34" s="8">
        <v>43799</v>
      </c>
      <c r="B34" s="57"/>
      <c r="C34" s="57"/>
      <c r="D34" s="22">
        <v>213.8</v>
      </c>
      <c r="E34" s="34">
        <v>949</v>
      </c>
      <c r="F34" s="15">
        <v>213.15</v>
      </c>
      <c r="G34" s="11">
        <v>880.73</v>
      </c>
      <c r="H34" s="9">
        <v>47</v>
      </c>
      <c r="I34" s="24">
        <v>0</v>
      </c>
      <c r="J34" s="1">
        <v>20</v>
      </c>
      <c r="K34" s="1">
        <v>15</v>
      </c>
      <c r="L34" s="24">
        <v>0</v>
      </c>
      <c r="M34" s="24">
        <f t="shared" si="0"/>
        <v>35</v>
      </c>
      <c r="N34" s="2"/>
    </row>
    <row r="35" spans="1:15" ht="21" customHeight="1">
      <c r="A35" s="12"/>
      <c r="B35" s="13"/>
      <c r="C35" s="13"/>
      <c r="D35" s="14"/>
      <c r="E35" s="37"/>
      <c r="G35" s="14"/>
      <c r="H35" s="16">
        <f>SUM(H5:H34)</f>
        <v>2275</v>
      </c>
      <c r="I35" s="16">
        <f t="shared" ref="I35:M35" si="1">SUM(I5:I34)</f>
        <v>500</v>
      </c>
      <c r="J35" s="16">
        <f t="shared" si="1"/>
        <v>1010</v>
      </c>
      <c r="K35" s="16">
        <f t="shared" si="1"/>
        <v>1415</v>
      </c>
      <c r="L35" s="16">
        <f t="shared" si="1"/>
        <v>0</v>
      </c>
      <c r="M35" s="16">
        <f t="shared" si="1"/>
        <v>2925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0.19656125799205115</v>
      </c>
      <c r="I36" s="5"/>
      <c r="J36" s="5">
        <f>J35/11574</f>
        <v>8.7264558493174355E-2</v>
      </c>
      <c r="K36" s="5">
        <f>K35/11574</f>
        <v>0.12225678244340764</v>
      </c>
      <c r="L36" s="28"/>
      <c r="M36" s="28"/>
      <c r="N36" s="7"/>
    </row>
    <row r="37" spans="1:15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5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5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</mergeCells>
  <pageMargins left="0.7" right="0.7" top="0.75" bottom="0.75" header="0" footer="0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4" zoomScale="60" workbookViewId="0">
      <selection activeCell="G35" sqref="G5:G35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5" width="10" style="3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5" t="s">
        <v>8</v>
      </c>
    </row>
    <row r="4" spans="1:14" ht="51.75" customHeight="1">
      <c r="A4" s="48"/>
      <c r="B4" s="48"/>
      <c r="C4" s="48"/>
      <c r="D4" s="48"/>
      <c r="E4" s="61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43800</v>
      </c>
      <c r="B5" s="56" t="s">
        <v>11</v>
      </c>
      <c r="C5" s="56" t="s">
        <v>12</v>
      </c>
      <c r="D5" s="22">
        <v>213.8</v>
      </c>
      <c r="E5" s="34">
        <v>949</v>
      </c>
      <c r="F5" s="25">
        <v>213.16</v>
      </c>
      <c r="G5" s="11">
        <v>881.79</v>
      </c>
      <c r="H5" s="9">
        <v>47</v>
      </c>
      <c r="I5" s="24">
        <v>0</v>
      </c>
      <c r="J5" s="1">
        <v>20</v>
      </c>
      <c r="K5" s="1">
        <v>15</v>
      </c>
      <c r="L5" s="24">
        <v>0</v>
      </c>
      <c r="M5" s="24">
        <f>L5+K5+J5+I5</f>
        <v>35</v>
      </c>
      <c r="N5" s="2"/>
    </row>
    <row r="6" spans="1:14" ht="19.5" customHeight="1">
      <c r="A6" s="8">
        <v>43801</v>
      </c>
      <c r="B6" s="57"/>
      <c r="C6" s="57"/>
      <c r="D6" s="22">
        <v>213.8</v>
      </c>
      <c r="E6" s="34">
        <v>949</v>
      </c>
      <c r="F6" s="25">
        <v>213.16</v>
      </c>
      <c r="G6" s="11">
        <v>881.79</v>
      </c>
      <c r="H6" s="9">
        <v>35</v>
      </c>
      <c r="I6" s="24">
        <v>0</v>
      </c>
      <c r="J6" s="1">
        <v>20</v>
      </c>
      <c r="K6" s="1">
        <v>15</v>
      </c>
      <c r="L6" s="24">
        <v>0</v>
      </c>
      <c r="M6" s="24">
        <f t="shared" ref="M6:M35" si="0">L6+K6+J6+I6</f>
        <v>35</v>
      </c>
      <c r="N6" s="2"/>
    </row>
    <row r="7" spans="1:14" ht="19.5" customHeight="1">
      <c r="A7" s="8">
        <v>43802</v>
      </c>
      <c r="B7" s="57"/>
      <c r="C7" s="57"/>
      <c r="D7" s="22">
        <v>213.8</v>
      </c>
      <c r="E7" s="34">
        <v>949</v>
      </c>
      <c r="F7" s="25">
        <v>213.16</v>
      </c>
      <c r="G7" s="11">
        <v>881.79</v>
      </c>
      <c r="H7" s="9">
        <v>35</v>
      </c>
      <c r="I7" s="24">
        <v>0</v>
      </c>
      <c r="J7" s="1">
        <v>20</v>
      </c>
      <c r="K7" s="1">
        <v>15</v>
      </c>
      <c r="L7" s="24">
        <v>0</v>
      </c>
      <c r="M7" s="24">
        <f t="shared" si="0"/>
        <v>35</v>
      </c>
      <c r="N7" s="2"/>
    </row>
    <row r="8" spans="1:14" ht="19.5" customHeight="1">
      <c r="A8" s="8">
        <v>43803</v>
      </c>
      <c r="B8" s="57"/>
      <c r="C8" s="57"/>
      <c r="D8" s="22">
        <v>213.8</v>
      </c>
      <c r="E8" s="34">
        <v>949</v>
      </c>
      <c r="F8" s="25">
        <v>213.18</v>
      </c>
      <c r="G8" s="11">
        <v>883.91</v>
      </c>
      <c r="H8" s="9">
        <v>59</v>
      </c>
      <c r="I8" s="24">
        <v>0</v>
      </c>
      <c r="J8" s="1">
        <v>20</v>
      </c>
      <c r="K8" s="1">
        <v>15</v>
      </c>
      <c r="L8" s="24">
        <v>0</v>
      </c>
      <c r="M8" s="24">
        <f t="shared" si="0"/>
        <v>35</v>
      </c>
      <c r="N8" s="2"/>
    </row>
    <row r="9" spans="1:14" ht="19.5" customHeight="1">
      <c r="A9" s="8">
        <v>43804</v>
      </c>
      <c r="B9" s="57"/>
      <c r="C9" s="57"/>
      <c r="D9" s="22">
        <v>213.8</v>
      </c>
      <c r="E9" s="34">
        <v>949</v>
      </c>
      <c r="F9" s="25">
        <v>213.19</v>
      </c>
      <c r="G9" s="11">
        <v>884.97</v>
      </c>
      <c r="H9" s="9">
        <v>47</v>
      </c>
      <c r="I9" s="24">
        <v>0</v>
      </c>
      <c r="J9" s="1">
        <v>20</v>
      </c>
      <c r="K9" s="1">
        <v>15</v>
      </c>
      <c r="L9" s="24">
        <v>0</v>
      </c>
      <c r="M9" s="24">
        <f t="shared" si="0"/>
        <v>35</v>
      </c>
      <c r="N9" s="2"/>
    </row>
    <row r="10" spans="1:14" ht="19.5" customHeight="1">
      <c r="A10" s="8">
        <v>43805</v>
      </c>
      <c r="B10" s="57"/>
      <c r="C10" s="57"/>
      <c r="D10" s="22">
        <v>213.8</v>
      </c>
      <c r="E10" s="34">
        <v>949</v>
      </c>
      <c r="F10" s="25">
        <v>213.19</v>
      </c>
      <c r="G10" s="11">
        <v>884.97</v>
      </c>
      <c r="H10" s="9">
        <v>35</v>
      </c>
      <c r="I10" s="24">
        <v>0</v>
      </c>
      <c r="J10" s="1">
        <v>20</v>
      </c>
      <c r="K10" s="1">
        <v>15</v>
      </c>
      <c r="L10" s="24">
        <v>0</v>
      </c>
      <c r="M10" s="24">
        <f t="shared" si="0"/>
        <v>35</v>
      </c>
      <c r="N10" s="2"/>
    </row>
    <row r="11" spans="1:14" ht="19.5" customHeight="1">
      <c r="A11" s="8">
        <v>43806</v>
      </c>
      <c r="B11" s="57"/>
      <c r="C11" s="57"/>
      <c r="D11" s="22">
        <v>213.8</v>
      </c>
      <c r="E11" s="34">
        <v>949</v>
      </c>
      <c r="F11" s="25">
        <v>213.2</v>
      </c>
      <c r="G11" s="11">
        <v>886.3</v>
      </c>
      <c r="H11" s="9">
        <v>47</v>
      </c>
      <c r="I11" s="24">
        <v>0</v>
      </c>
      <c r="J11" s="1">
        <v>20</v>
      </c>
      <c r="K11" s="1">
        <v>15</v>
      </c>
      <c r="L11" s="24">
        <v>0</v>
      </c>
      <c r="M11" s="24">
        <f t="shared" si="0"/>
        <v>35</v>
      </c>
      <c r="N11" s="2"/>
    </row>
    <row r="12" spans="1:14" ht="19.5" customHeight="1">
      <c r="A12" s="8">
        <v>43807</v>
      </c>
      <c r="B12" s="57"/>
      <c r="C12" s="57"/>
      <c r="D12" s="22">
        <v>213.8</v>
      </c>
      <c r="E12" s="34">
        <v>949</v>
      </c>
      <c r="F12" s="25">
        <v>213.2</v>
      </c>
      <c r="G12" s="11">
        <v>886.3</v>
      </c>
      <c r="H12" s="9">
        <v>35</v>
      </c>
      <c r="I12" s="24">
        <v>0</v>
      </c>
      <c r="J12" s="1">
        <v>20</v>
      </c>
      <c r="K12" s="1">
        <v>15</v>
      </c>
      <c r="L12" s="24">
        <v>0</v>
      </c>
      <c r="M12" s="24">
        <f t="shared" si="0"/>
        <v>35</v>
      </c>
      <c r="N12" s="2"/>
    </row>
    <row r="13" spans="1:14" ht="19.5" customHeight="1">
      <c r="A13" s="8">
        <v>43808</v>
      </c>
      <c r="B13" s="57"/>
      <c r="C13" s="57"/>
      <c r="D13" s="22">
        <v>213.8</v>
      </c>
      <c r="E13" s="34">
        <v>949</v>
      </c>
      <c r="F13" s="25">
        <v>213.2</v>
      </c>
      <c r="G13" s="11">
        <v>886.3</v>
      </c>
      <c r="H13" s="9">
        <v>35</v>
      </c>
      <c r="I13" s="24">
        <v>0</v>
      </c>
      <c r="J13" s="1">
        <v>20</v>
      </c>
      <c r="K13" s="1">
        <v>15</v>
      </c>
      <c r="L13" s="24">
        <v>0</v>
      </c>
      <c r="M13" s="24">
        <f t="shared" si="0"/>
        <v>35</v>
      </c>
      <c r="N13" s="2"/>
    </row>
    <row r="14" spans="1:14" ht="19.5" customHeight="1">
      <c r="A14" s="8">
        <v>43809</v>
      </c>
      <c r="B14" s="57"/>
      <c r="C14" s="57"/>
      <c r="D14" s="22">
        <v>213.8</v>
      </c>
      <c r="E14" s="34">
        <v>949</v>
      </c>
      <c r="F14" s="25">
        <v>213.2</v>
      </c>
      <c r="G14" s="11">
        <v>886.3</v>
      </c>
      <c r="H14" s="9">
        <v>71</v>
      </c>
      <c r="I14" s="24">
        <v>0</v>
      </c>
      <c r="J14" s="1">
        <v>20</v>
      </c>
      <c r="K14" s="1">
        <v>15</v>
      </c>
      <c r="L14" s="24">
        <v>0</v>
      </c>
      <c r="M14" s="24">
        <f t="shared" si="0"/>
        <v>35</v>
      </c>
      <c r="N14" s="2"/>
    </row>
    <row r="15" spans="1:14" ht="19.5" customHeight="1">
      <c r="A15" s="8">
        <v>43810</v>
      </c>
      <c r="B15" s="57"/>
      <c r="C15" s="57"/>
      <c r="D15" s="22">
        <v>213.8</v>
      </c>
      <c r="E15" s="34">
        <v>949</v>
      </c>
      <c r="F15" s="25">
        <v>213.23</v>
      </c>
      <c r="G15" s="11">
        <v>889.2</v>
      </c>
      <c r="H15" s="9">
        <v>11</v>
      </c>
      <c r="I15" s="24">
        <v>0</v>
      </c>
      <c r="J15" s="1">
        <v>20</v>
      </c>
      <c r="K15" s="1">
        <v>15</v>
      </c>
      <c r="L15" s="24">
        <v>0</v>
      </c>
      <c r="M15" s="24">
        <f t="shared" si="0"/>
        <v>35</v>
      </c>
      <c r="N15" s="2"/>
    </row>
    <row r="16" spans="1:14" ht="19.5" customHeight="1">
      <c r="A16" s="8">
        <v>43811</v>
      </c>
      <c r="B16" s="57"/>
      <c r="C16" s="57"/>
      <c r="D16" s="22">
        <v>213.8</v>
      </c>
      <c r="E16" s="34">
        <v>949</v>
      </c>
      <c r="F16" s="25">
        <v>213.21</v>
      </c>
      <c r="G16" s="11">
        <v>887.08</v>
      </c>
      <c r="H16" s="9">
        <v>35</v>
      </c>
      <c r="I16" s="24">
        <v>0</v>
      </c>
      <c r="J16" s="1">
        <v>20</v>
      </c>
      <c r="K16" s="1">
        <v>15</v>
      </c>
      <c r="L16" s="24">
        <v>0</v>
      </c>
      <c r="M16" s="24">
        <f t="shared" si="0"/>
        <v>35</v>
      </c>
      <c r="N16" s="2"/>
    </row>
    <row r="17" spans="1:15" ht="19.5" customHeight="1">
      <c r="A17" s="8">
        <v>43812</v>
      </c>
      <c r="B17" s="57"/>
      <c r="C17" s="57"/>
      <c r="D17" s="22">
        <v>213.8</v>
      </c>
      <c r="E17" s="34">
        <v>949</v>
      </c>
      <c r="F17" s="25">
        <v>213.21</v>
      </c>
      <c r="G17" s="11">
        <v>887.08</v>
      </c>
      <c r="H17" s="9">
        <v>59</v>
      </c>
      <c r="I17" s="24">
        <v>0</v>
      </c>
      <c r="J17" s="1">
        <v>20</v>
      </c>
      <c r="K17" s="1">
        <v>15</v>
      </c>
      <c r="L17" s="24">
        <v>0</v>
      </c>
      <c r="M17" s="24">
        <f t="shared" si="0"/>
        <v>35</v>
      </c>
      <c r="N17" s="2"/>
    </row>
    <row r="18" spans="1:15" ht="19.5" customHeight="1">
      <c r="A18" s="8">
        <v>43813</v>
      </c>
      <c r="B18" s="57"/>
      <c r="C18" s="57"/>
      <c r="D18" s="22">
        <v>213.8</v>
      </c>
      <c r="E18" s="34">
        <v>949</v>
      </c>
      <c r="F18" s="25">
        <v>213.23</v>
      </c>
      <c r="G18" s="11">
        <v>889.2</v>
      </c>
      <c r="H18" s="9">
        <v>35</v>
      </c>
      <c r="I18" s="24">
        <v>0</v>
      </c>
      <c r="J18" s="1">
        <v>20</v>
      </c>
      <c r="K18" s="1">
        <v>15</v>
      </c>
      <c r="L18" s="24">
        <v>0</v>
      </c>
      <c r="M18" s="24">
        <f t="shared" si="0"/>
        <v>35</v>
      </c>
      <c r="N18" s="2"/>
    </row>
    <row r="19" spans="1:15" ht="19.5" customHeight="1">
      <c r="A19" s="8">
        <v>43814</v>
      </c>
      <c r="B19" s="57"/>
      <c r="C19" s="57"/>
      <c r="D19" s="22">
        <v>213.8</v>
      </c>
      <c r="E19" s="34">
        <v>949</v>
      </c>
      <c r="F19" s="25">
        <v>213.23</v>
      </c>
      <c r="G19" s="11">
        <v>889.2</v>
      </c>
      <c r="H19" s="9">
        <v>35</v>
      </c>
      <c r="I19" s="24">
        <v>0</v>
      </c>
      <c r="J19" s="1">
        <v>20</v>
      </c>
      <c r="K19" s="1">
        <v>15</v>
      </c>
      <c r="L19" s="24">
        <v>0</v>
      </c>
      <c r="M19" s="24">
        <f t="shared" si="0"/>
        <v>35</v>
      </c>
      <c r="N19" s="2"/>
    </row>
    <row r="20" spans="1:15" ht="19.5" customHeight="1">
      <c r="A20" s="8">
        <v>43815</v>
      </c>
      <c r="B20" s="57"/>
      <c r="C20" s="57"/>
      <c r="D20" s="22">
        <v>213.8</v>
      </c>
      <c r="E20" s="34">
        <v>949</v>
      </c>
      <c r="F20" s="25">
        <v>213.23</v>
      </c>
      <c r="G20" s="11">
        <v>889.2</v>
      </c>
      <c r="H20" s="9">
        <v>35</v>
      </c>
      <c r="I20" s="24">
        <v>0</v>
      </c>
      <c r="J20" s="1">
        <v>20</v>
      </c>
      <c r="K20" s="1">
        <v>15</v>
      </c>
      <c r="L20" s="24">
        <v>0</v>
      </c>
      <c r="M20" s="24">
        <f t="shared" si="0"/>
        <v>35</v>
      </c>
      <c r="N20" s="2"/>
    </row>
    <row r="21" spans="1:15" ht="19.5" customHeight="1">
      <c r="A21" s="8">
        <v>43816</v>
      </c>
      <c r="B21" s="57"/>
      <c r="C21" s="57"/>
      <c r="D21" s="22">
        <v>213.8</v>
      </c>
      <c r="E21" s="34">
        <v>949</v>
      </c>
      <c r="F21" s="25">
        <v>213.23</v>
      </c>
      <c r="G21" s="11">
        <v>889.2</v>
      </c>
      <c r="H21" s="9">
        <v>35</v>
      </c>
      <c r="I21" s="24">
        <v>0</v>
      </c>
      <c r="J21" s="1">
        <v>20</v>
      </c>
      <c r="K21" s="1">
        <v>15</v>
      </c>
      <c r="L21" s="24">
        <v>0</v>
      </c>
      <c r="M21" s="24">
        <f t="shared" si="0"/>
        <v>35</v>
      </c>
      <c r="N21" s="2"/>
    </row>
    <row r="22" spans="1:15" ht="19.5" customHeight="1">
      <c r="A22" s="8">
        <v>43817</v>
      </c>
      <c r="B22" s="57"/>
      <c r="C22" s="57"/>
      <c r="D22" s="22">
        <v>213.8</v>
      </c>
      <c r="E22" s="34">
        <v>949</v>
      </c>
      <c r="F22" s="25">
        <v>213.23</v>
      </c>
      <c r="G22" s="11">
        <v>889.2</v>
      </c>
      <c r="H22" s="9">
        <v>35</v>
      </c>
      <c r="I22" s="24">
        <v>0</v>
      </c>
      <c r="J22" s="1">
        <v>20</v>
      </c>
      <c r="K22" s="1">
        <v>15</v>
      </c>
      <c r="L22" s="24">
        <v>0</v>
      </c>
      <c r="M22" s="24">
        <f t="shared" si="0"/>
        <v>35</v>
      </c>
      <c r="N22" s="2"/>
    </row>
    <row r="23" spans="1:15" ht="19.5" customHeight="1">
      <c r="A23" s="8">
        <v>43818</v>
      </c>
      <c r="B23" s="57"/>
      <c r="C23" s="57"/>
      <c r="D23" s="22">
        <v>213.8</v>
      </c>
      <c r="E23" s="34">
        <v>949</v>
      </c>
      <c r="F23" s="25">
        <v>213.23</v>
      </c>
      <c r="G23" s="11">
        <v>889.2</v>
      </c>
      <c r="H23" s="9">
        <v>35</v>
      </c>
      <c r="I23" s="24">
        <v>0</v>
      </c>
      <c r="J23" s="1">
        <v>20</v>
      </c>
      <c r="K23" s="1">
        <v>15</v>
      </c>
      <c r="L23" s="24">
        <v>0</v>
      </c>
      <c r="M23" s="24">
        <f t="shared" si="0"/>
        <v>35</v>
      </c>
      <c r="N23" s="2"/>
    </row>
    <row r="24" spans="1:15" ht="19.5" customHeight="1">
      <c r="A24" s="8">
        <v>43819</v>
      </c>
      <c r="B24" s="57"/>
      <c r="C24" s="57"/>
      <c r="D24" s="22">
        <v>213.8</v>
      </c>
      <c r="E24" s="34">
        <v>949</v>
      </c>
      <c r="F24" s="25">
        <v>213.23</v>
      </c>
      <c r="G24" s="11">
        <v>889.2</v>
      </c>
      <c r="H24" s="9">
        <v>35</v>
      </c>
      <c r="I24" s="24">
        <v>0</v>
      </c>
      <c r="J24" s="1">
        <v>20</v>
      </c>
      <c r="K24" s="1">
        <v>15</v>
      </c>
      <c r="L24" s="24">
        <v>0</v>
      </c>
      <c r="M24" s="24">
        <f t="shared" si="0"/>
        <v>35</v>
      </c>
      <c r="N24" s="2"/>
    </row>
    <row r="25" spans="1:15" ht="19.5" customHeight="1">
      <c r="A25" s="8">
        <v>43820</v>
      </c>
      <c r="B25" s="57"/>
      <c r="C25" s="57"/>
      <c r="D25" s="22">
        <v>213.8</v>
      </c>
      <c r="E25" s="34">
        <v>949</v>
      </c>
      <c r="F25" s="26">
        <v>213.23</v>
      </c>
      <c r="G25" s="11">
        <v>889.2</v>
      </c>
      <c r="H25" s="9">
        <v>35</v>
      </c>
      <c r="I25" s="24">
        <v>0</v>
      </c>
      <c r="J25" s="1">
        <v>20</v>
      </c>
      <c r="K25" s="1">
        <v>15</v>
      </c>
      <c r="L25" s="24">
        <v>0</v>
      </c>
      <c r="M25" s="24">
        <f t="shared" si="0"/>
        <v>35</v>
      </c>
      <c r="N25" s="2"/>
    </row>
    <row r="26" spans="1:15" ht="19.5" customHeight="1">
      <c r="A26" s="8">
        <v>43821</v>
      </c>
      <c r="B26" s="57"/>
      <c r="C26" s="57"/>
      <c r="D26" s="22">
        <v>213.8</v>
      </c>
      <c r="E26" s="34">
        <v>949</v>
      </c>
      <c r="F26" s="25">
        <v>213.25</v>
      </c>
      <c r="G26" s="11">
        <v>891.32</v>
      </c>
      <c r="H26" s="9">
        <v>59</v>
      </c>
      <c r="I26" s="24">
        <v>0</v>
      </c>
      <c r="J26" s="1">
        <v>20</v>
      </c>
      <c r="K26" s="1">
        <v>15</v>
      </c>
      <c r="L26" s="24">
        <v>0</v>
      </c>
      <c r="M26" s="24">
        <f t="shared" si="0"/>
        <v>35</v>
      </c>
      <c r="N26" s="2"/>
      <c r="O26" s="18"/>
    </row>
    <row r="27" spans="1:15" ht="19.5" customHeight="1">
      <c r="A27" s="8">
        <v>43822</v>
      </c>
      <c r="B27" s="57"/>
      <c r="C27" s="57"/>
      <c r="D27" s="22">
        <v>213.8</v>
      </c>
      <c r="E27" s="34">
        <v>949</v>
      </c>
      <c r="F27" s="25">
        <v>213.25</v>
      </c>
      <c r="G27" s="11">
        <v>891.32</v>
      </c>
      <c r="H27" s="9">
        <v>35</v>
      </c>
      <c r="I27" s="24">
        <v>0</v>
      </c>
      <c r="J27" s="1">
        <v>20</v>
      </c>
      <c r="K27" s="1">
        <v>15</v>
      </c>
      <c r="L27" s="24">
        <v>0</v>
      </c>
      <c r="M27" s="24">
        <f t="shared" si="0"/>
        <v>35</v>
      </c>
      <c r="N27" s="2"/>
    </row>
    <row r="28" spans="1:15" ht="19.5" customHeight="1">
      <c r="A28" s="8">
        <v>43823</v>
      </c>
      <c r="B28" s="57"/>
      <c r="C28" s="57"/>
      <c r="D28" s="22">
        <v>213.8</v>
      </c>
      <c r="E28" s="34">
        <v>949</v>
      </c>
      <c r="F28" s="25">
        <v>213.25</v>
      </c>
      <c r="G28" s="11">
        <v>891.32</v>
      </c>
      <c r="H28" s="9">
        <v>35</v>
      </c>
      <c r="I28" s="24">
        <v>0</v>
      </c>
      <c r="J28" s="1">
        <v>20</v>
      </c>
      <c r="K28" s="1">
        <v>15</v>
      </c>
      <c r="L28" s="24">
        <v>0</v>
      </c>
      <c r="M28" s="24">
        <f t="shared" si="0"/>
        <v>35</v>
      </c>
      <c r="N28" s="2"/>
    </row>
    <row r="29" spans="1:15" ht="19.5" customHeight="1">
      <c r="A29" s="8">
        <v>43824</v>
      </c>
      <c r="B29" s="57"/>
      <c r="C29" s="57"/>
      <c r="D29" s="22">
        <v>213.8</v>
      </c>
      <c r="E29" s="34">
        <v>949</v>
      </c>
      <c r="F29" s="25">
        <v>213.2</v>
      </c>
      <c r="G29" s="11">
        <v>886.03</v>
      </c>
      <c r="H29" s="9">
        <v>29</v>
      </c>
      <c r="I29" s="24">
        <v>0</v>
      </c>
      <c r="J29" s="1">
        <v>20</v>
      </c>
      <c r="K29" s="1">
        <v>15</v>
      </c>
      <c r="L29" s="24">
        <v>0</v>
      </c>
      <c r="M29" s="24">
        <f t="shared" si="0"/>
        <v>35</v>
      </c>
      <c r="N29" s="2"/>
    </row>
    <row r="30" spans="1:15" ht="19.5" customHeight="1">
      <c r="A30" s="8">
        <v>43825</v>
      </c>
      <c r="B30" s="57"/>
      <c r="C30" s="57"/>
      <c r="D30" s="22">
        <v>213.8</v>
      </c>
      <c r="E30" s="34">
        <v>949</v>
      </c>
      <c r="F30" s="25">
        <v>213.2</v>
      </c>
      <c r="G30" s="11">
        <v>886.03</v>
      </c>
      <c r="H30" s="9">
        <v>35</v>
      </c>
      <c r="I30" s="24">
        <v>0</v>
      </c>
      <c r="J30" s="1">
        <v>20</v>
      </c>
      <c r="K30" s="1">
        <v>15</v>
      </c>
      <c r="L30" s="24">
        <v>0</v>
      </c>
      <c r="M30" s="24">
        <f t="shared" si="0"/>
        <v>35</v>
      </c>
      <c r="N30" s="2"/>
    </row>
    <row r="31" spans="1:15" ht="21" customHeight="1">
      <c r="A31" s="8">
        <v>43826</v>
      </c>
      <c r="B31" s="57"/>
      <c r="C31" s="57"/>
      <c r="D31" s="22">
        <v>213.8</v>
      </c>
      <c r="E31" s="34">
        <v>949</v>
      </c>
      <c r="F31" s="25">
        <v>213.18</v>
      </c>
      <c r="G31" s="11">
        <v>883.91</v>
      </c>
      <c r="H31" s="9">
        <v>11</v>
      </c>
      <c r="I31" s="24">
        <v>0</v>
      </c>
      <c r="J31" s="1">
        <v>20</v>
      </c>
      <c r="K31" s="1">
        <v>15</v>
      </c>
      <c r="L31" s="24">
        <v>0</v>
      </c>
      <c r="M31" s="24">
        <f t="shared" si="0"/>
        <v>35</v>
      </c>
      <c r="N31" s="2"/>
    </row>
    <row r="32" spans="1:15" ht="21" customHeight="1">
      <c r="A32" s="8">
        <v>43827</v>
      </c>
      <c r="B32" s="57"/>
      <c r="C32" s="57"/>
      <c r="D32" s="22">
        <v>213.8</v>
      </c>
      <c r="E32" s="34">
        <v>949</v>
      </c>
      <c r="F32" s="25">
        <v>213.16</v>
      </c>
      <c r="G32" s="11">
        <v>881.79</v>
      </c>
      <c r="H32" s="9">
        <v>11</v>
      </c>
      <c r="I32" s="24">
        <v>0</v>
      </c>
      <c r="J32" s="1">
        <v>20</v>
      </c>
      <c r="K32" s="1">
        <v>15</v>
      </c>
      <c r="L32" s="24">
        <v>0</v>
      </c>
      <c r="M32" s="24">
        <f t="shared" si="0"/>
        <v>35</v>
      </c>
      <c r="N32" s="2"/>
    </row>
    <row r="33" spans="1:15" ht="21" customHeight="1">
      <c r="A33" s="8">
        <v>43828</v>
      </c>
      <c r="B33" s="57"/>
      <c r="C33" s="57"/>
      <c r="D33" s="22">
        <v>213.8</v>
      </c>
      <c r="E33" s="34">
        <v>949</v>
      </c>
      <c r="F33" s="25">
        <v>213.13</v>
      </c>
      <c r="G33" s="11">
        <v>878.8</v>
      </c>
      <c r="H33" s="9">
        <v>11</v>
      </c>
      <c r="I33" s="24">
        <v>0</v>
      </c>
      <c r="J33" s="1">
        <v>20</v>
      </c>
      <c r="K33" s="1">
        <v>15</v>
      </c>
      <c r="L33" s="24">
        <v>0</v>
      </c>
      <c r="M33" s="24">
        <f t="shared" si="0"/>
        <v>35</v>
      </c>
      <c r="N33" s="2"/>
    </row>
    <row r="34" spans="1:15" s="21" customFormat="1" ht="21" customHeight="1">
      <c r="A34" s="8">
        <v>43829</v>
      </c>
      <c r="B34" s="57"/>
      <c r="C34" s="57"/>
      <c r="D34" s="22">
        <v>213.8</v>
      </c>
      <c r="E34" s="34">
        <v>949</v>
      </c>
      <c r="F34" s="25">
        <v>213.1</v>
      </c>
      <c r="G34" s="11">
        <v>875.79</v>
      </c>
      <c r="H34" s="9">
        <v>11</v>
      </c>
      <c r="I34" s="24">
        <v>0</v>
      </c>
      <c r="J34" s="1">
        <v>20</v>
      </c>
      <c r="K34" s="1">
        <v>15</v>
      </c>
      <c r="L34" s="24">
        <v>0</v>
      </c>
      <c r="M34" s="24">
        <f t="shared" ref="M34" si="1">L34+K34+J34+I34</f>
        <v>35</v>
      </c>
      <c r="N34" s="2"/>
    </row>
    <row r="35" spans="1:15" ht="21" customHeight="1">
      <c r="A35" s="8">
        <v>43830</v>
      </c>
      <c r="B35" s="58"/>
      <c r="C35" s="58"/>
      <c r="D35" s="23">
        <v>213.8</v>
      </c>
      <c r="E35" s="34">
        <v>949</v>
      </c>
      <c r="F35" s="25">
        <v>213.09</v>
      </c>
      <c r="G35" s="11">
        <v>874.73</v>
      </c>
      <c r="H35" s="9">
        <v>22</v>
      </c>
      <c r="I35" s="24">
        <v>0</v>
      </c>
      <c r="J35" s="1">
        <v>20</v>
      </c>
      <c r="K35" s="1">
        <v>15</v>
      </c>
      <c r="L35" s="24">
        <v>0</v>
      </c>
      <c r="M35" s="24">
        <f t="shared" si="0"/>
        <v>35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1090</v>
      </c>
      <c r="I36" s="16">
        <f t="shared" ref="I36:M36" si="2">SUM(I5:I35)</f>
        <v>0</v>
      </c>
      <c r="J36" s="16">
        <f t="shared" si="2"/>
        <v>620</v>
      </c>
      <c r="K36" s="16">
        <f t="shared" si="2"/>
        <v>465</v>
      </c>
      <c r="L36" s="16">
        <f t="shared" si="2"/>
        <v>0</v>
      </c>
      <c r="M36" s="16">
        <f t="shared" si="2"/>
        <v>1085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9.4176602730257478E-2</v>
      </c>
      <c r="I37" s="5"/>
      <c r="J37" s="5">
        <f>J36/11574</f>
        <v>5.3568342837394159E-2</v>
      </c>
      <c r="K37" s="5">
        <f>K36/11574</f>
        <v>4.0176257128045623E-2</v>
      </c>
      <c r="L37" s="6"/>
      <c r="M37" s="6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B5:B35"/>
    <mergeCell ref="C5:C35"/>
    <mergeCell ref="M3:M4"/>
    <mergeCell ref="C3:C4"/>
    <mergeCell ref="D3:D4"/>
    <mergeCell ref="F3:F4"/>
    <mergeCell ref="G3:G4"/>
    <mergeCell ref="H3:H4"/>
    <mergeCell ref="E3:E4"/>
    <mergeCell ref="A40:D40"/>
    <mergeCell ref="J40:M40"/>
    <mergeCell ref="A38:D38"/>
    <mergeCell ref="J38:M38"/>
    <mergeCell ref="A39:D39"/>
    <mergeCell ref="J39:M39"/>
    <mergeCell ref="A1:N2"/>
    <mergeCell ref="N3:N4"/>
    <mergeCell ref="A3:A4"/>
    <mergeCell ref="B3:B4"/>
    <mergeCell ref="I3:L3"/>
  </mergeCells>
  <pageMargins left="0.7" right="0.7" top="0.75" bottom="0.75" header="0" footer="0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2019 </vt:lpstr>
      <vt:lpstr>FEBRUARY 2019</vt:lpstr>
      <vt:lpstr>MARCH 2019</vt:lpstr>
      <vt:lpstr>APRIL 2019</vt:lpstr>
      <vt:lpstr>MAY 2019</vt:lpstr>
      <vt:lpstr>JUNE 2019</vt:lpstr>
      <vt:lpstr>JULY 2019 </vt:lpstr>
      <vt:lpstr>AUGUST 2019</vt:lpstr>
      <vt:lpstr>SEPTEMBER 2019</vt:lpstr>
      <vt:lpstr>OCTOBER 2019</vt:lpstr>
      <vt:lpstr>NOVEMBER 2019 </vt:lpstr>
      <vt:lpstr>DECEMBER 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2024-02-02T06:09:12Z</cp:lastPrinted>
  <dcterms:created xsi:type="dcterms:W3CDTF">2022-06-06T06:49:54Z</dcterms:created>
  <dcterms:modified xsi:type="dcterms:W3CDTF">2024-04-26T09:48:25Z</dcterms:modified>
</cp:coreProperties>
</file>