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 firstSheet="4" activeTab="11"/>
  </bookViews>
  <sheets>
    <sheet name="JANUARY 2018 " sheetId="12" r:id="rId1"/>
    <sheet name="FEBRUARY 2018" sheetId="11" r:id="rId2"/>
    <sheet name="MARCH 2018" sheetId="10" r:id="rId3"/>
    <sheet name="APRIL 2018" sheetId="9" r:id="rId4"/>
    <sheet name="MAY 2018" sheetId="8" r:id="rId5"/>
    <sheet name="JUNE 2018" sheetId="7" r:id="rId6"/>
    <sheet name="JULY 2018 " sheetId="6" r:id="rId7"/>
    <sheet name="AUGUST 2018" sheetId="5" r:id="rId8"/>
    <sheet name="SEPTEMBER 2018" sheetId="4" r:id="rId9"/>
    <sheet name="OCTOBER 2018" sheetId="3" r:id="rId10"/>
    <sheet name="NOVEMBER 2018 " sheetId="2" r:id="rId11"/>
    <sheet name="DECEMBER 2018" sheetId="1" r:id="rId12"/>
  </sheets>
  <definedNames>
    <definedName name="_xlnm.Print_Area" localSheetId="0">'JANUARY 2018 '!$A$1:$N$40</definedName>
  </definedNames>
  <calcPr calcId="124519"/>
</workbook>
</file>

<file path=xl/calcChain.xml><?xml version="1.0" encoding="utf-8"?>
<calcChain xmlns="http://schemas.openxmlformats.org/spreadsheetml/2006/main">
  <c r="I36" i="1"/>
  <c r="J36"/>
  <c r="K36"/>
  <c r="L36"/>
  <c r="M36"/>
  <c r="I35" i="2"/>
  <c r="J35"/>
  <c r="K35"/>
  <c r="L35"/>
  <c r="M35"/>
  <c r="I36" i="3"/>
  <c r="J36"/>
  <c r="K36"/>
  <c r="L36"/>
  <c r="M36"/>
  <c r="M34" i="4"/>
  <c r="M35"/>
  <c r="I35"/>
  <c r="J35"/>
  <c r="K35"/>
  <c r="L35"/>
  <c r="I36" i="5"/>
  <c r="J36"/>
  <c r="K36"/>
  <c r="L36"/>
  <c r="M36"/>
  <c r="I36" i="6"/>
  <c r="J36"/>
  <c r="K36"/>
  <c r="L36"/>
  <c r="M36"/>
  <c r="I35" i="7"/>
  <c r="J35"/>
  <c r="K35"/>
  <c r="L35"/>
  <c r="M35"/>
  <c r="I36" i="8"/>
  <c r="J36"/>
  <c r="K36"/>
  <c r="L36"/>
  <c r="M36"/>
  <c r="I35" i="9"/>
  <c r="J35"/>
  <c r="K35"/>
  <c r="L35"/>
  <c r="M35"/>
  <c r="I36" i="10"/>
  <c r="J36"/>
  <c r="K36"/>
  <c r="L36"/>
  <c r="M36"/>
  <c r="I33" i="11"/>
  <c r="J33"/>
  <c r="K33"/>
  <c r="L33"/>
  <c r="M33"/>
  <c r="M36" i="12"/>
  <c r="L36"/>
  <c r="K37"/>
  <c r="J36"/>
  <c r="I36"/>
  <c r="K36"/>
  <c r="Q20"/>
  <c r="R20" s="1"/>
  <c r="Q16"/>
  <c r="Q18"/>
  <c r="G36" i="1"/>
  <c r="H36"/>
  <c r="M12" i="5"/>
  <c r="J37" i="12" l="1"/>
  <c r="H37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J34" i="11"/>
  <c r="H34"/>
  <c r="K34"/>
  <c r="H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10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J36" i="9"/>
  <c r="K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J37" i="8"/>
  <c r="K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7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6"/>
  <c r="J37"/>
  <c r="H37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7" i="5"/>
  <c r="J37"/>
  <c r="H36"/>
  <c r="H37" s="1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1"/>
  <c r="M10"/>
  <c r="M9"/>
  <c r="M8"/>
  <c r="M7"/>
  <c r="M6"/>
  <c r="M5"/>
  <c r="K36" i="4"/>
  <c r="J36"/>
  <c r="H35"/>
  <c r="H36" s="1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7" i="3"/>
  <c r="K37"/>
  <c r="J37"/>
  <c r="H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K36" i="2"/>
  <c r="J36"/>
  <c r="H35"/>
  <c r="H36" s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H37" i="1"/>
  <c r="J37"/>
  <c r="K37"/>
  <c r="M34" l="1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5"/>
  <c r="M5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<sst xmlns="http://schemas.openxmlformats.org/spreadsheetml/2006/main" count="288" uniqueCount="33">
  <si>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</si>
  <si>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</si>
  <si>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</si>
  <si>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</si>
  <si>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</si>
  <si>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</si>
  <si>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</si>
  <si>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</si>
  <si>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</si>
  <si>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</si>
  <si>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</si>
  <si>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</si>
  <si>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</si>
  <si>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</si>
  <si>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</si>
  <si>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</si>
  <si>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</si>
  <si>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</si>
  <si>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</si>
  <si>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</si>
  <si>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RIVER DISCHARGE PARTICULARS OF PEDDAGEDDA RESERVOIR PROJECT FOR THE MONTH OF JANUARY, 2018</t>
  </si>
  <si>
    <t>RIVER DISCHARGE PARTICULARS OF PEDDAGEDDA RESERVOIR PROJECT FOR THE MONTH OF DECEMBER, 2018</t>
  </si>
  <si>
    <t>RIVER DISCHARGE PARTICULARS OF PEDDAGEDDA RESERVOIR PROJECT FOR THE MONTH OF NOVEMBER, 2018</t>
  </si>
  <si>
    <t>RIVER DISCHARGE PARTICULARS OF PEDDAGEDDA RESERVOIR PROJECT FOR THE MONTH OF OCTOBER, 2018</t>
  </si>
  <si>
    <t>RIVER DISCHARGE PARTICULARS OF PEDDAGEDDA RESERVOIR PROJECT FOR THE MONTH OF SEPTEMBER, 2018</t>
  </si>
  <si>
    <t>RIVER DISCHARGE PARTICULARS OF PEDDAGEDDA RESERVOIR PROJECT FOR THE MONTH OF  AUGUST , 2018</t>
  </si>
  <si>
    <t>RIVER DISCHARGE PARTICULARS OF PEDDAGEDDA RESERVOIR PROJECT FOR THE MONTH OF JULY, 2018</t>
  </si>
  <si>
    <t>RIVER DISCHARGE PARTICULARS OF PEDDAGEDDA RESERVOIR PROJECT FOR THE MONTH OF JUNE, 2018</t>
  </si>
  <si>
    <t>RIVER DISCHARGE PARTICULARS OF PEDDAGEDDA RESERVOIR PROJECT FOR THE MONTH OF MAY, 2018</t>
  </si>
  <si>
    <t>RIVER DISCHARGE PARTICULARS OF PEDDAGEDDA RESERVOIR PROJECT FOR THE MONTH OF APRIL , 2018</t>
  </si>
  <si>
    <t>RIVER DISCHARGE PARTICULARS OF PEDDAGEDDA RESERVOIR PROJECT FOR THE MONTH OF MARCH, 2018</t>
  </si>
  <si>
    <t>RIVER DISCHARGE PARTICULARS OF PEDDAGEDDA RESERVOIR PROJECT FOR THE MONTH OF FEBRUARY , 2018</t>
  </si>
  <si>
    <t>Gross Capacity in Mcft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</si>
</sst>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/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8" xfId="0" quotePrefix="1" applyNumberFormat="1" applyFont="1" applyBorder="1" applyAlignment="1">
      <alignment horizontal="center" vertical="center" wrapText="1"/>
    </xf>
    <xf numFmtId="164" fontId="6" fillId="0" borderId="0" xfId="0" quotePrefix="1" applyNumberFormat="1" applyFont="1" applyBorder="1" applyAlignment="1">
      <alignment horizontal="center" vertical="center" wrapText="1"/>
    </xf>
    <xf numFmtId="164" fontId="6" fillId="0" borderId="19" xfId="0" quotePrefix="1" applyNumberFormat="1" applyFon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64" fontId="6" fillId="0" borderId="7" xfId="0" quotePrefix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view="pageBreakPreview" topLeftCell="A4" zoomScale="60" workbookViewId="0">
      <selection activeCell="M36" sqref="M3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7" ht="14.25" customHeight="1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7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7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7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7" ht="19.5" customHeight="1">
      <c r="A5" s="8">
        <v>43101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211.79</v>
      </c>
      <c r="G5" s="11">
        <v>739</v>
      </c>
      <c r="H5" s="9">
        <v>6</v>
      </c>
      <c r="I5" s="24">
        <v>0</v>
      </c>
      <c r="J5" s="1">
        <v>0</v>
      </c>
      <c r="K5" s="1">
        <v>30</v>
      </c>
      <c r="L5" s="24">
        <v>0</v>
      </c>
      <c r="M5" s="24">
        <f>L5+K5+J5+I5</f>
        <v>30</v>
      </c>
      <c r="N5" s="2"/>
    </row>
    <row r="6" spans="1:17" ht="19.5" customHeight="1">
      <c r="A6" s="8">
        <v>43102</v>
      </c>
      <c r="B6" s="58"/>
      <c r="C6" s="58"/>
      <c r="D6" s="22">
        <v>213.8</v>
      </c>
      <c r="E6" s="30">
        <v>949</v>
      </c>
      <c r="F6" s="25">
        <v>211.75</v>
      </c>
      <c r="G6" s="11">
        <v>735</v>
      </c>
      <c r="H6" s="9"/>
      <c r="I6" s="24">
        <v>0</v>
      </c>
      <c r="J6" s="1">
        <v>0</v>
      </c>
      <c r="K6" s="1">
        <v>30</v>
      </c>
      <c r="L6" s="24">
        <v>0</v>
      </c>
      <c r="M6" s="24">
        <f t="shared" ref="M6:M35" si="0">L6+K6+J6+I6</f>
        <v>30</v>
      </c>
      <c r="N6" s="2"/>
    </row>
    <row r="7" spans="1:17" ht="19.5" customHeight="1">
      <c r="A7" s="8">
        <v>43103</v>
      </c>
      <c r="B7" s="58"/>
      <c r="C7" s="58"/>
      <c r="D7" s="22">
        <v>213.8</v>
      </c>
      <c r="E7" s="30">
        <v>949</v>
      </c>
      <c r="F7" s="25">
        <v>211.7</v>
      </c>
      <c r="G7" s="11">
        <v>730</v>
      </c>
      <c r="H7" s="9"/>
      <c r="I7" s="24">
        <v>0</v>
      </c>
      <c r="J7" s="1">
        <v>15</v>
      </c>
      <c r="K7" s="1">
        <v>40</v>
      </c>
      <c r="L7" s="24">
        <v>0</v>
      </c>
      <c r="M7" s="24">
        <f t="shared" si="0"/>
        <v>55</v>
      </c>
      <c r="N7" s="2"/>
    </row>
    <row r="8" spans="1:17" ht="19.5" customHeight="1">
      <c r="A8" s="8">
        <v>43104</v>
      </c>
      <c r="B8" s="58"/>
      <c r="C8" s="58"/>
      <c r="D8" s="22">
        <v>213.8</v>
      </c>
      <c r="E8" s="30">
        <v>949</v>
      </c>
      <c r="F8" s="25">
        <v>211.65</v>
      </c>
      <c r="G8" s="11">
        <v>724</v>
      </c>
      <c r="H8" s="9"/>
      <c r="I8" s="24">
        <v>0</v>
      </c>
      <c r="J8" s="1">
        <v>15</v>
      </c>
      <c r="K8" s="1">
        <v>40</v>
      </c>
      <c r="L8" s="24">
        <v>0</v>
      </c>
      <c r="M8" s="24">
        <f t="shared" si="0"/>
        <v>55</v>
      </c>
      <c r="N8" s="2"/>
    </row>
    <row r="9" spans="1:17" ht="19.5" customHeight="1">
      <c r="A9" s="8">
        <v>43105</v>
      </c>
      <c r="B9" s="58"/>
      <c r="C9" s="58"/>
      <c r="D9" s="22">
        <v>213.8</v>
      </c>
      <c r="E9" s="30">
        <v>949</v>
      </c>
      <c r="F9" s="25">
        <v>211.6</v>
      </c>
      <c r="G9" s="11">
        <v>719</v>
      </c>
      <c r="H9" s="9"/>
      <c r="I9" s="24">
        <v>0</v>
      </c>
      <c r="J9" s="1">
        <v>15</v>
      </c>
      <c r="K9" s="1">
        <v>40</v>
      </c>
      <c r="L9" s="24">
        <v>0</v>
      </c>
      <c r="M9" s="24">
        <f t="shared" si="0"/>
        <v>55</v>
      </c>
      <c r="N9" s="2"/>
    </row>
    <row r="10" spans="1:17" ht="19.5" customHeight="1">
      <c r="A10" s="8">
        <v>43106</v>
      </c>
      <c r="B10" s="58"/>
      <c r="C10" s="58"/>
      <c r="D10" s="22">
        <v>213.8</v>
      </c>
      <c r="E10" s="30">
        <v>949</v>
      </c>
      <c r="F10" s="25">
        <v>211.55</v>
      </c>
      <c r="G10" s="11">
        <v>711</v>
      </c>
      <c r="H10" s="9"/>
      <c r="I10" s="24">
        <v>0</v>
      </c>
      <c r="J10" s="1">
        <v>15</v>
      </c>
      <c r="K10" s="1">
        <v>40</v>
      </c>
      <c r="L10" s="24">
        <v>0</v>
      </c>
      <c r="M10" s="24">
        <f t="shared" si="0"/>
        <v>55</v>
      </c>
      <c r="N10" s="2"/>
    </row>
    <row r="11" spans="1:17" ht="19.5" customHeight="1">
      <c r="A11" s="8">
        <v>43107</v>
      </c>
      <c r="B11" s="58"/>
      <c r="C11" s="58"/>
      <c r="D11" s="22">
        <v>213.8</v>
      </c>
      <c r="E11" s="30">
        <v>949</v>
      </c>
      <c r="F11" s="25">
        <v>211.5</v>
      </c>
      <c r="G11" s="11">
        <v>704</v>
      </c>
      <c r="H11" s="9"/>
      <c r="I11" s="24">
        <v>0</v>
      </c>
      <c r="J11" s="1">
        <v>15</v>
      </c>
      <c r="K11" s="1">
        <v>40</v>
      </c>
      <c r="L11" s="24">
        <v>0</v>
      </c>
      <c r="M11" s="24">
        <f t="shared" si="0"/>
        <v>55</v>
      </c>
      <c r="N11" s="2"/>
    </row>
    <row r="12" spans="1:17" ht="19.5" customHeight="1">
      <c r="A12" s="8">
        <v>43108</v>
      </c>
      <c r="B12" s="58"/>
      <c r="C12" s="58"/>
      <c r="D12" s="22">
        <v>213.8</v>
      </c>
      <c r="E12" s="30">
        <v>949</v>
      </c>
      <c r="F12" s="25">
        <v>211.45</v>
      </c>
      <c r="G12" s="11">
        <v>698</v>
      </c>
      <c r="H12" s="9"/>
      <c r="I12" s="24">
        <v>0</v>
      </c>
      <c r="J12" s="1">
        <v>15</v>
      </c>
      <c r="K12" s="1">
        <v>40</v>
      </c>
      <c r="L12" s="24">
        <v>0</v>
      </c>
      <c r="M12" s="24">
        <f t="shared" si="0"/>
        <v>55</v>
      </c>
      <c r="N12" s="2"/>
    </row>
    <row r="13" spans="1:17" ht="19.5" customHeight="1">
      <c r="A13" s="8">
        <v>43109</v>
      </c>
      <c r="B13" s="58"/>
      <c r="C13" s="58"/>
      <c r="D13" s="22">
        <v>213.8</v>
      </c>
      <c r="E13" s="30">
        <v>949</v>
      </c>
      <c r="F13" s="26">
        <v>211.39</v>
      </c>
      <c r="G13" s="25">
        <v>693</v>
      </c>
      <c r="H13" s="9"/>
      <c r="I13" s="24">
        <v>0</v>
      </c>
      <c r="J13" s="1">
        <v>15</v>
      </c>
      <c r="K13" s="1">
        <v>40</v>
      </c>
      <c r="L13" s="24">
        <v>0</v>
      </c>
      <c r="M13" s="24">
        <f t="shared" si="0"/>
        <v>55</v>
      </c>
      <c r="N13" s="2"/>
    </row>
    <row r="14" spans="1:17" ht="19.5" customHeight="1">
      <c r="A14" s="8">
        <v>43110</v>
      </c>
      <c r="B14" s="58"/>
      <c r="C14" s="58"/>
      <c r="D14" s="22">
        <v>213.8</v>
      </c>
      <c r="E14" s="30">
        <v>949</v>
      </c>
      <c r="F14" s="25">
        <v>211.34</v>
      </c>
      <c r="G14" s="11">
        <v>690</v>
      </c>
      <c r="H14" s="9">
        <v>22</v>
      </c>
      <c r="I14" s="24">
        <v>0</v>
      </c>
      <c r="J14" s="1">
        <v>15</v>
      </c>
      <c r="K14" s="1">
        <v>40</v>
      </c>
      <c r="L14" s="24">
        <v>0</v>
      </c>
      <c r="M14" s="24">
        <f t="shared" si="0"/>
        <v>55</v>
      </c>
      <c r="N14" s="2"/>
    </row>
    <row r="15" spans="1:17" ht="19.5" customHeight="1">
      <c r="A15" s="8">
        <v>43111</v>
      </c>
      <c r="B15" s="58"/>
      <c r="C15" s="58"/>
      <c r="D15" s="22">
        <v>213.8</v>
      </c>
      <c r="E15" s="30">
        <v>949</v>
      </c>
      <c r="F15" s="25">
        <v>211.29</v>
      </c>
      <c r="G15" s="11">
        <v>687</v>
      </c>
      <c r="H15" s="9">
        <v>18</v>
      </c>
      <c r="I15" s="24">
        <v>0</v>
      </c>
      <c r="J15" s="1">
        <v>15</v>
      </c>
      <c r="K15" s="1">
        <v>40</v>
      </c>
      <c r="L15" s="24">
        <v>0</v>
      </c>
      <c r="M15" s="24">
        <f t="shared" si="0"/>
        <v>55</v>
      </c>
      <c r="N15" s="2"/>
    </row>
    <row r="16" spans="1:17" ht="19.5" customHeight="1">
      <c r="A16" s="8">
        <v>43112</v>
      </c>
      <c r="B16" s="58"/>
      <c r="C16" s="58"/>
      <c r="D16" s="22">
        <v>213.8</v>
      </c>
      <c r="E16" s="30">
        <v>949</v>
      </c>
      <c r="F16" s="25">
        <v>211.24</v>
      </c>
      <c r="G16" s="11">
        <v>681</v>
      </c>
      <c r="H16" s="9"/>
      <c r="I16" s="24">
        <v>0</v>
      </c>
      <c r="J16" s="1">
        <v>15</v>
      </c>
      <c r="K16" s="1">
        <v>40</v>
      </c>
      <c r="L16" s="24">
        <v>0</v>
      </c>
      <c r="M16" s="24">
        <f t="shared" si="0"/>
        <v>55</v>
      </c>
      <c r="N16" s="2"/>
      <c r="Q16" s="27">
        <f>60*60*24*218</f>
        <v>18835200</v>
      </c>
    </row>
    <row r="17" spans="1:18" ht="19.5" customHeight="1">
      <c r="A17" s="8">
        <v>43113</v>
      </c>
      <c r="B17" s="58"/>
      <c r="C17" s="58"/>
      <c r="D17" s="22">
        <v>213.8</v>
      </c>
      <c r="E17" s="30">
        <v>949</v>
      </c>
      <c r="F17" s="25">
        <v>211.19</v>
      </c>
      <c r="G17" s="11">
        <v>676</v>
      </c>
      <c r="H17" s="9"/>
      <c r="I17" s="24">
        <v>0</v>
      </c>
      <c r="J17" s="1">
        <v>20</v>
      </c>
      <c r="K17" s="1">
        <v>40</v>
      </c>
      <c r="L17" s="24">
        <v>0</v>
      </c>
      <c r="M17" s="24">
        <f t="shared" si="0"/>
        <v>60</v>
      </c>
      <c r="N17" s="2"/>
    </row>
    <row r="18" spans="1:18" ht="19.5" customHeight="1">
      <c r="A18" s="8">
        <v>43114</v>
      </c>
      <c r="B18" s="58"/>
      <c r="C18" s="58"/>
      <c r="D18" s="22">
        <v>213.8</v>
      </c>
      <c r="E18" s="30">
        <v>949</v>
      </c>
      <c r="F18" s="25">
        <v>211.13</v>
      </c>
      <c r="G18" s="11">
        <v>670</v>
      </c>
      <c r="H18" s="9"/>
      <c r="I18" s="24">
        <v>0</v>
      </c>
      <c r="J18" s="1">
        <v>20</v>
      </c>
      <c r="K18" s="1">
        <v>40</v>
      </c>
      <c r="L18" s="24">
        <v>0</v>
      </c>
      <c r="M18" s="24">
        <f t="shared" si="0"/>
        <v>60</v>
      </c>
      <c r="N18" s="2"/>
      <c r="Q18" s="27">
        <f>0.3048*0.3048*0.3048</f>
        <v>2.8316846592000004E-2</v>
      </c>
    </row>
    <row r="19" spans="1:18" ht="19.5" customHeight="1">
      <c r="A19" s="8">
        <v>43115</v>
      </c>
      <c r="B19" s="58"/>
      <c r="C19" s="58"/>
      <c r="D19" s="22">
        <v>213.8</v>
      </c>
      <c r="E19" s="30">
        <v>949</v>
      </c>
      <c r="F19" s="25">
        <v>211.05</v>
      </c>
      <c r="G19" s="11">
        <v>662</v>
      </c>
      <c r="H19" s="9"/>
      <c r="I19" s="24">
        <v>0</v>
      </c>
      <c r="J19" s="1">
        <v>20</v>
      </c>
      <c r="K19" s="1">
        <v>40</v>
      </c>
      <c r="L19" s="24">
        <v>0</v>
      </c>
      <c r="M19" s="24">
        <f t="shared" si="0"/>
        <v>60</v>
      </c>
      <c r="N19" s="2"/>
    </row>
    <row r="20" spans="1:18" ht="19.5" customHeight="1">
      <c r="A20" s="8">
        <v>43116</v>
      </c>
      <c r="B20" s="58"/>
      <c r="C20" s="58"/>
      <c r="D20" s="22">
        <v>213.8</v>
      </c>
      <c r="E20" s="30">
        <v>949</v>
      </c>
      <c r="F20" s="25">
        <v>210.99</v>
      </c>
      <c r="G20" s="11">
        <v>656</v>
      </c>
      <c r="H20" s="9"/>
      <c r="I20" s="24">
        <v>0</v>
      </c>
      <c r="J20" s="1">
        <v>20</v>
      </c>
      <c r="K20" s="1">
        <v>40</v>
      </c>
      <c r="L20" s="24">
        <v>0</v>
      </c>
      <c r="M20" s="24">
        <f t="shared" si="0"/>
        <v>60</v>
      </c>
      <c r="N20" s="2"/>
      <c r="Q20" s="27">
        <f>Q16*Q18</f>
        <v>533353.4689296385</v>
      </c>
      <c r="R20" s="27">
        <f>Q20/1000000</f>
        <v>0.53335346892963853</v>
      </c>
    </row>
    <row r="21" spans="1:18" ht="19.5" customHeight="1">
      <c r="A21" s="8">
        <v>43117</v>
      </c>
      <c r="B21" s="58"/>
      <c r="C21" s="58"/>
      <c r="D21" s="22">
        <v>213.8</v>
      </c>
      <c r="E21" s="30">
        <v>949</v>
      </c>
      <c r="F21" s="25">
        <v>210.93</v>
      </c>
      <c r="G21" s="11">
        <v>651</v>
      </c>
      <c r="H21" s="9">
        <v>8</v>
      </c>
      <c r="I21" s="24">
        <v>0</v>
      </c>
      <c r="J21" s="1">
        <v>20</v>
      </c>
      <c r="K21" s="1">
        <v>40</v>
      </c>
      <c r="L21" s="24">
        <v>0</v>
      </c>
      <c r="M21" s="24">
        <f t="shared" si="0"/>
        <v>60</v>
      </c>
      <c r="N21" s="2"/>
    </row>
    <row r="22" spans="1:18" ht="19.5" customHeight="1">
      <c r="A22" s="8">
        <v>43118</v>
      </c>
      <c r="B22" s="58"/>
      <c r="C22" s="58"/>
      <c r="D22" s="22">
        <v>213.8</v>
      </c>
      <c r="E22" s="30">
        <v>949</v>
      </c>
      <c r="F22" s="25">
        <v>210.87</v>
      </c>
      <c r="G22" s="11">
        <v>646</v>
      </c>
      <c r="H22" s="9"/>
      <c r="I22" s="24">
        <v>0</v>
      </c>
      <c r="J22" s="1">
        <v>20</v>
      </c>
      <c r="K22" s="1">
        <v>40</v>
      </c>
      <c r="L22" s="24">
        <v>0</v>
      </c>
      <c r="M22" s="24">
        <f t="shared" si="0"/>
        <v>60</v>
      </c>
      <c r="N22" s="2"/>
    </row>
    <row r="23" spans="1:18" ht="19.5" customHeight="1">
      <c r="A23" s="8">
        <v>43119</v>
      </c>
      <c r="B23" s="58"/>
      <c r="C23" s="58"/>
      <c r="D23" s="22">
        <v>213.8</v>
      </c>
      <c r="E23" s="30">
        <v>949</v>
      </c>
      <c r="F23" s="25">
        <v>210.8</v>
      </c>
      <c r="G23" s="11">
        <v>636</v>
      </c>
      <c r="H23" s="9"/>
      <c r="I23" s="24">
        <v>0</v>
      </c>
      <c r="J23" s="1">
        <v>20</v>
      </c>
      <c r="K23" s="1">
        <v>40</v>
      </c>
      <c r="L23" s="24">
        <v>0</v>
      </c>
      <c r="M23" s="24">
        <f t="shared" si="0"/>
        <v>60</v>
      </c>
      <c r="N23" s="2"/>
    </row>
    <row r="24" spans="1:18" ht="19.5" customHeight="1">
      <c r="A24" s="8">
        <v>43120</v>
      </c>
      <c r="B24" s="58"/>
      <c r="C24" s="58"/>
      <c r="D24" s="22">
        <v>213.8</v>
      </c>
      <c r="E24" s="30">
        <v>949</v>
      </c>
      <c r="F24" s="25">
        <v>210.74</v>
      </c>
      <c r="G24" s="11">
        <v>632</v>
      </c>
      <c r="H24" s="9">
        <v>12</v>
      </c>
      <c r="I24" s="24">
        <v>0</v>
      </c>
      <c r="J24" s="1">
        <v>20</v>
      </c>
      <c r="K24" s="1">
        <v>40</v>
      </c>
      <c r="L24" s="24">
        <v>0</v>
      </c>
      <c r="M24" s="24">
        <f t="shared" si="0"/>
        <v>60</v>
      </c>
      <c r="N24" s="2"/>
    </row>
    <row r="25" spans="1:18" ht="19.5" customHeight="1">
      <c r="A25" s="8">
        <v>43121</v>
      </c>
      <c r="B25" s="58"/>
      <c r="C25" s="58"/>
      <c r="D25" s="22">
        <v>213.8</v>
      </c>
      <c r="E25" s="30">
        <v>949</v>
      </c>
      <c r="F25" s="25">
        <v>210.66</v>
      </c>
      <c r="G25" s="11">
        <v>625</v>
      </c>
      <c r="H25" s="9"/>
      <c r="I25" s="24">
        <v>0</v>
      </c>
      <c r="J25" s="1">
        <v>20</v>
      </c>
      <c r="K25" s="1">
        <v>40</v>
      </c>
      <c r="L25" s="24">
        <v>0</v>
      </c>
      <c r="M25" s="24">
        <f t="shared" si="0"/>
        <v>60</v>
      </c>
      <c r="N25" s="2"/>
    </row>
    <row r="26" spans="1:18" ht="19.5" customHeight="1">
      <c r="A26" s="8">
        <v>43122</v>
      </c>
      <c r="B26" s="58"/>
      <c r="C26" s="58"/>
      <c r="D26" s="22">
        <v>213.8</v>
      </c>
      <c r="E26" s="30">
        <v>949</v>
      </c>
      <c r="F26" s="25">
        <v>210.59</v>
      </c>
      <c r="G26" s="11">
        <v>617</v>
      </c>
      <c r="H26" s="9">
        <v>60</v>
      </c>
      <c r="I26" s="24">
        <v>0</v>
      </c>
      <c r="J26" s="1">
        <v>20</v>
      </c>
      <c r="K26" s="1">
        <v>40</v>
      </c>
      <c r="L26" s="24">
        <v>0</v>
      </c>
      <c r="M26" s="24">
        <f t="shared" si="0"/>
        <v>60</v>
      </c>
      <c r="N26" s="2"/>
      <c r="O26" s="18"/>
    </row>
    <row r="27" spans="1:18" ht="19.5" customHeight="1">
      <c r="A27" s="8">
        <v>43123</v>
      </c>
      <c r="B27" s="58"/>
      <c r="C27" s="58"/>
      <c r="D27" s="22">
        <v>213.8</v>
      </c>
      <c r="E27" s="30">
        <v>949</v>
      </c>
      <c r="F27" s="25">
        <v>210.59</v>
      </c>
      <c r="G27" s="11">
        <v>617</v>
      </c>
      <c r="H27" s="9">
        <v>60</v>
      </c>
      <c r="I27" s="24">
        <v>0</v>
      </c>
      <c r="J27" s="1">
        <v>20</v>
      </c>
      <c r="K27" s="1">
        <v>40</v>
      </c>
      <c r="L27" s="24">
        <v>0</v>
      </c>
      <c r="M27" s="24">
        <f t="shared" si="0"/>
        <v>60</v>
      </c>
      <c r="N27" s="2"/>
    </row>
    <row r="28" spans="1:18" ht="19.5" customHeight="1">
      <c r="A28" s="8">
        <v>43124</v>
      </c>
      <c r="B28" s="58"/>
      <c r="C28" s="58"/>
      <c r="D28" s="22">
        <v>213.8</v>
      </c>
      <c r="E28" s="30">
        <v>949</v>
      </c>
      <c r="F28" s="25">
        <v>210.53</v>
      </c>
      <c r="G28" s="11">
        <v>612</v>
      </c>
      <c r="H28" s="9"/>
      <c r="I28" s="24">
        <v>0</v>
      </c>
      <c r="J28" s="1">
        <v>20</v>
      </c>
      <c r="K28" s="1">
        <v>40</v>
      </c>
      <c r="L28" s="24">
        <v>0</v>
      </c>
      <c r="M28" s="24">
        <f t="shared" si="0"/>
        <v>60</v>
      </c>
      <c r="N28" s="2"/>
    </row>
    <row r="29" spans="1:18" ht="19.5" customHeight="1">
      <c r="A29" s="8">
        <v>43125</v>
      </c>
      <c r="B29" s="58"/>
      <c r="C29" s="58"/>
      <c r="D29" s="22">
        <v>213.8</v>
      </c>
      <c r="E29" s="30">
        <v>949</v>
      </c>
      <c r="F29" s="25">
        <v>210.4</v>
      </c>
      <c r="G29" s="11">
        <v>601</v>
      </c>
      <c r="H29" s="9"/>
      <c r="I29" s="24">
        <v>0</v>
      </c>
      <c r="J29" s="1">
        <v>20</v>
      </c>
      <c r="K29" s="1">
        <v>40</v>
      </c>
      <c r="L29" s="24">
        <v>0</v>
      </c>
      <c r="M29" s="24">
        <f t="shared" si="0"/>
        <v>60</v>
      </c>
      <c r="N29" s="2"/>
    </row>
    <row r="30" spans="1:18" ht="19.5" customHeight="1">
      <c r="A30" s="8">
        <v>43126</v>
      </c>
      <c r="B30" s="58"/>
      <c r="C30" s="58"/>
      <c r="D30" s="22">
        <v>213.8</v>
      </c>
      <c r="E30" s="30">
        <v>949</v>
      </c>
      <c r="F30" s="25">
        <v>210.35</v>
      </c>
      <c r="G30" s="11">
        <v>596</v>
      </c>
      <c r="H30" s="9">
        <v>10</v>
      </c>
      <c r="I30" s="24">
        <v>0</v>
      </c>
      <c r="J30" s="1">
        <v>20</v>
      </c>
      <c r="K30" s="1">
        <v>40</v>
      </c>
      <c r="L30" s="24">
        <v>0</v>
      </c>
      <c r="M30" s="24">
        <f t="shared" si="0"/>
        <v>60</v>
      </c>
      <c r="N30" s="2"/>
    </row>
    <row r="31" spans="1:18" ht="21" customHeight="1">
      <c r="A31" s="8">
        <v>43127</v>
      </c>
      <c r="B31" s="58"/>
      <c r="C31" s="58"/>
      <c r="D31" s="22">
        <v>213.8</v>
      </c>
      <c r="E31" s="30">
        <v>949</v>
      </c>
      <c r="F31" s="25">
        <v>210.28</v>
      </c>
      <c r="G31" s="11">
        <v>590</v>
      </c>
      <c r="H31" s="9"/>
      <c r="I31" s="24">
        <v>0</v>
      </c>
      <c r="J31" s="1">
        <v>20</v>
      </c>
      <c r="K31" s="1">
        <v>40</v>
      </c>
      <c r="L31" s="24">
        <v>0</v>
      </c>
      <c r="M31" s="24">
        <f t="shared" si="0"/>
        <v>60</v>
      </c>
      <c r="N31" s="2"/>
    </row>
    <row r="32" spans="1:18" ht="21" customHeight="1">
      <c r="A32" s="8">
        <v>43128</v>
      </c>
      <c r="B32" s="58"/>
      <c r="C32" s="58"/>
      <c r="D32" s="22">
        <v>213.8</v>
      </c>
      <c r="E32" s="30">
        <v>949</v>
      </c>
      <c r="F32" s="25">
        <v>210.22</v>
      </c>
      <c r="G32" s="11">
        <v>585</v>
      </c>
      <c r="H32" s="9"/>
      <c r="I32" s="24">
        <v>0</v>
      </c>
      <c r="J32" s="1">
        <v>20</v>
      </c>
      <c r="K32" s="1">
        <v>40</v>
      </c>
      <c r="L32" s="24">
        <v>0</v>
      </c>
      <c r="M32" s="24">
        <f t="shared" si="0"/>
        <v>60</v>
      </c>
      <c r="N32" s="2"/>
    </row>
    <row r="33" spans="1:15" ht="21" customHeight="1">
      <c r="A33" s="8">
        <v>43129</v>
      </c>
      <c r="B33" s="58"/>
      <c r="C33" s="58"/>
      <c r="D33" s="22">
        <v>213.8</v>
      </c>
      <c r="E33" s="30">
        <v>949</v>
      </c>
      <c r="F33" s="25">
        <v>210.17</v>
      </c>
      <c r="G33" s="11">
        <v>581</v>
      </c>
      <c r="H33" s="9">
        <v>10</v>
      </c>
      <c r="I33" s="24">
        <v>0</v>
      </c>
      <c r="J33" s="1">
        <v>20</v>
      </c>
      <c r="K33" s="1">
        <v>40</v>
      </c>
      <c r="L33" s="24">
        <v>0</v>
      </c>
      <c r="M33" s="24">
        <f t="shared" si="0"/>
        <v>60</v>
      </c>
      <c r="N33" s="2"/>
    </row>
    <row r="34" spans="1:15" ht="21" customHeight="1">
      <c r="A34" s="8">
        <v>43130</v>
      </c>
      <c r="B34" s="58"/>
      <c r="C34" s="58"/>
      <c r="D34" s="22">
        <v>213.8</v>
      </c>
      <c r="E34" s="30">
        <v>949</v>
      </c>
      <c r="F34" s="25">
        <v>210.1</v>
      </c>
      <c r="G34" s="11">
        <v>574</v>
      </c>
      <c r="H34" s="9"/>
      <c r="I34" s="24">
        <v>0</v>
      </c>
      <c r="J34" s="1">
        <v>20</v>
      </c>
      <c r="K34" s="1">
        <v>40</v>
      </c>
      <c r="L34" s="24">
        <v>0</v>
      </c>
      <c r="M34" s="24">
        <f t="shared" si="0"/>
        <v>60</v>
      </c>
      <c r="N34" s="2"/>
    </row>
    <row r="35" spans="1:15" ht="21" customHeight="1">
      <c r="A35" s="8">
        <v>43131</v>
      </c>
      <c r="B35" s="59"/>
      <c r="C35" s="59"/>
      <c r="D35" s="23">
        <v>213.8</v>
      </c>
      <c r="E35" s="30">
        <v>949</v>
      </c>
      <c r="F35" s="25">
        <v>210.05</v>
      </c>
      <c r="G35" s="11">
        <v>570</v>
      </c>
      <c r="H35" s="9">
        <v>12</v>
      </c>
      <c r="I35" s="24">
        <v>0</v>
      </c>
      <c r="J35" s="1">
        <v>20</v>
      </c>
      <c r="K35" s="1">
        <v>40</v>
      </c>
      <c r="L35" s="24">
        <v>0</v>
      </c>
      <c r="M35" s="24">
        <f t="shared" si="0"/>
        <v>60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218</v>
      </c>
      <c r="I36" s="16">
        <f>SUM(I5:I35)</f>
        <v>0</v>
      </c>
      <c r="J36" s="16">
        <f>SUM(J5:J35)</f>
        <v>530</v>
      </c>
      <c r="K36" s="16">
        <f t="shared" ref="K36" si="1">SUM(K5:K35)</f>
        <v>1220</v>
      </c>
      <c r="L36" s="16">
        <f>SUM(L5:L35)</f>
        <v>0</v>
      </c>
      <c r="M36" s="16">
        <f>SUM(M5:M35)</f>
        <v>1750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1.8835320546051495E-2</v>
      </c>
      <c r="I37" s="5"/>
      <c r="J37" s="5">
        <f>J36/11574</f>
        <v>4.5792293070675651E-2</v>
      </c>
      <c r="K37" s="5">
        <f>K36/11574</f>
        <v>0.10540867461551753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view="pageBreakPreview" topLeftCell="A5" zoomScale="60" workbookViewId="0">
      <selection activeCell="G5" sqref="G5:G32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58"/>
      <c r="B4" s="58"/>
      <c r="C4" s="58"/>
      <c r="D4" s="58"/>
      <c r="E4" s="53"/>
      <c r="F4" s="5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35">
        <v>43132</v>
      </c>
      <c r="B5" s="62" t="s">
        <v>11</v>
      </c>
      <c r="C5" s="62" t="s">
        <v>12</v>
      </c>
      <c r="D5" s="30">
        <v>213.8</v>
      </c>
      <c r="E5" s="30">
        <v>949</v>
      </c>
      <c r="F5" s="25">
        <v>209.99</v>
      </c>
      <c r="G5" s="33">
        <v>565</v>
      </c>
      <c r="H5" s="9"/>
      <c r="I5" s="24">
        <v>0</v>
      </c>
      <c r="J5" s="1">
        <v>20</v>
      </c>
      <c r="K5" s="1">
        <v>40</v>
      </c>
      <c r="L5" s="24">
        <v>0</v>
      </c>
      <c r="M5" s="24">
        <f>L5+K5+J5+I5</f>
        <v>60</v>
      </c>
      <c r="N5" s="2"/>
    </row>
    <row r="6" spans="1:14" ht="19.5" customHeight="1">
      <c r="A6" s="35">
        <v>43133</v>
      </c>
      <c r="B6" s="63"/>
      <c r="C6" s="63"/>
      <c r="D6" s="30">
        <v>213.8</v>
      </c>
      <c r="E6" s="30">
        <v>949</v>
      </c>
      <c r="F6" s="25">
        <v>209.9</v>
      </c>
      <c r="G6" s="33">
        <v>558</v>
      </c>
      <c r="H6" s="9"/>
      <c r="I6" s="24">
        <v>0</v>
      </c>
      <c r="J6" s="1">
        <v>20</v>
      </c>
      <c r="K6" s="1">
        <v>40</v>
      </c>
      <c r="L6" s="24">
        <v>0</v>
      </c>
      <c r="M6" s="24">
        <f t="shared" ref="M6:M32" si="0">L6+K6+J6+I6</f>
        <v>60</v>
      </c>
      <c r="N6" s="2"/>
    </row>
    <row r="7" spans="1:14" ht="19.5" customHeight="1">
      <c r="A7" s="35">
        <v>43134</v>
      </c>
      <c r="B7" s="63"/>
      <c r="C7" s="63"/>
      <c r="D7" s="30">
        <v>213.8</v>
      </c>
      <c r="E7" s="30">
        <v>949</v>
      </c>
      <c r="F7" s="25">
        <v>209.83</v>
      </c>
      <c r="G7" s="33">
        <v>552</v>
      </c>
      <c r="H7" s="9"/>
      <c r="I7" s="24">
        <v>0</v>
      </c>
      <c r="J7" s="1">
        <v>20</v>
      </c>
      <c r="K7" s="1">
        <v>40</v>
      </c>
      <c r="L7" s="24">
        <v>0</v>
      </c>
      <c r="M7" s="24">
        <f t="shared" si="0"/>
        <v>60</v>
      </c>
      <c r="N7" s="2"/>
    </row>
    <row r="8" spans="1:14" ht="19.5" customHeight="1">
      <c r="A8" s="35">
        <v>43135</v>
      </c>
      <c r="B8" s="63"/>
      <c r="C8" s="63"/>
      <c r="D8" s="30">
        <v>213.8</v>
      </c>
      <c r="E8" s="30">
        <v>949</v>
      </c>
      <c r="F8" s="25">
        <v>209.75</v>
      </c>
      <c r="G8" s="33">
        <v>544</v>
      </c>
      <c r="H8" s="9"/>
      <c r="I8" s="24">
        <v>0</v>
      </c>
      <c r="J8" s="1">
        <v>20</v>
      </c>
      <c r="K8" s="1">
        <v>40</v>
      </c>
      <c r="L8" s="24">
        <v>0</v>
      </c>
      <c r="M8" s="24">
        <f t="shared" si="0"/>
        <v>60</v>
      </c>
      <c r="N8" s="2"/>
    </row>
    <row r="9" spans="1:14" ht="19.5" customHeight="1">
      <c r="A9" s="35">
        <v>43136</v>
      </c>
      <c r="B9" s="63"/>
      <c r="C9" s="63"/>
      <c r="D9" s="30">
        <v>213.8</v>
      </c>
      <c r="E9" s="30">
        <v>949</v>
      </c>
      <c r="F9" s="25">
        <v>209.64</v>
      </c>
      <c r="G9" s="33">
        <v>535</v>
      </c>
      <c r="H9" s="9"/>
      <c r="I9" s="24">
        <v>0</v>
      </c>
      <c r="J9" s="1">
        <v>20</v>
      </c>
      <c r="K9" s="1">
        <v>40</v>
      </c>
      <c r="L9" s="24">
        <v>0</v>
      </c>
      <c r="M9" s="24">
        <f t="shared" si="0"/>
        <v>60</v>
      </c>
      <c r="N9" s="2"/>
    </row>
    <row r="10" spans="1:14" ht="19.5" customHeight="1">
      <c r="A10" s="35">
        <v>43137</v>
      </c>
      <c r="B10" s="63"/>
      <c r="C10" s="63"/>
      <c r="D10" s="30">
        <v>213.8</v>
      </c>
      <c r="E10" s="30">
        <v>949</v>
      </c>
      <c r="F10" s="25">
        <v>209.57</v>
      </c>
      <c r="G10" s="33">
        <v>529</v>
      </c>
      <c r="H10" s="9"/>
      <c r="I10" s="24">
        <v>0</v>
      </c>
      <c r="J10" s="1">
        <v>20</v>
      </c>
      <c r="K10" s="1">
        <v>40</v>
      </c>
      <c r="L10" s="24">
        <v>0</v>
      </c>
      <c r="M10" s="24">
        <f t="shared" si="0"/>
        <v>60</v>
      </c>
      <c r="N10" s="2"/>
    </row>
    <row r="11" spans="1:14" ht="19.5" customHeight="1">
      <c r="A11" s="35">
        <v>43138</v>
      </c>
      <c r="B11" s="63"/>
      <c r="C11" s="63"/>
      <c r="D11" s="30">
        <v>213.8</v>
      </c>
      <c r="E11" s="30">
        <v>949</v>
      </c>
      <c r="F11" s="25">
        <v>209.49</v>
      </c>
      <c r="G11" s="33">
        <v>522</v>
      </c>
      <c r="H11" s="9"/>
      <c r="I11" s="24">
        <v>0</v>
      </c>
      <c r="J11" s="1">
        <v>20</v>
      </c>
      <c r="K11" s="1">
        <v>40</v>
      </c>
      <c r="L11" s="24">
        <v>0</v>
      </c>
      <c r="M11" s="24">
        <f t="shared" si="0"/>
        <v>60</v>
      </c>
      <c r="N11" s="2"/>
    </row>
    <row r="12" spans="1:14" ht="19.5" customHeight="1">
      <c r="A12" s="35">
        <v>43139</v>
      </c>
      <c r="B12" s="63"/>
      <c r="C12" s="63"/>
      <c r="D12" s="30">
        <v>213.8</v>
      </c>
      <c r="E12" s="30">
        <v>949</v>
      </c>
      <c r="F12" s="25">
        <v>209.49</v>
      </c>
      <c r="G12" s="33">
        <v>522</v>
      </c>
      <c r="H12" s="9"/>
      <c r="I12" s="24">
        <v>0</v>
      </c>
      <c r="J12" s="1">
        <v>20</v>
      </c>
      <c r="K12" s="1">
        <v>40</v>
      </c>
      <c r="L12" s="24">
        <v>0</v>
      </c>
      <c r="M12" s="24">
        <f t="shared" si="0"/>
        <v>60</v>
      </c>
      <c r="N12" s="2"/>
    </row>
    <row r="13" spans="1:14" ht="19.5" customHeight="1">
      <c r="A13" s="35">
        <v>43140</v>
      </c>
      <c r="B13" s="63"/>
      <c r="C13" s="63"/>
      <c r="D13" s="30">
        <v>213.8</v>
      </c>
      <c r="E13" s="30">
        <v>949</v>
      </c>
      <c r="F13" s="36">
        <v>209.32</v>
      </c>
      <c r="G13" s="34">
        <v>507</v>
      </c>
      <c r="H13" s="9"/>
      <c r="I13" s="24">
        <v>0</v>
      </c>
      <c r="J13" s="1">
        <v>20</v>
      </c>
      <c r="K13" s="1">
        <v>40</v>
      </c>
      <c r="L13" s="24">
        <v>0</v>
      </c>
      <c r="M13" s="24">
        <f t="shared" si="0"/>
        <v>60</v>
      </c>
      <c r="N13" s="2"/>
    </row>
    <row r="14" spans="1:14" ht="19.5" customHeight="1">
      <c r="A14" s="35">
        <v>43141</v>
      </c>
      <c r="B14" s="63"/>
      <c r="C14" s="63"/>
      <c r="D14" s="30">
        <v>213.8</v>
      </c>
      <c r="E14" s="30">
        <v>949</v>
      </c>
      <c r="F14" s="25">
        <v>209.17</v>
      </c>
      <c r="G14" s="33">
        <v>500</v>
      </c>
      <c r="H14" s="9"/>
      <c r="I14" s="24">
        <v>0</v>
      </c>
      <c r="J14" s="1">
        <v>20</v>
      </c>
      <c r="K14" s="1">
        <v>40</v>
      </c>
      <c r="L14" s="24">
        <v>0</v>
      </c>
      <c r="M14" s="24">
        <f t="shared" si="0"/>
        <v>60</v>
      </c>
      <c r="N14" s="2"/>
    </row>
    <row r="15" spans="1:14" ht="19.5" customHeight="1">
      <c r="A15" s="35">
        <v>43142</v>
      </c>
      <c r="B15" s="63"/>
      <c r="C15" s="63"/>
      <c r="D15" s="30">
        <v>213.8</v>
      </c>
      <c r="E15" s="30">
        <v>949</v>
      </c>
      <c r="F15" s="25">
        <v>209.07</v>
      </c>
      <c r="G15" s="33">
        <v>493</v>
      </c>
      <c r="H15" s="9"/>
      <c r="I15" s="24">
        <v>0</v>
      </c>
      <c r="J15" s="1">
        <v>20</v>
      </c>
      <c r="K15" s="1">
        <v>40</v>
      </c>
      <c r="L15" s="24">
        <v>0</v>
      </c>
      <c r="M15" s="24">
        <f t="shared" si="0"/>
        <v>60</v>
      </c>
      <c r="N15" s="2"/>
    </row>
    <row r="16" spans="1:14" ht="19.5" customHeight="1">
      <c r="A16" s="35">
        <v>43143</v>
      </c>
      <c r="B16" s="63"/>
      <c r="C16" s="63"/>
      <c r="D16" s="30">
        <v>213.8</v>
      </c>
      <c r="E16" s="30">
        <v>949</v>
      </c>
      <c r="F16" s="25">
        <v>209.07</v>
      </c>
      <c r="G16" s="33">
        <v>482</v>
      </c>
      <c r="H16" s="9"/>
      <c r="I16" s="24">
        <v>0</v>
      </c>
      <c r="J16" s="1">
        <v>20</v>
      </c>
      <c r="K16" s="1">
        <v>40</v>
      </c>
      <c r="L16" s="24">
        <v>0</v>
      </c>
      <c r="M16" s="24">
        <f t="shared" si="0"/>
        <v>60</v>
      </c>
      <c r="N16" s="2"/>
    </row>
    <row r="17" spans="1:15" ht="19.5" customHeight="1">
      <c r="A17" s="35">
        <v>43144</v>
      </c>
      <c r="B17" s="63"/>
      <c r="C17" s="63"/>
      <c r="D17" s="30">
        <v>213.8</v>
      </c>
      <c r="E17" s="30">
        <v>949</v>
      </c>
      <c r="F17" s="25">
        <v>208.99</v>
      </c>
      <c r="G17" s="33">
        <v>479</v>
      </c>
      <c r="H17" s="9"/>
      <c r="I17" s="24">
        <v>0</v>
      </c>
      <c r="J17" s="1">
        <v>20</v>
      </c>
      <c r="K17" s="1">
        <v>40</v>
      </c>
      <c r="L17" s="24">
        <v>0</v>
      </c>
      <c r="M17" s="24">
        <f t="shared" si="0"/>
        <v>60</v>
      </c>
      <c r="N17" s="2"/>
    </row>
    <row r="18" spans="1:15" ht="19.5" customHeight="1">
      <c r="A18" s="35">
        <v>43145</v>
      </c>
      <c r="B18" s="63"/>
      <c r="C18" s="63"/>
      <c r="D18" s="30">
        <v>213.8</v>
      </c>
      <c r="E18" s="30">
        <v>949</v>
      </c>
      <c r="F18" s="25">
        <v>208.94</v>
      </c>
      <c r="G18" s="33">
        <v>474</v>
      </c>
      <c r="H18" s="9"/>
      <c r="I18" s="24">
        <v>0</v>
      </c>
      <c r="J18" s="1">
        <v>20</v>
      </c>
      <c r="K18" s="1">
        <v>30</v>
      </c>
      <c r="L18" s="24">
        <v>0</v>
      </c>
      <c r="M18" s="24">
        <f t="shared" si="0"/>
        <v>50</v>
      </c>
      <c r="N18" s="2"/>
    </row>
    <row r="19" spans="1:15" ht="19.5" customHeight="1">
      <c r="A19" s="35">
        <v>43146</v>
      </c>
      <c r="B19" s="63"/>
      <c r="C19" s="63"/>
      <c r="D19" s="30">
        <v>213.8</v>
      </c>
      <c r="E19" s="30">
        <v>949</v>
      </c>
      <c r="F19" s="25">
        <v>208.88</v>
      </c>
      <c r="G19" s="33">
        <v>469</v>
      </c>
      <c r="H19" s="9"/>
      <c r="I19" s="24">
        <v>0</v>
      </c>
      <c r="J19" s="1">
        <v>20</v>
      </c>
      <c r="K19" s="1">
        <v>30</v>
      </c>
      <c r="L19" s="24">
        <v>0</v>
      </c>
      <c r="M19" s="24">
        <f t="shared" si="0"/>
        <v>50</v>
      </c>
      <c r="N19" s="2"/>
    </row>
    <row r="20" spans="1:15" ht="19.5" customHeight="1">
      <c r="A20" s="35">
        <v>43147</v>
      </c>
      <c r="B20" s="63"/>
      <c r="C20" s="63"/>
      <c r="D20" s="30">
        <v>213.8</v>
      </c>
      <c r="E20" s="30">
        <v>949</v>
      </c>
      <c r="F20" s="25">
        <v>208.84</v>
      </c>
      <c r="G20" s="33">
        <v>466</v>
      </c>
      <c r="H20" s="9">
        <v>9</v>
      </c>
      <c r="I20" s="24">
        <v>0</v>
      </c>
      <c r="J20" s="1">
        <v>20</v>
      </c>
      <c r="K20" s="1">
        <v>30</v>
      </c>
      <c r="L20" s="24">
        <v>0</v>
      </c>
      <c r="M20" s="24">
        <f t="shared" si="0"/>
        <v>50</v>
      </c>
      <c r="N20" s="2"/>
    </row>
    <row r="21" spans="1:15" ht="19.5" customHeight="1">
      <c r="A21" s="35">
        <v>43148</v>
      </c>
      <c r="B21" s="63"/>
      <c r="C21" s="63"/>
      <c r="D21" s="30">
        <v>213.8</v>
      </c>
      <c r="E21" s="30">
        <v>949</v>
      </c>
      <c r="F21" s="25">
        <v>208.79</v>
      </c>
      <c r="G21" s="33">
        <v>461</v>
      </c>
      <c r="H21" s="9"/>
      <c r="I21" s="24">
        <v>0</v>
      </c>
      <c r="J21" s="1">
        <v>20</v>
      </c>
      <c r="K21" s="1">
        <v>30</v>
      </c>
      <c r="L21" s="24">
        <v>0</v>
      </c>
      <c r="M21" s="24">
        <f t="shared" si="0"/>
        <v>50</v>
      </c>
      <c r="N21" s="2"/>
    </row>
    <row r="22" spans="1:15" ht="19.5" customHeight="1">
      <c r="A22" s="35">
        <v>43149</v>
      </c>
      <c r="B22" s="63"/>
      <c r="C22" s="63"/>
      <c r="D22" s="30">
        <v>213.8</v>
      </c>
      <c r="E22" s="30">
        <v>949</v>
      </c>
      <c r="F22" s="25">
        <v>208.75</v>
      </c>
      <c r="G22" s="33">
        <v>459</v>
      </c>
      <c r="H22" s="9">
        <v>17</v>
      </c>
      <c r="I22" s="24">
        <v>0</v>
      </c>
      <c r="J22" s="1">
        <v>20</v>
      </c>
      <c r="K22" s="1">
        <v>30</v>
      </c>
      <c r="L22" s="24">
        <v>0</v>
      </c>
      <c r="M22" s="24">
        <f t="shared" si="0"/>
        <v>50</v>
      </c>
      <c r="N22" s="2"/>
    </row>
    <row r="23" spans="1:15" ht="19.5" customHeight="1">
      <c r="A23" s="35">
        <v>43150</v>
      </c>
      <c r="B23" s="63"/>
      <c r="C23" s="63"/>
      <c r="D23" s="30">
        <v>213.8</v>
      </c>
      <c r="E23" s="30">
        <v>949</v>
      </c>
      <c r="F23" s="25">
        <v>208.72</v>
      </c>
      <c r="G23" s="33">
        <v>456</v>
      </c>
      <c r="H23" s="9">
        <v>25</v>
      </c>
      <c r="I23" s="24">
        <v>0</v>
      </c>
      <c r="J23" s="1">
        <v>20</v>
      </c>
      <c r="K23" s="1">
        <v>30</v>
      </c>
      <c r="L23" s="24">
        <v>0</v>
      </c>
      <c r="M23" s="24">
        <f t="shared" si="0"/>
        <v>50</v>
      </c>
      <c r="N23" s="2"/>
    </row>
    <row r="24" spans="1:15" ht="19.5" customHeight="1">
      <c r="A24" s="35">
        <v>43151</v>
      </c>
      <c r="B24" s="63"/>
      <c r="C24" s="63"/>
      <c r="D24" s="30">
        <v>213.8</v>
      </c>
      <c r="E24" s="30">
        <v>949</v>
      </c>
      <c r="F24" s="25">
        <v>208.62</v>
      </c>
      <c r="G24" s="33">
        <v>453</v>
      </c>
      <c r="H24" s="9">
        <v>9</v>
      </c>
      <c r="I24" s="24">
        <v>0</v>
      </c>
      <c r="J24" s="1">
        <v>20</v>
      </c>
      <c r="K24" s="1">
        <v>30</v>
      </c>
      <c r="L24" s="24">
        <v>0</v>
      </c>
      <c r="M24" s="24">
        <f t="shared" si="0"/>
        <v>50</v>
      </c>
      <c r="N24" s="2"/>
    </row>
    <row r="25" spans="1:15" ht="19.5" customHeight="1">
      <c r="A25" s="35">
        <v>43152</v>
      </c>
      <c r="B25" s="63"/>
      <c r="C25" s="63"/>
      <c r="D25" s="30">
        <v>213.8</v>
      </c>
      <c r="E25" s="30">
        <v>949</v>
      </c>
      <c r="F25" s="25">
        <v>208.62</v>
      </c>
      <c r="G25" s="33">
        <v>449</v>
      </c>
      <c r="H25" s="9">
        <v>9</v>
      </c>
      <c r="I25" s="24">
        <v>0</v>
      </c>
      <c r="J25" s="1">
        <v>20</v>
      </c>
      <c r="K25" s="1">
        <v>30</v>
      </c>
      <c r="L25" s="24">
        <v>0</v>
      </c>
      <c r="M25" s="24">
        <f t="shared" si="0"/>
        <v>50</v>
      </c>
      <c r="N25" s="2"/>
    </row>
    <row r="26" spans="1:15" ht="19.5" customHeight="1">
      <c r="A26" s="35">
        <v>43153</v>
      </c>
      <c r="B26" s="63"/>
      <c r="C26" s="63"/>
      <c r="D26" s="30">
        <v>213.8</v>
      </c>
      <c r="E26" s="30">
        <v>949</v>
      </c>
      <c r="F26" s="25">
        <v>208.62</v>
      </c>
      <c r="G26" s="33">
        <v>450</v>
      </c>
      <c r="H26" s="9">
        <v>9</v>
      </c>
      <c r="I26" s="24">
        <v>0</v>
      </c>
      <c r="J26" s="1">
        <v>20</v>
      </c>
      <c r="K26" s="1">
        <v>30</v>
      </c>
      <c r="L26" s="24">
        <v>0</v>
      </c>
      <c r="M26" s="24">
        <f t="shared" si="0"/>
        <v>50</v>
      </c>
      <c r="N26" s="2"/>
      <c r="O26" s="18"/>
    </row>
    <row r="27" spans="1:15" ht="19.5" customHeight="1">
      <c r="A27" s="35">
        <v>43154</v>
      </c>
      <c r="B27" s="63"/>
      <c r="C27" s="63"/>
      <c r="D27" s="30">
        <v>213.8</v>
      </c>
      <c r="E27" s="30">
        <v>949</v>
      </c>
      <c r="F27" s="25">
        <v>208.37</v>
      </c>
      <c r="G27" s="33">
        <v>449</v>
      </c>
      <c r="H27" s="9">
        <v>9</v>
      </c>
      <c r="I27" s="24">
        <v>0</v>
      </c>
      <c r="J27" s="1">
        <v>20</v>
      </c>
      <c r="K27" s="1">
        <v>30</v>
      </c>
      <c r="L27" s="24">
        <v>0</v>
      </c>
      <c r="M27" s="24">
        <f t="shared" si="0"/>
        <v>50</v>
      </c>
      <c r="N27" s="2"/>
    </row>
    <row r="28" spans="1:15" ht="19.5" customHeight="1">
      <c r="A28" s="35">
        <v>43155</v>
      </c>
      <c r="B28" s="63"/>
      <c r="C28" s="63"/>
      <c r="D28" s="30">
        <v>213.8</v>
      </c>
      <c r="E28" s="30">
        <v>949</v>
      </c>
      <c r="F28" s="25">
        <v>208.27</v>
      </c>
      <c r="G28" s="33">
        <v>431</v>
      </c>
      <c r="H28" s="9"/>
      <c r="I28" s="24">
        <v>0</v>
      </c>
      <c r="J28" s="1">
        <v>20</v>
      </c>
      <c r="K28" s="1">
        <v>40</v>
      </c>
      <c r="L28" s="24">
        <v>0</v>
      </c>
      <c r="M28" s="24">
        <f t="shared" si="0"/>
        <v>60</v>
      </c>
      <c r="N28" s="2"/>
    </row>
    <row r="29" spans="1:15" ht="19.5" customHeight="1">
      <c r="A29" s="35">
        <v>43156</v>
      </c>
      <c r="B29" s="63"/>
      <c r="C29" s="63"/>
      <c r="D29" s="30">
        <v>213.8</v>
      </c>
      <c r="E29" s="30">
        <v>949</v>
      </c>
      <c r="F29" s="25">
        <v>208.27</v>
      </c>
      <c r="G29" s="33">
        <v>424</v>
      </c>
      <c r="H29" s="9"/>
      <c r="I29" s="24">
        <v>0</v>
      </c>
      <c r="J29" s="1">
        <v>20</v>
      </c>
      <c r="K29" s="1">
        <v>40</v>
      </c>
      <c r="L29" s="24">
        <v>0</v>
      </c>
      <c r="M29" s="24">
        <f t="shared" si="0"/>
        <v>60</v>
      </c>
      <c r="N29" s="2"/>
    </row>
    <row r="30" spans="1:15" ht="19.5" customHeight="1">
      <c r="A30" s="35">
        <v>43157</v>
      </c>
      <c r="B30" s="63"/>
      <c r="C30" s="63"/>
      <c r="D30" s="30">
        <v>213.8</v>
      </c>
      <c r="E30" s="30">
        <v>949</v>
      </c>
      <c r="F30" s="25">
        <v>208.2</v>
      </c>
      <c r="G30" s="33">
        <v>419</v>
      </c>
      <c r="H30" s="9"/>
      <c r="I30" s="24">
        <v>0</v>
      </c>
      <c r="J30" s="1">
        <v>20</v>
      </c>
      <c r="K30" s="1">
        <v>40</v>
      </c>
      <c r="L30" s="24">
        <v>0</v>
      </c>
      <c r="M30" s="24">
        <f t="shared" si="0"/>
        <v>60</v>
      </c>
      <c r="N30" s="2"/>
    </row>
    <row r="31" spans="1:15" ht="21" customHeight="1">
      <c r="A31" s="35">
        <v>43158</v>
      </c>
      <c r="B31" s="63"/>
      <c r="C31" s="63"/>
      <c r="D31" s="30">
        <v>213.8</v>
      </c>
      <c r="E31" s="30">
        <v>949</v>
      </c>
      <c r="F31" s="25">
        <v>208.1</v>
      </c>
      <c r="G31" s="33">
        <v>413</v>
      </c>
      <c r="H31" s="9"/>
      <c r="I31" s="24">
        <v>0</v>
      </c>
      <c r="J31" s="1">
        <v>20</v>
      </c>
      <c r="K31" s="1">
        <v>40</v>
      </c>
      <c r="L31" s="24">
        <v>0</v>
      </c>
      <c r="M31" s="24">
        <f t="shared" si="0"/>
        <v>60</v>
      </c>
      <c r="N31" s="2"/>
    </row>
    <row r="32" spans="1:15" ht="21" customHeight="1">
      <c r="A32" s="35">
        <v>43159</v>
      </c>
      <c r="B32" s="63"/>
      <c r="C32" s="63"/>
      <c r="D32" s="30">
        <v>213.8</v>
      </c>
      <c r="E32" s="30">
        <v>949</v>
      </c>
      <c r="F32" s="25">
        <v>208.03</v>
      </c>
      <c r="G32" s="33">
        <v>407</v>
      </c>
      <c r="H32" s="9"/>
      <c r="I32" s="24">
        <v>0</v>
      </c>
      <c r="J32" s="1">
        <v>20</v>
      </c>
      <c r="K32" s="1">
        <v>40</v>
      </c>
      <c r="L32" s="24">
        <v>0</v>
      </c>
      <c r="M32" s="24">
        <f t="shared" si="0"/>
        <v>60</v>
      </c>
      <c r="N32" s="2"/>
    </row>
    <row r="33" spans="1:15" ht="21" customHeight="1">
      <c r="A33" s="12"/>
      <c r="B33" s="13"/>
      <c r="C33" s="13"/>
      <c r="D33" s="14"/>
      <c r="E33" s="32"/>
      <c r="F33" s="15"/>
      <c r="G33" s="14"/>
      <c r="H33" s="16">
        <f>SUM(H5:H32)</f>
        <v>87</v>
      </c>
      <c r="I33" s="16">
        <f t="shared" ref="I33:M33" si="1">SUM(I5:I32)</f>
        <v>0</v>
      </c>
      <c r="J33" s="16">
        <f t="shared" si="1"/>
        <v>560</v>
      </c>
      <c r="K33" s="16">
        <f t="shared" si="1"/>
        <v>1020</v>
      </c>
      <c r="L33" s="16">
        <f t="shared" si="1"/>
        <v>0</v>
      </c>
      <c r="M33" s="16">
        <f t="shared" si="1"/>
        <v>1580</v>
      </c>
      <c r="N33" s="17"/>
      <c r="O33" s="19"/>
    </row>
    <row r="34" spans="1:15" ht="47.25" customHeight="1">
      <c r="A34" s="3"/>
      <c r="B34" s="4"/>
      <c r="C34" s="5"/>
      <c r="D34" s="5"/>
      <c r="E34" s="32"/>
      <c r="F34" s="5"/>
      <c r="G34" s="5"/>
      <c r="H34" s="5">
        <f>H33/11574</f>
        <v>7.5168481078278903E-3</v>
      </c>
      <c r="I34" s="5"/>
      <c r="J34" s="5">
        <f>J33/11574</f>
        <v>4.838430965958182E-2</v>
      </c>
      <c r="K34" s="5">
        <f>K33/11574</f>
        <v>8.8128564022809747E-2</v>
      </c>
      <c r="L34" s="28"/>
      <c r="M34" s="28"/>
      <c r="N34" s="7"/>
    </row>
    <row r="35" spans="1:15" ht="15.75" customHeight="1">
      <c r="A35" s="60" t="s">
        <v>9</v>
      </c>
      <c r="B35" s="55"/>
      <c r="C35" s="55"/>
      <c r="D35" s="55"/>
      <c r="E35" s="32"/>
      <c r="J35" s="60" t="s">
        <v>10</v>
      </c>
      <c r="K35" s="55"/>
      <c r="L35" s="55"/>
      <c r="M35" s="55"/>
      <c r="N35" s="7"/>
    </row>
    <row r="36" spans="1:15" ht="15.75" customHeight="1">
      <c r="A36" s="61" t="s">
        <v>16</v>
      </c>
      <c r="B36" s="55"/>
      <c r="C36" s="55"/>
      <c r="D36" s="55"/>
      <c r="J36" s="61" t="s">
        <v>16</v>
      </c>
      <c r="K36" s="55"/>
      <c r="L36" s="55"/>
      <c r="M36" s="55"/>
      <c r="N36" s="7"/>
    </row>
    <row r="37" spans="1:15" ht="15.75" customHeight="1">
      <c r="A37" s="54" t="s">
        <v>17</v>
      </c>
      <c r="B37" s="55"/>
      <c r="C37" s="55"/>
      <c r="D37" s="55"/>
      <c r="J37" s="54" t="s">
        <v>17</v>
      </c>
      <c r="K37" s="55"/>
      <c r="L37" s="55"/>
      <c r="M37" s="55"/>
      <c r="N37" s="7"/>
    </row>
    <row r="38" spans="1:15" ht="15.75" customHeight="1"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9" zoomScale="60" workbookViewId="0">
      <selection activeCell="H36" sqref="H36:M3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43160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207.94</v>
      </c>
      <c r="G5" s="11">
        <v>401</v>
      </c>
      <c r="H5" s="9"/>
      <c r="I5" s="24">
        <v>0</v>
      </c>
      <c r="J5" s="1">
        <v>20</v>
      </c>
      <c r="K5" s="1">
        <v>40</v>
      </c>
      <c r="L5" s="24">
        <v>0</v>
      </c>
      <c r="M5" s="24">
        <f>L5+K5+J5+I5</f>
        <v>60</v>
      </c>
      <c r="N5" s="2"/>
    </row>
    <row r="6" spans="1:14" ht="19.5" customHeight="1">
      <c r="A6" s="8">
        <v>43161</v>
      </c>
      <c r="B6" s="58"/>
      <c r="C6" s="58"/>
      <c r="D6" s="22">
        <v>213.8</v>
      </c>
      <c r="E6" s="30">
        <v>949</v>
      </c>
      <c r="F6" s="25">
        <v>207.87</v>
      </c>
      <c r="G6" s="11">
        <v>396</v>
      </c>
      <c r="H6" s="9"/>
      <c r="I6" s="24">
        <v>0</v>
      </c>
      <c r="J6" s="1">
        <v>20</v>
      </c>
      <c r="K6" s="1">
        <v>40</v>
      </c>
      <c r="L6" s="24">
        <v>0</v>
      </c>
      <c r="M6" s="24">
        <f t="shared" ref="M6:M35" si="0">L6+K6+J6+I6</f>
        <v>60</v>
      </c>
      <c r="N6" s="2"/>
    </row>
    <row r="7" spans="1:14" ht="19.5" customHeight="1">
      <c r="A7" s="8">
        <v>43162</v>
      </c>
      <c r="B7" s="58"/>
      <c r="C7" s="58"/>
      <c r="D7" s="22">
        <v>213.8</v>
      </c>
      <c r="E7" s="30">
        <v>949</v>
      </c>
      <c r="F7" s="25">
        <v>207.77</v>
      </c>
      <c r="G7" s="11">
        <v>389</v>
      </c>
      <c r="H7" s="9"/>
      <c r="I7" s="24">
        <v>0</v>
      </c>
      <c r="J7" s="1">
        <v>20</v>
      </c>
      <c r="K7" s="1">
        <v>40</v>
      </c>
      <c r="L7" s="24">
        <v>0</v>
      </c>
      <c r="M7" s="24">
        <f t="shared" si="0"/>
        <v>60</v>
      </c>
      <c r="N7" s="2"/>
    </row>
    <row r="8" spans="1:14" ht="19.5" customHeight="1">
      <c r="A8" s="8">
        <v>43163</v>
      </c>
      <c r="B8" s="58"/>
      <c r="C8" s="58"/>
      <c r="D8" s="22">
        <v>213.8</v>
      </c>
      <c r="E8" s="30">
        <v>949</v>
      </c>
      <c r="F8" s="25">
        <v>207.7</v>
      </c>
      <c r="G8" s="11">
        <v>384</v>
      </c>
      <c r="H8" s="9"/>
      <c r="I8" s="24">
        <v>0</v>
      </c>
      <c r="J8" s="1">
        <v>20</v>
      </c>
      <c r="K8" s="1">
        <v>40</v>
      </c>
      <c r="L8" s="24">
        <v>0</v>
      </c>
      <c r="M8" s="24">
        <f t="shared" si="0"/>
        <v>60</v>
      </c>
      <c r="N8" s="2"/>
    </row>
    <row r="9" spans="1:14" ht="19.5" customHeight="1">
      <c r="A9" s="8">
        <v>43164</v>
      </c>
      <c r="B9" s="58"/>
      <c r="C9" s="58"/>
      <c r="D9" s="22">
        <v>213.8</v>
      </c>
      <c r="E9" s="30">
        <v>949</v>
      </c>
      <c r="F9" s="25">
        <v>207.62</v>
      </c>
      <c r="G9" s="11">
        <v>378</v>
      </c>
      <c r="H9" s="9"/>
      <c r="I9" s="24">
        <v>0</v>
      </c>
      <c r="J9" s="1">
        <v>20</v>
      </c>
      <c r="K9" s="1">
        <v>40</v>
      </c>
      <c r="L9" s="24">
        <v>0</v>
      </c>
      <c r="M9" s="24">
        <f t="shared" si="0"/>
        <v>60</v>
      </c>
      <c r="N9" s="2"/>
    </row>
    <row r="10" spans="1:14" ht="19.5" customHeight="1">
      <c r="A10" s="8">
        <v>43165</v>
      </c>
      <c r="B10" s="58"/>
      <c r="C10" s="58"/>
      <c r="D10" s="22">
        <v>213.8</v>
      </c>
      <c r="E10" s="30">
        <v>949</v>
      </c>
      <c r="F10" s="25">
        <v>207.52</v>
      </c>
      <c r="G10" s="11">
        <v>371</v>
      </c>
      <c r="H10" s="9"/>
      <c r="I10" s="24">
        <v>0</v>
      </c>
      <c r="J10" s="1">
        <v>20</v>
      </c>
      <c r="K10" s="1">
        <v>40</v>
      </c>
      <c r="L10" s="24">
        <v>0</v>
      </c>
      <c r="M10" s="24">
        <f t="shared" si="0"/>
        <v>60</v>
      </c>
      <c r="N10" s="2"/>
    </row>
    <row r="11" spans="1:14" ht="19.5" customHeight="1">
      <c r="A11" s="8">
        <v>43166</v>
      </c>
      <c r="B11" s="58"/>
      <c r="C11" s="58"/>
      <c r="D11" s="22">
        <v>213.8</v>
      </c>
      <c r="E11" s="30">
        <v>949</v>
      </c>
      <c r="F11" s="25">
        <v>207.45</v>
      </c>
      <c r="G11" s="11">
        <v>366</v>
      </c>
      <c r="H11" s="9"/>
      <c r="I11" s="24">
        <v>0</v>
      </c>
      <c r="J11" s="1">
        <v>20</v>
      </c>
      <c r="K11" s="1">
        <v>40</v>
      </c>
      <c r="L11" s="24">
        <v>0</v>
      </c>
      <c r="M11" s="24">
        <f t="shared" si="0"/>
        <v>60</v>
      </c>
      <c r="N11" s="2"/>
    </row>
    <row r="12" spans="1:14" ht="19.5" customHeight="1">
      <c r="A12" s="8">
        <v>43167</v>
      </c>
      <c r="B12" s="58"/>
      <c r="C12" s="58"/>
      <c r="D12" s="22">
        <v>213.8</v>
      </c>
      <c r="E12" s="30">
        <v>949</v>
      </c>
      <c r="F12" s="26">
        <v>207.35</v>
      </c>
      <c r="G12" s="11">
        <v>359</v>
      </c>
      <c r="H12" s="9"/>
      <c r="I12" s="24">
        <v>0</v>
      </c>
      <c r="J12" s="1">
        <v>20</v>
      </c>
      <c r="K12" s="1">
        <v>40</v>
      </c>
      <c r="L12" s="24">
        <v>0</v>
      </c>
      <c r="M12" s="24">
        <f t="shared" si="0"/>
        <v>60</v>
      </c>
      <c r="N12" s="2"/>
    </row>
    <row r="13" spans="1:14" ht="19.5" customHeight="1">
      <c r="A13" s="8">
        <v>43168</v>
      </c>
      <c r="B13" s="58"/>
      <c r="C13" s="58"/>
      <c r="D13" s="22">
        <v>213.8</v>
      </c>
      <c r="E13" s="30">
        <v>949</v>
      </c>
      <c r="F13" s="25">
        <v>207.29</v>
      </c>
      <c r="G13" s="25">
        <v>354</v>
      </c>
      <c r="H13" s="9"/>
      <c r="I13" s="24">
        <v>0</v>
      </c>
      <c r="J13" s="1">
        <v>20</v>
      </c>
      <c r="K13" s="1">
        <v>40</v>
      </c>
      <c r="L13" s="24">
        <v>0</v>
      </c>
      <c r="M13" s="24">
        <f t="shared" si="0"/>
        <v>60</v>
      </c>
      <c r="N13" s="2"/>
    </row>
    <row r="14" spans="1:14" ht="19.5" customHeight="1">
      <c r="A14" s="8">
        <v>43169</v>
      </c>
      <c r="B14" s="58"/>
      <c r="C14" s="58"/>
      <c r="D14" s="22">
        <v>213.8</v>
      </c>
      <c r="E14" s="30">
        <v>949</v>
      </c>
      <c r="F14" s="25">
        <v>207.2</v>
      </c>
      <c r="G14" s="11">
        <v>348</v>
      </c>
      <c r="H14" s="9"/>
      <c r="I14" s="24">
        <v>0</v>
      </c>
      <c r="J14" s="1">
        <v>20</v>
      </c>
      <c r="K14" s="1">
        <v>40</v>
      </c>
      <c r="L14" s="24">
        <v>0</v>
      </c>
      <c r="M14" s="24">
        <f t="shared" si="0"/>
        <v>60</v>
      </c>
      <c r="N14" s="2"/>
    </row>
    <row r="15" spans="1:14" ht="19.5" customHeight="1">
      <c r="A15" s="8">
        <v>43170</v>
      </c>
      <c r="B15" s="58"/>
      <c r="C15" s="58"/>
      <c r="D15" s="22">
        <v>213.8</v>
      </c>
      <c r="E15" s="30">
        <v>949</v>
      </c>
      <c r="F15" s="25">
        <v>207.12</v>
      </c>
      <c r="G15" s="11">
        <v>342</v>
      </c>
      <c r="H15" s="9"/>
      <c r="I15" s="24">
        <v>0</v>
      </c>
      <c r="J15" s="1">
        <v>20</v>
      </c>
      <c r="K15" s="1">
        <v>40</v>
      </c>
      <c r="L15" s="24">
        <v>0</v>
      </c>
      <c r="M15" s="24">
        <f t="shared" si="0"/>
        <v>60</v>
      </c>
      <c r="N15" s="2"/>
    </row>
    <row r="16" spans="1:14" ht="19.5" customHeight="1">
      <c r="A16" s="8">
        <v>43171</v>
      </c>
      <c r="B16" s="58"/>
      <c r="C16" s="58"/>
      <c r="D16" s="22">
        <v>213.8</v>
      </c>
      <c r="E16" s="30">
        <v>949</v>
      </c>
      <c r="F16" s="25">
        <v>207.03</v>
      </c>
      <c r="G16" s="11">
        <v>336</v>
      </c>
      <c r="H16" s="9"/>
      <c r="I16" s="24">
        <v>0</v>
      </c>
      <c r="J16" s="1">
        <v>20</v>
      </c>
      <c r="K16" s="1">
        <v>40</v>
      </c>
      <c r="L16" s="24">
        <v>0</v>
      </c>
      <c r="M16" s="24">
        <f t="shared" si="0"/>
        <v>60</v>
      </c>
      <c r="N16" s="2"/>
    </row>
    <row r="17" spans="1:15" ht="19.5" customHeight="1">
      <c r="A17" s="8">
        <v>43172</v>
      </c>
      <c r="B17" s="58"/>
      <c r="C17" s="58"/>
      <c r="D17" s="22">
        <v>213.8</v>
      </c>
      <c r="E17" s="30">
        <v>949</v>
      </c>
      <c r="F17" s="25">
        <v>206.94</v>
      </c>
      <c r="G17" s="11">
        <v>329</v>
      </c>
      <c r="H17" s="9"/>
      <c r="I17" s="24">
        <v>0</v>
      </c>
      <c r="J17" s="1">
        <v>20</v>
      </c>
      <c r="K17" s="1">
        <v>40</v>
      </c>
      <c r="L17" s="24">
        <v>0</v>
      </c>
      <c r="M17" s="24">
        <f t="shared" si="0"/>
        <v>60</v>
      </c>
      <c r="N17" s="2"/>
    </row>
    <row r="18" spans="1:15" ht="19.5" customHeight="1">
      <c r="A18" s="8">
        <v>43173</v>
      </c>
      <c r="B18" s="58"/>
      <c r="C18" s="58"/>
      <c r="D18" s="22">
        <v>213.8</v>
      </c>
      <c r="E18" s="30">
        <v>949</v>
      </c>
      <c r="F18" s="25">
        <v>206.87</v>
      </c>
      <c r="G18" s="11">
        <v>324</v>
      </c>
      <c r="H18" s="9"/>
      <c r="I18" s="24">
        <v>0</v>
      </c>
      <c r="J18" s="1">
        <v>20</v>
      </c>
      <c r="K18" s="1">
        <v>40</v>
      </c>
      <c r="L18" s="24">
        <v>0</v>
      </c>
      <c r="M18" s="24">
        <f t="shared" si="0"/>
        <v>60</v>
      </c>
      <c r="N18" s="2"/>
    </row>
    <row r="19" spans="1:15" ht="19.5" customHeight="1">
      <c r="A19" s="8">
        <v>43174</v>
      </c>
      <c r="B19" s="58"/>
      <c r="C19" s="58"/>
      <c r="D19" s="22">
        <v>213.8</v>
      </c>
      <c r="E19" s="30">
        <v>949</v>
      </c>
      <c r="F19" s="25">
        <v>206.83</v>
      </c>
      <c r="G19" s="11">
        <v>321</v>
      </c>
      <c r="H19" s="9"/>
      <c r="I19" s="24">
        <v>0</v>
      </c>
      <c r="J19" s="1">
        <v>0</v>
      </c>
      <c r="K19" s="1">
        <v>20</v>
      </c>
      <c r="L19" s="24">
        <v>0</v>
      </c>
      <c r="M19" s="24">
        <f t="shared" si="0"/>
        <v>20</v>
      </c>
      <c r="N19" s="2"/>
    </row>
    <row r="20" spans="1:15" ht="19.5" customHeight="1">
      <c r="A20" s="8">
        <v>43175</v>
      </c>
      <c r="B20" s="58"/>
      <c r="C20" s="58"/>
      <c r="D20" s="22">
        <v>213.8</v>
      </c>
      <c r="E20" s="30">
        <v>949</v>
      </c>
      <c r="F20" s="25">
        <v>206.78</v>
      </c>
      <c r="G20" s="11">
        <v>318</v>
      </c>
      <c r="H20" s="9"/>
      <c r="I20" s="24">
        <v>0</v>
      </c>
      <c r="J20" s="1">
        <v>0</v>
      </c>
      <c r="K20" s="1">
        <v>20</v>
      </c>
      <c r="L20" s="24">
        <v>0</v>
      </c>
      <c r="M20" s="24">
        <f t="shared" si="0"/>
        <v>20</v>
      </c>
      <c r="N20" s="2"/>
    </row>
    <row r="21" spans="1:15" ht="19.5" customHeight="1">
      <c r="A21" s="8">
        <v>43176</v>
      </c>
      <c r="B21" s="58"/>
      <c r="C21" s="58"/>
      <c r="D21" s="22">
        <v>213.8</v>
      </c>
      <c r="E21" s="30">
        <v>949</v>
      </c>
      <c r="F21" s="25">
        <v>206.74</v>
      </c>
      <c r="G21" s="11">
        <v>316</v>
      </c>
      <c r="H21" s="9"/>
      <c r="I21" s="24">
        <v>0</v>
      </c>
      <c r="J21" s="1">
        <v>0</v>
      </c>
      <c r="K21" s="1">
        <v>20</v>
      </c>
      <c r="L21" s="24">
        <v>0</v>
      </c>
      <c r="M21" s="24">
        <f t="shared" si="0"/>
        <v>20</v>
      </c>
      <c r="N21" s="2"/>
    </row>
    <row r="22" spans="1:15" ht="19.5" customHeight="1">
      <c r="A22" s="8">
        <v>43177</v>
      </c>
      <c r="B22" s="58"/>
      <c r="C22" s="58"/>
      <c r="D22" s="22">
        <v>213.8</v>
      </c>
      <c r="E22" s="30">
        <v>949</v>
      </c>
      <c r="F22" s="25">
        <v>206.71</v>
      </c>
      <c r="G22" s="11">
        <v>314</v>
      </c>
      <c r="H22" s="9"/>
      <c r="I22" s="24">
        <v>0</v>
      </c>
      <c r="J22" s="1">
        <v>0</v>
      </c>
      <c r="K22" s="1">
        <v>20</v>
      </c>
      <c r="L22" s="24">
        <v>0</v>
      </c>
      <c r="M22" s="24">
        <f t="shared" si="0"/>
        <v>20</v>
      </c>
      <c r="N22" s="2"/>
    </row>
    <row r="23" spans="1:15" ht="19.5" customHeight="1">
      <c r="A23" s="8">
        <v>43178</v>
      </c>
      <c r="B23" s="58"/>
      <c r="C23" s="58"/>
      <c r="D23" s="22">
        <v>213.8</v>
      </c>
      <c r="E23" s="30">
        <v>949</v>
      </c>
      <c r="F23" s="25">
        <v>206.67</v>
      </c>
      <c r="G23" s="11">
        <v>311</v>
      </c>
      <c r="H23" s="9"/>
      <c r="I23" s="24">
        <v>0</v>
      </c>
      <c r="J23" s="1">
        <v>0</v>
      </c>
      <c r="K23" s="1">
        <v>20</v>
      </c>
      <c r="L23" s="24">
        <v>0</v>
      </c>
      <c r="M23" s="24">
        <f t="shared" si="0"/>
        <v>20</v>
      </c>
      <c r="N23" s="2"/>
    </row>
    <row r="24" spans="1:15" ht="19.5" customHeight="1">
      <c r="A24" s="8">
        <v>43179</v>
      </c>
      <c r="B24" s="58"/>
      <c r="C24" s="58"/>
      <c r="D24" s="22">
        <v>213.8</v>
      </c>
      <c r="E24" s="30">
        <v>949</v>
      </c>
      <c r="F24" s="25">
        <v>206.63</v>
      </c>
      <c r="G24" s="11">
        <v>309</v>
      </c>
      <c r="H24" s="9"/>
      <c r="I24" s="24">
        <v>0</v>
      </c>
      <c r="J24" s="1">
        <v>0</v>
      </c>
      <c r="K24" s="1">
        <v>20</v>
      </c>
      <c r="L24" s="24">
        <v>0</v>
      </c>
      <c r="M24" s="24">
        <f t="shared" si="0"/>
        <v>20</v>
      </c>
      <c r="N24" s="2"/>
    </row>
    <row r="25" spans="1:15" ht="19.5" customHeight="1">
      <c r="A25" s="8">
        <v>43180</v>
      </c>
      <c r="B25" s="58"/>
      <c r="C25" s="58"/>
      <c r="D25" s="22">
        <v>213.8</v>
      </c>
      <c r="E25" s="30">
        <v>949</v>
      </c>
      <c r="F25" s="25">
        <v>206.59</v>
      </c>
      <c r="G25" s="11">
        <v>307</v>
      </c>
      <c r="H25" s="9"/>
      <c r="I25" s="24">
        <v>0</v>
      </c>
      <c r="J25" s="1">
        <v>0</v>
      </c>
      <c r="K25" s="1">
        <v>20</v>
      </c>
      <c r="L25" s="24">
        <v>0</v>
      </c>
      <c r="M25" s="24">
        <f t="shared" si="0"/>
        <v>20</v>
      </c>
      <c r="N25" s="2"/>
    </row>
    <row r="26" spans="1:15" ht="19.5" customHeight="1">
      <c r="A26" s="8">
        <v>43181</v>
      </c>
      <c r="B26" s="58"/>
      <c r="C26" s="58"/>
      <c r="D26" s="22">
        <v>213.8</v>
      </c>
      <c r="E26" s="30">
        <v>949</v>
      </c>
      <c r="F26" s="25">
        <v>206.55</v>
      </c>
      <c r="G26" s="11">
        <v>304</v>
      </c>
      <c r="H26" s="9"/>
      <c r="I26" s="24">
        <v>0</v>
      </c>
      <c r="J26" s="1">
        <v>0</v>
      </c>
      <c r="K26" s="1">
        <v>20</v>
      </c>
      <c r="L26" s="24">
        <v>0</v>
      </c>
      <c r="M26" s="24">
        <f t="shared" si="0"/>
        <v>20</v>
      </c>
      <c r="N26" s="2"/>
      <c r="O26" s="18"/>
    </row>
    <row r="27" spans="1:15" ht="19.5" customHeight="1">
      <c r="A27" s="8">
        <v>43182</v>
      </c>
      <c r="B27" s="58"/>
      <c r="C27" s="58"/>
      <c r="D27" s="22">
        <v>213.8</v>
      </c>
      <c r="E27" s="30">
        <v>949</v>
      </c>
      <c r="F27" s="25">
        <v>206.51</v>
      </c>
      <c r="G27" s="11">
        <v>302</v>
      </c>
      <c r="H27" s="9"/>
      <c r="I27" s="24">
        <v>0</v>
      </c>
      <c r="J27" s="1">
        <v>0</v>
      </c>
      <c r="K27" s="1">
        <v>20</v>
      </c>
      <c r="L27" s="24">
        <v>0</v>
      </c>
      <c r="M27" s="24">
        <f t="shared" si="0"/>
        <v>20</v>
      </c>
      <c r="N27" s="2"/>
    </row>
    <row r="28" spans="1:15" ht="19.5" customHeight="1">
      <c r="A28" s="8">
        <v>43183</v>
      </c>
      <c r="B28" s="58"/>
      <c r="C28" s="58"/>
      <c r="D28" s="22">
        <v>213.8</v>
      </c>
      <c r="E28" s="30">
        <v>949</v>
      </c>
      <c r="F28" s="25">
        <v>206.48</v>
      </c>
      <c r="G28" s="11">
        <v>299</v>
      </c>
      <c r="H28" s="9"/>
      <c r="I28" s="24">
        <v>0</v>
      </c>
      <c r="J28" s="1">
        <v>0</v>
      </c>
      <c r="K28" s="1">
        <v>20</v>
      </c>
      <c r="L28" s="24">
        <v>0</v>
      </c>
      <c r="M28" s="24">
        <f t="shared" si="0"/>
        <v>20</v>
      </c>
      <c r="N28" s="2"/>
    </row>
    <row r="29" spans="1:15" ht="19.5" customHeight="1">
      <c r="A29" s="8">
        <v>43184</v>
      </c>
      <c r="B29" s="58"/>
      <c r="C29" s="58"/>
      <c r="D29" s="22">
        <v>213.8</v>
      </c>
      <c r="E29" s="30">
        <v>949</v>
      </c>
      <c r="F29" s="25">
        <v>206.37</v>
      </c>
      <c r="G29" s="11">
        <v>294</v>
      </c>
      <c r="H29" s="9"/>
      <c r="I29" s="24">
        <v>0</v>
      </c>
      <c r="J29" s="1">
        <v>0</v>
      </c>
      <c r="K29" s="1">
        <v>20</v>
      </c>
      <c r="L29" s="24">
        <v>0</v>
      </c>
      <c r="M29" s="24">
        <f t="shared" si="0"/>
        <v>20</v>
      </c>
      <c r="N29" s="2"/>
    </row>
    <row r="30" spans="1:15" ht="19.5" customHeight="1">
      <c r="A30" s="8">
        <v>43185</v>
      </c>
      <c r="B30" s="58"/>
      <c r="C30" s="58"/>
      <c r="D30" s="22">
        <v>213.8</v>
      </c>
      <c r="E30" s="30">
        <v>949</v>
      </c>
      <c r="F30" s="25">
        <v>206.34</v>
      </c>
      <c r="G30" s="11">
        <v>292</v>
      </c>
      <c r="H30" s="9"/>
      <c r="I30" s="24">
        <v>0</v>
      </c>
      <c r="J30" s="1">
        <v>0</v>
      </c>
      <c r="K30" s="1">
        <v>20</v>
      </c>
      <c r="L30" s="24">
        <v>0</v>
      </c>
      <c r="M30" s="24">
        <f t="shared" si="0"/>
        <v>20</v>
      </c>
      <c r="N30" s="2"/>
    </row>
    <row r="31" spans="1:15" ht="21" customHeight="1">
      <c r="A31" s="8">
        <v>43186</v>
      </c>
      <c r="B31" s="58"/>
      <c r="C31" s="58"/>
      <c r="D31" s="22">
        <v>213.8</v>
      </c>
      <c r="E31" s="30">
        <v>949</v>
      </c>
      <c r="F31" s="25">
        <v>206.34</v>
      </c>
      <c r="G31" s="11">
        <v>292</v>
      </c>
      <c r="H31" s="9">
        <v>20</v>
      </c>
      <c r="I31" s="24">
        <v>0</v>
      </c>
      <c r="J31" s="1">
        <v>0</v>
      </c>
      <c r="K31" s="1">
        <v>20</v>
      </c>
      <c r="L31" s="24">
        <v>0</v>
      </c>
      <c r="M31" s="24">
        <f t="shared" si="0"/>
        <v>20</v>
      </c>
      <c r="N31" s="2"/>
    </row>
    <row r="32" spans="1:15" ht="21" customHeight="1">
      <c r="A32" s="8">
        <v>43187</v>
      </c>
      <c r="B32" s="58"/>
      <c r="C32" s="58"/>
      <c r="D32" s="22">
        <v>213.8</v>
      </c>
      <c r="E32" s="30">
        <v>949</v>
      </c>
      <c r="F32" s="25">
        <v>206.33</v>
      </c>
      <c r="G32" s="11">
        <v>291</v>
      </c>
      <c r="H32" s="9"/>
      <c r="I32" s="24">
        <v>0</v>
      </c>
      <c r="J32" s="1">
        <v>0</v>
      </c>
      <c r="K32" s="1">
        <v>10</v>
      </c>
      <c r="L32" s="24">
        <v>0</v>
      </c>
      <c r="M32" s="24">
        <f t="shared" si="0"/>
        <v>10</v>
      </c>
      <c r="N32" s="2"/>
    </row>
    <row r="33" spans="1:15" ht="21" customHeight="1">
      <c r="A33" s="8">
        <v>43188</v>
      </c>
      <c r="B33" s="58"/>
      <c r="C33" s="58"/>
      <c r="D33" s="22">
        <v>213.8</v>
      </c>
      <c r="E33" s="30">
        <v>949</v>
      </c>
      <c r="F33" s="25">
        <v>206.29</v>
      </c>
      <c r="G33" s="11">
        <v>289</v>
      </c>
      <c r="H33" s="9"/>
      <c r="I33" s="24">
        <v>0</v>
      </c>
      <c r="J33" s="1">
        <v>0</v>
      </c>
      <c r="K33" s="1">
        <v>20</v>
      </c>
      <c r="L33" s="24">
        <v>0</v>
      </c>
      <c r="M33" s="24">
        <f t="shared" si="0"/>
        <v>20</v>
      </c>
      <c r="N33" s="2"/>
    </row>
    <row r="34" spans="1:15" ht="21" customHeight="1">
      <c r="A34" s="8">
        <v>43189</v>
      </c>
      <c r="B34" s="58"/>
      <c r="C34" s="58"/>
      <c r="D34" s="22">
        <v>213.8</v>
      </c>
      <c r="E34" s="31">
        <v>949</v>
      </c>
      <c r="F34" s="38">
        <v>206.26</v>
      </c>
      <c r="G34" s="39">
        <v>287</v>
      </c>
      <c r="H34" s="40"/>
      <c r="I34" s="24">
        <v>0</v>
      </c>
      <c r="J34" s="1">
        <v>0</v>
      </c>
      <c r="K34" s="1">
        <v>20</v>
      </c>
      <c r="L34" s="24">
        <v>0</v>
      </c>
      <c r="M34" s="24">
        <f t="shared" si="0"/>
        <v>20</v>
      </c>
      <c r="N34" s="2"/>
    </row>
    <row r="35" spans="1:15" ht="21" customHeight="1">
      <c r="A35" s="8">
        <v>43190</v>
      </c>
      <c r="B35" s="59"/>
      <c r="C35" s="59"/>
      <c r="D35" s="23">
        <v>213.8</v>
      </c>
      <c r="E35" s="30">
        <v>949</v>
      </c>
      <c r="F35" s="36">
        <v>206.22</v>
      </c>
      <c r="G35" s="30">
        <v>285</v>
      </c>
      <c r="H35" s="9"/>
      <c r="I35" s="37">
        <v>0</v>
      </c>
      <c r="J35" s="1">
        <v>0</v>
      </c>
      <c r="K35" s="1">
        <v>20</v>
      </c>
      <c r="L35" s="24">
        <v>0</v>
      </c>
      <c r="M35" s="24">
        <f t="shared" si="0"/>
        <v>20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20</v>
      </c>
      <c r="I36" s="16">
        <f t="shared" ref="I36:M36" si="1">SUM(I5:I35)</f>
        <v>0</v>
      </c>
      <c r="J36" s="16">
        <f t="shared" si="1"/>
        <v>280</v>
      </c>
      <c r="K36" s="16">
        <f t="shared" si="1"/>
        <v>890</v>
      </c>
      <c r="L36" s="16">
        <f t="shared" si="1"/>
        <v>0</v>
      </c>
      <c r="M36" s="16">
        <f t="shared" si="1"/>
        <v>1170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1.7280110592707793E-3</v>
      </c>
      <c r="I37" s="5"/>
      <c r="J37" s="5">
        <f>J36/11574</f>
        <v>2.419215482979091E-2</v>
      </c>
      <c r="K37" s="5">
        <f>K36/11574</f>
        <v>7.6896492137549677E-2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3" zoomScale="60" workbookViewId="0">
      <selection activeCell="M36" sqref="M3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43191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206.26</v>
      </c>
      <c r="G5" s="11">
        <v>287</v>
      </c>
      <c r="H5" s="9">
        <v>48</v>
      </c>
      <c r="I5" s="24">
        <v>0</v>
      </c>
      <c r="J5" s="1">
        <v>0</v>
      </c>
      <c r="K5" s="1">
        <v>20</v>
      </c>
      <c r="L5" s="24">
        <v>0</v>
      </c>
      <c r="M5" s="24">
        <f>L5+K5+J5+I5</f>
        <v>20</v>
      </c>
      <c r="N5" s="2"/>
    </row>
    <row r="6" spans="1:14" ht="19.5" customHeight="1">
      <c r="A6" s="8">
        <v>43192</v>
      </c>
      <c r="B6" s="58"/>
      <c r="C6" s="58"/>
      <c r="D6" s="22">
        <v>213.8</v>
      </c>
      <c r="E6" s="30">
        <v>949</v>
      </c>
      <c r="F6" s="25">
        <v>206.26</v>
      </c>
      <c r="G6" s="11">
        <v>287</v>
      </c>
      <c r="H6" s="9">
        <v>20</v>
      </c>
      <c r="I6" s="24">
        <v>0</v>
      </c>
      <c r="J6" s="1">
        <v>0</v>
      </c>
      <c r="K6" s="1">
        <v>20</v>
      </c>
      <c r="L6" s="24">
        <v>0</v>
      </c>
      <c r="M6" s="24">
        <f t="shared" ref="M6:M34" si="0">L6+K6+J6+I6</f>
        <v>20</v>
      </c>
      <c r="N6" s="2"/>
    </row>
    <row r="7" spans="1:14" ht="19.5" customHeight="1">
      <c r="A7" s="8">
        <v>43193</v>
      </c>
      <c r="B7" s="58"/>
      <c r="C7" s="58"/>
      <c r="D7" s="22">
        <v>213.8</v>
      </c>
      <c r="E7" s="30">
        <v>949</v>
      </c>
      <c r="F7" s="25">
        <v>206.23</v>
      </c>
      <c r="G7" s="11">
        <v>285</v>
      </c>
      <c r="H7" s="9"/>
      <c r="I7" s="24">
        <v>0</v>
      </c>
      <c r="J7" s="1">
        <v>0</v>
      </c>
      <c r="K7" s="1">
        <v>20</v>
      </c>
      <c r="L7" s="24">
        <v>0</v>
      </c>
      <c r="M7" s="24">
        <f t="shared" si="0"/>
        <v>20</v>
      </c>
      <c r="N7" s="2"/>
    </row>
    <row r="8" spans="1:14" ht="19.5" customHeight="1">
      <c r="A8" s="8">
        <v>43194</v>
      </c>
      <c r="B8" s="58"/>
      <c r="C8" s="58"/>
      <c r="D8" s="22">
        <v>213.8</v>
      </c>
      <c r="E8" s="30">
        <v>949</v>
      </c>
      <c r="F8" s="25">
        <v>206.22</v>
      </c>
      <c r="G8" s="11">
        <v>285</v>
      </c>
      <c r="H8" s="9">
        <v>12</v>
      </c>
      <c r="I8" s="24">
        <v>0</v>
      </c>
      <c r="J8" s="1">
        <v>0</v>
      </c>
      <c r="K8" s="1">
        <v>20</v>
      </c>
      <c r="L8" s="24">
        <v>0</v>
      </c>
      <c r="M8" s="24">
        <f t="shared" si="0"/>
        <v>20</v>
      </c>
      <c r="N8" s="2"/>
    </row>
    <row r="9" spans="1:14" ht="19.5" customHeight="1">
      <c r="A9" s="8">
        <v>43195</v>
      </c>
      <c r="B9" s="58"/>
      <c r="C9" s="58"/>
      <c r="D9" s="22">
        <v>213.8</v>
      </c>
      <c r="E9" s="30">
        <v>949</v>
      </c>
      <c r="F9" s="25">
        <v>206.18</v>
      </c>
      <c r="G9" s="11">
        <v>282</v>
      </c>
      <c r="H9" s="9"/>
      <c r="I9" s="24">
        <v>0</v>
      </c>
      <c r="J9" s="1">
        <v>0</v>
      </c>
      <c r="K9" s="1">
        <v>20</v>
      </c>
      <c r="L9" s="24">
        <v>0</v>
      </c>
      <c r="M9" s="24">
        <f t="shared" si="0"/>
        <v>20</v>
      </c>
      <c r="N9" s="2"/>
    </row>
    <row r="10" spans="1:14" ht="19.5" customHeight="1">
      <c r="A10" s="8">
        <v>43196</v>
      </c>
      <c r="B10" s="58"/>
      <c r="C10" s="58"/>
      <c r="D10" s="22">
        <v>213.8</v>
      </c>
      <c r="E10" s="30">
        <v>949</v>
      </c>
      <c r="F10" s="25">
        <v>206.22</v>
      </c>
      <c r="G10" s="11">
        <v>285</v>
      </c>
      <c r="H10" s="9">
        <v>12</v>
      </c>
      <c r="I10" s="24">
        <v>0</v>
      </c>
      <c r="J10" s="1">
        <v>0</v>
      </c>
      <c r="K10" s="1">
        <v>20</v>
      </c>
      <c r="L10" s="24">
        <v>0</v>
      </c>
      <c r="M10" s="24">
        <f t="shared" si="0"/>
        <v>20</v>
      </c>
      <c r="N10" s="2"/>
    </row>
    <row r="11" spans="1:14" ht="19.5" customHeight="1">
      <c r="A11" s="8">
        <v>43197</v>
      </c>
      <c r="B11" s="58"/>
      <c r="C11" s="58"/>
      <c r="D11" s="22">
        <v>213.8</v>
      </c>
      <c r="E11" s="30">
        <v>949</v>
      </c>
      <c r="F11" s="25">
        <v>206.21</v>
      </c>
      <c r="G11" s="11">
        <v>284</v>
      </c>
      <c r="H11" s="9">
        <v>50</v>
      </c>
      <c r="I11" s="24">
        <v>0</v>
      </c>
      <c r="J11" s="1">
        <v>0</v>
      </c>
      <c r="K11" s="1">
        <v>30</v>
      </c>
      <c r="L11" s="24">
        <v>0</v>
      </c>
      <c r="M11" s="24">
        <f t="shared" si="0"/>
        <v>30</v>
      </c>
      <c r="N11" s="2"/>
    </row>
    <row r="12" spans="1:14" ht="19.5" customHeight="1">
      <c r="A12" s="8">
        <v>43198</v>
      </c>
      <c r="B12" s="58"/>
      <c r="C12" s="58"/>
      <c r="D12" s="22">
        <v>213.8</v>
      </c>
      <c r="E12" s="30">
        <v>949</v>
      </c>
      <c r="F12" s="25">
        <v>206.21</v>
      </c>
      <c r="G12" s="11">
        <v>284</v>
      </c>
      <c r="H12" s="9">
        <v>30</v>
      </c>
      <c r="I12" s="24">
        <v>0</v>
      </c>
      <c r="J12" s="1">
        <v>0</v>
      </c>
      <c r="K12" s="1">
        <v>30</v>
      </c>
      <c r="L12" s="24">
        <v>0</v>
      </c>
      <c r="M12" s="24">
        <f t="shared" si="0"/>
        <v>30</v>
      </c>
      <c r="N12" s="2"/>
    </row>
    <row r="13" spans="1:14" ht="19.5" customHeight="1">
      <c r="A13" s="8">
        <v>43199</v>
      </c>
      <c r="B13" s="58"/>
      <c r="C13" s="58"/>
      <c r="D13" s="22">
        <v>213.8</v>
      </c>
      <c r="E13" s="30">
        <v>949</v>
      </c>
      <c r="F13" s="26">
        <v>206.17</v>
      </c>
      <c r="G13" s="25">
        <v>282</v>
      </c>
      <c r="H13" s="9"/>
      <c r="I13" s="24">
        <v>0</v>
      </c>
      <c r="J13" s="1">
        <v>0</v>
      </c>
      <c r="K13" s="1">
        <v>30</v>
      </c>
      <c r="L13" s="24">
        <v>0</v>
      </c>
      <c r="M13" s="24">
        <f t="shared" si="0"/>
        <v>30</v>
      </c>
      <c r="N13" s="2"/>
    </row>
    <row r="14" spans="1:14" ht="19.5" customHeight="1">
      <c r="A14" s="8">
        <v>43200</v>
      </c>
      <c r="B14" s="58"/>
      <c r="C14" s="58"/>
      <c r="D14" s="22">
        <v>213.8</v>
      </c>
      <c r="E14" s="30">
        <v>949</v>
      </c>
      <c r="F14" s="25">
        <v>206.14</v>
      </c>
      <c r="G14" s="11">
        <v>281</v>
      </c>
      <c r="H14" s="9">
        <v>12</v>
      </c>
      <c r="I14" s="24">
        <v>0</v>
      </c>
      <c r="J14" s="1">
        <v>0</v>
      </c>
      <c r="K14" s="1">
        <v>20</v>
      </c>
      <c r="L14" s="24">
        <v>0</v>
      </c>
      <c r="M14" s="24">
        <f t="shared" si="0"/>
        <v>20</v>
      </c>
      <c r="N14" s="2"/>
    </row>
    <row r="15" spans="1:14" ht="19.5" customHeight="1">
      <c r="A15" s="8">
        <v>43201</v>
      </c>
      <c r="B15" s="58"/>
      <c r="C15" s="58"/>
      <c r="D15" s="22">
        <v>213.8</v>
      </c>
      <c r="E15" s="30">
        <v>949</v>
      </c>
      <c r="F15" s="25">
        <v>206.14</v>
      </c>
      <c r="G15" s="11">
        <v>280</v>
      </c>
      <c r="H15" s="9">
        <v>7</v>
      </c>
      <c r="I15" s="24">
        <v>0</v>
      </c>
      <c r="J15" s="1">
        <v>0</v>
      </c>
      <c r="K15" s="1">
        <v>20</v>
      </c>
      <c r="L15" s="24">
        <v>0</v>
      </c>
      <c r="M15" s="24">
        <f t="shared" si="0"/>
        <v>20</v>
      </c>
      <c r="N15" s="2"/>
    </row>
    <row r="16" spans="1:14" ht="19.5" customHeight="1">
      <c r="A16" s="8">
        <v>43202</v>
      </c>
      <c r="B16" s="58"/>
      <c r="C16" s="58"/>
      <c r="D16" s="22">
        <v>213.8</v>
      </c>
      <c r="E16" s="30">
        <v>949</v>
      </c>
      <c r="F16" s="25">
        <v>206.14</v>
      </c>
      <c r="G16" s="11">
        <v>280</v>
      </c>
      <c r="H16" s="9"/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43203</v>
      </c>
      <c r="B17" s="58"/>
      <c r="C17" s="58"/>
      <c r="D17" s="22">
        <v>213.8</v>
      </c>
      <c r="E17" s="30">
        <v>949</v>
      </c>
      <c r="F17" s="25">
        <v>206.14</v>
      </c>
      <c r="G17" s="11">
        <v>280</v>
      </c>
      <c r="H17" s="9"/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43204</v>
      </c>
      <c r="B18" s="58"/>
      <c r="C18" s="58"/>
      <c r="D18" s="22">
        <v>213.8</v>
      </c>
      <c r="E18" s="30">
        <v>949</v>
      </c>
      <c r="F18" s="25">
        <v>206.14</v>
      </c>
      <c r="G18" s="11">
        <v>280</v>
      </c>
      <c r="H18" s="9"/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43205</v>
      </c>
      <c r="B19" s="58"/>
      <c r="C19" s="58"/>
      <c r="D19" s="22">
        <v>213.8</v>
      </c>
      <c r="E19" s="30">
        <v>949</v>
      </c>
      <c r="F19" s="25">
        <v>206.17</v>
      </c>
      <c r="G19" s="11">
        <v>281</v>
      </c>
      <c r="H19" s="9">
        <v>20</v>
      </c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43206</v>
      </c>
      <c r="B20" s="58"/>
      <c r="C20" s="58"/>
      <c r="D20" s="22">
        <v>213.8</v>
      </c>
      <c r="E20" s="30">
        <v>949</v>
      </c>
      <c r="F20" s="25">
        <v>206.19</v>
      </c>
      <c r="G20" s="11">
        <v>283</v>
      </c>
      <c r="H20" s="9">
        <v>12</v>
      </c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43207</v>
      </c>
      <c r="B21" s="58"/>
      <c r="C21" s="58"/>
      <c r="D21" s="22">
        <v>213.8</v>
      </c>
      <c r="E21" s="30">
        <v>949</v>
      </c>
      <c r="F21" s="25">
        <v>206.21</v>
      </c>
      <c r="G21" s="11">
        <v>284</v>
      </c>
      <c r="H21" s="9">
        <v>16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43208</v>
      </c>
      <c r="B22" s="58"/>
      <c r="C22" s="58"/>
      <c r="D22" s="22">
        <v>213.8</v>
      </c>
      <c r="E22" s="30">
        <v>949</v>
      </c>
      <c r="F22" s="25">
        <v>206.21</v>
      </c>
      <c r="G22" s="11">
        <v>284</v>
      </c>
      <c r="H22" s="9"/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43209</v>
      </c>
      <c r="B23" s="58"/>
      <c r="C23" s="58"/>
      <c r="D23" s="22">
        <v>213.8</v>
      </c>
      <c r="E23" s="30">
        <v>949</v>
      </c>
      <c r="F23" s="25">
        <v>206.19</v>
      </c>
      <c r="G23" s="11">
        <v>284</v>
      </c>
      <c r="H23" s="9"/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43210</v>
      </c>
      <c r="B24" s="58"/>
      <c r="C24" s="58"/>
      <c r="D24" s="22">
        <v>213.8</v>
      </c>
      <c r="E24" s="30">
        <v>949</v>
      </c>
      <c r="F24" s="25">
        <v>206.19</v>
      </c>
      <c r="G24" s="11">
        <v>283</v>
      </c>
      <c r="H24" s="9"/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43211</v>
      </c>
      <c r="B25" s="58"/>
      <c r="C25" s="58"/>
      <c r="D25" s="22">
        <v>213.8</v>
      </c>
      <c r="E25" s="30">
        <v>949</v>
      </c>
      <c r="F25" s="25">
        <v>206.19</v>
      </c>
      <c r="G25" s="11">
        <v>283</v>
      </c>
      <c r="H25" s="9"/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43212</v>
      </c>
      <c r="B26" s="58"/>
      <c r="C26" s="58"/>
      <c r="D26" s="22">
        <v>213.8</v>
      </c>
      <c r="E26" s="30">
        <v>949</v>
      </c>
      <c r="F26" s="25">
        <v>206.19</v>
      </c>
      <c r="G26" s="11">
        <v>285</v>
      </c>
      <c r="H26" s="9">
        <v>16</v>
      </c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43213</v>
      </c>
      <c r="B27" s="58"/>
      <c r="C27" s="58"/>
      <c r="D27" s="22">
        <v>213.8</v>
      </c>
      <c r="E27" s="30">
        <v>949</v>
      </c>
      <c r="F27" s="25">
        <v>206.21</v>
      </c>
      <c r="G27" s="11">
        <v>284</v>
      </c>
      <c r="H27" s="9">
        <v>16</v>
      </c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43214</v>
      </c>
      <c r="B28" s="58"/>
      <c r="C28" s="58"/>
      <c r="D28" s="22">
        <v>213.8</v>
      </c>
      <c r="E28" s="30">
        <v>949</v>
      </c>
      <c r="F28" s="25">
        <v>206.21</v>
      </c>
      <c r="G28" s="11">
        <v>284</v>
      </c>
      <c r="H28" s="9">
        <v>16</v>
      </c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43215</v>
      </c>
      <c r="B29" s="58"/>
      <c r="C29" s="58"/>
      <c r="D29" s="22">
        <v>213.8</v>
      </c>
      <c r="E29" s="30">
        <v>949</v>
      </c>
      <c r="F29" s="25">
        <v>206.21</v>
      </c>
      <c r="G29" s="11">
        <v>284</v>
      </c>
      <c r="H29" s="9">
        <v>16</v>
      </c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43216</v>
      </c>
      <c r="B30" s="58"/>
      <c r="C30" s="58"/>
      <c r="D30" s="22">
        <v>213.8</v>
      </c>
      <c r="E30" s="30">
        <v>949</v>
      </c>
      <c r="F30" s="25">
        <v>206.22</v>
      </c>
      <c r="G30" s="11">
        <v>285</v>
      </c>
      <c r="H30" s="9">
        <v>4</v>
      </c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43217</v>
      </c>
      <c r="B31" s="58"/>
      <c r="C31" s="58"/>
      <c r="D31" s="22">
        <v>213.8</v>
      </c>
      <c r="E31" s="30">
        <v>949</v>
      </c>
      <c r="F31" s="25">
        <v>206.24</v>
      </c>
      <c r="G31" s="11">
        <v>286</v>
      </c>
      <c r="H31" s="9">
        <v>16</v>
      </c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43218</v>
      </c>
      <c r="B32" s="58"/>
      <c r="C32" s="58"/>
      <c r="D32" s="22">
        <v>213.8</v>
      </c>
      <c r="E32" s="30">
        <v>949</v>
      </c>
      <c r="F32" s="25">
        <v>206.26</v>
      </c>
      <c r="G32" s="11">
        <v>287</v>
      </c>
      <c r="H32" s="9">
        <v>12</v>
      </c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43219</v>
      </c>
      <c r="B33" s="58"/>
      <c r="C33" s="58"/>
      <c r="D33" s="22">
        <v>213.8</v>
      </c>
      <c r="E33" s="30">
        <v>949</v>
      </c>
      <c r="F33" s="25">
        <v>206.28</v>
      </c>
      <c r="G33" s="11">
        <v>288</v>
      </c>
      <c r="H33" s="9">
        <v>16</v>
      </c>
      <c r="I33" s="24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ht="21" customHeight="1">
      <c r="A34" s="8">
        <v>43220</v>
      </c>
      <c r="B34" s="58"/>
      <c r="C34" s="58"/>
      <c r="D34" s="22">
        <v>213.8</v>
      </c>
      <c r="E34" s="30">
        <v>949</v>
      </c>
      <c r="F34" s="25">
        <v>206.33</v>
      </c>
      <c r="G34" s="11">
        <v>291</v>
      </c>
      <c r="H34" s="9">
        <v>33</v>
      </c>
      <c r="I34" s="24">
        <v>0</v>
      </c>
      <c r="J34" s="1">
        <v>0</v>
      </c>
      <c r="K34" s="1">
        <v>0</v>
      </c>
      <c r="L34" s="24">
        <v>0</v>
      </c>
      <c r="M34" s="24">
        <f t="shared" si="0"/>
        <v>0</v>
      </c>
      <c r="N34" s="2"/>
    </row>
    <row r="35" spans="1:15" ht="21" customHeight="1">
      <c r="A35" s="12"/>
      <c r="B35" s="13"/>
      <c r="C35" s="13"/>
      <c r="D35" s="14"/>
      <c r="E35" s="32"/>
      <c r="F35" s="15"/>
      <c r="G35" s="14"/>
      <c r="H35" s="16">
        <f>SUM(H5:H34)</f>
        <v>384</v>
      </c>
      <c r="I35" s="16">
        <f t="shared" ref="I35:M35" si="1">SUM(I5:I34)</f>
        <v>0</v>
      </c>
      <c r="J35" s="16">
        <f t="shared" si="1"/>
        <v>0</v>
      </c>
      <c r="K35" s="16">
        <f t="shared" si="1"/>
        <v>250</v>
      </c>
      <c r="L35" s="16">
        <f t="shared" si="1"/>
        <v>0</v>
      </c>
      <c r="M35" s="16">
        <f t="shared" si="1"/>
        <v>250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3.3177812337998963E-2</v>
      </c>
      <c r="I36" s="5"/>
      <c r="J36" s="5">
        <f>J35/11574</f>
        <v>0</v>
      </c>
      <c r="K36" s="5">
        <f>K35/11574</f>
        <v>2.1600138240884741E-2</v>
      </c>
      <c r="L36" s="28"/>
      <c r="M36" s="28"/>
      <c r="N36" s="7"/>
    </row>
    <row r="37" spans="1:15" ht="15.75" customHeight="1">
      <c r="A37" s="60" t="s">
        <v>9</v>
      </c>
      <c r="B37" s="55"/>
      <c r="C37" s="55"/>
      <c r="D37" s="55"/>
      <c r="J37" s="60" t="s">
        <v>10</v>
      </c>
      <c r="K37" s="55"/>
      <c r="L37" s="55"/>
      <c r="M37" s="55"/>
      <c r="N37" s="7"/>
    </row>
    <row r="38" spans="1:15" ht="15.75" customHeight="1">
      <c r="A38" s="61" t="s">
        <v>16</v>
      </c>
      <c r="B38" s="55"/>
      <c r="C38" s="55"/>
      <c r="D38" s="55"/>
      <c r="J38" s="61" t="s">
        <v>16</v>
      </c>
      <c r="K38" s="55"/>
      <c r="L38" s="55"/>
      <c r="M38" s="55"/>
      <c r="N38" s="7"/>
    </row>
    <row r="39" spans="1:15" ht="15.75" customHeight="1">
      <c r="A39" s="54" t="s">
        <v>17</v>
      </c>
      <c r="B39" s="55"/>
      <c r="C39" s="55"/>
      <c r="D39" s="55"/>
      <c r="J39" s="54" t="s">
        <v>17</v>
      </c>
      <c r="K39" s="55"/>
      <c r="L39" s="55"/>
      <c r="M39" s="55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5" zoomScale="60" workbookViewId="0">
      <selection activeCell="G35" sqref="G5:G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43221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206.33</v>
      </c>
      <c r="G5" s="11">
        <v>291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43222</v>
      </c>
      <c r="B6" s="58"/>
      <c r="C6" s="58"/>
      <c r="D6" s="22">
        <v>213.8</v>
      </c>
      <c r="E6" s="30">
        <v>949</v>
      </c>
      <c r="F6" s="25">
        <v>206.36</v>
      </c>
      <c r="G6" s="11">
        <v>293</v>
      </c>
      <c r="H6" s="9">
        <v>20</v>
      </c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43223</v>
      </c>
      <c r="B7" s="58"/>
      <c r="C7" s="58"/>
      <c r="D7" s="22">
        <v>213.8</v>
      </c>
      <c r="E7" s="30">
        <v>949</v>
      </c>
      <c r="F7" s="25">
        <v>206.37</v>
      </c>
      <c r="G7" s="11">
        <v>294</v>
      </c>
      <c r="H7" s="9">
        <v>8</v>
      </c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43224</v>
      </c>
      <c r="B8" s="58"/>
      <c r="C8" s="58"/>
      <c r="D8" s="22">
        <v>213.8</v>
      </c>
      <c r="E8" s="30">
        <v>949</v>
      </c>
      <c r="F8" s="25">
        <v>206.42</v>
      </c>
      <c r="G8" s="11">
        <v>297</v>
      </c>
      <c r="H8" s="9">
        <v>33</v>
      </c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43225</v>
      </c>
      <c r="B9" s="58"/>
      <c r="C9" s="58"/>
      <c r="D9" s="22">
        <v>213.8</v>
      </c>
      <c r="E9" s="30">
        <v>949</v>
      </c>
      <c r="F9" s="25">
        <v>206.73</v>
      </c>
      <c r="G9" s="11">
        <v>297</v>
      </c>
      <c r="H9" s="9">
        <v>8</v>
      </c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43226</v>
      </c>
      <c r="B10" s="58"/>
      <c r="C10" s="58"/>
      <c r="D10" s="22">
        <v>213.8</v>
      </c>
      <c r="E10" s="30">
        <v>949</v>
      </c>
      <c r="F10" s="25">
        <v>206.44</v>
      </c>
      <c r="G10" s="11">
        <v>298</v>
      </c>
      <c r="H10" s="9">
        <v>8</v>
      </c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43227</v>
      </c>
      <c r="B11" s="58"/>
      <c r="C11" s="58"/>
      <c r="D11" s="22">
        <v>213.8</v>
      </c>
      <c r="E11" s="30">
        <v>949</v>
      </c>
      <c r="F11" s="25">
        <v>206.48</v>
      </c>
      <c r="G11" s="11">
        <v>300</v>
      </c>
      <c r="H11" s="9">
        <v>24</v>
      </c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43228</v>
      </c>
      <c r="B12" s="58"/>
      <c r="C12" s="58"/>
      <c r="D12" s="22">
        <v>213.8</v>
      </c>
      <c r="E12" s="30">
        <v>949</v>
      </c>
      <c r="F12" s="25">
        <v>206.48</v>
      </c>
      <c r="G12" s="11">
        <v>300</v>
      </c>
      <c r="H12" s="9">
        <v>20</v>
      </c>
      <c r="I12" s="24">
        <v>0</v>
      </c>
      <c r="J12" s="1">
        <v>0</v>
      </c>
      <c r="K12" s="1">
        <v>20</v>
      </c>
      <c r="L12" s="24">
        <v>0</v>
      </c>
      <c r="M12" s="24">
        <f t="shared" si="0"/>
        <v>20</v>
      </c>
      <c r="N12" s="2"/>
    </row>
    <row r="13" spans="1:14" ht="19.5" customHeight="1">
      <c r="A13" s="8">
        <v>43229</v>
      </c>
      <c r="B13" s="58"/>
      <c r="C13" s="58"/>
      <c r="D13" s="22">
        <v>213.8</v>
      </c>
      <c r="E13" s="30">
        <v>949</v>
      </c>
      <c r="F13" s="26">
        <v>206.47</v>
      </c>
      <c r="G13" s="25">
        <v>300</v>
      </c>
      <c r="H13" s="9">
        <v>15</v>
      </c>
      <c r="I13" s="24">
        <v>0</v>
      </c>
      <c r="J13" s="1">
        <v>0</v>
      </c>
      <c r="K13" s="1">
        <v>20</v>
      </c>
      <c r="L13" s="24">
        <v>0</v>
      </c>
      <c r="M13" s="24">
        <f t="shared" si="0"/>
        <v>20</v>
      </c>
      <c r="N13" s="2"/>
    </row>
    <row r="14" spans="1:14" ht="19.5" customHeight="1">
      <c r="A14" s="8">
        <v>43230</v>
      </c>
      <c r="B14" s="58"/>
      <c r="C14" s="58"/>
      <c r="D14" s="22">
        <v>213.8</v>
      </c>
      <c r="E14" s="30">
        <v>949</v>
      </c>
      <c r="F14" s="25">
        <v>206.51</v>
      </c>
      <c r="G14" s="11">
        <v>302</v>
      </c>
      <c r="H14" s="9">
        <v>24</v>
      </c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43231</v>
      </c>
      <c r="B15" s="58"/>
      <c r="C15" s="58"/>
      <c r="D15" s="22">
        <v>213.8</v>
      </c>
      <c r="E15" s="30">
        <v>949</v>
      </c>
      <c r="F15" s="25">
        <v>206.52</v>
      </c>
      <c r="G15" s="11">
        <v>303</v>
      </c>
      <c r="H15" s="9">
        <v>8</v>
      </c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43232</v>
      </c>
      <c r="B16" s="58"/>
      <c r="C16" s="58"/>
      <c r="D16" s="22">
        <v>213.8</v>
      </c>
      <c r="E16" s="30">
        <v>949</v>
      </c>
      <c r="F16" s="25">
        <v>206.56</v>
      </c>
      <c r="G16" s="11">
        <v>305</v>
      </c>
      <c r="H16" s="9">
        <v>28</v>
      </c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43233</v>
      </c>
      <c r="B17" s="58"/>
      <c r="C17" s="58"/>
      <c r="D17" s="22">
        <v>213.8</v>
      </c>
      <c r="E17" s="30">
        <v>949</v>
      </c>
      <c r="F17" s="25">
        <v>206.57</v>
      </c>
      <c r="G17" s="11">
        <v>305</v>
      </c>
      <c r="H17" s="9">
        <v>4</v>
      </c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43234</v>
      </c>
      <c r="B18" s="58"/>
      <c r="C18" s="58"/>
      <c r="D18" s="22">
        <v>213.8</v>
      </c>
      <c r="E18" s="30">
        <v>949</v>
      </c>
      <c r="F18" s="25">
        <v>206.72</v>
      </c>
      <c r="G18" s="11">
        <v>315</v>
      </c>
      <c r="H18" s="9">
        <v>106</v>
      </c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43235</v>
      </c>
      <c r="B19" s="58"/>
      <c r="C19" s="58"/>
      <c r="D19" s="22">
        <v>213.8</v>
      </c>
      <c r="E19" s="30">
        <v>949</v>
      </c>
      <c r="F19" s="25">
        <v>206.73</v>
      </c>
      <c r="G19" s="11">
        <v>315</v>
      </c>
      <c r="H19" s="9">
        <v>4</v>
      </c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43236</v>
      </c>
      <c r="B20" s="58"/>
      <c r="C20" s="58"/>
      <c r="D20" s="22">
        <v>213.8</v>
      </c>
      <c r="E20" s="30">
        <v>949</v>
      </c>
      <c r="F20" s="25">
        <v>206.74</v>
      </c>
      <c r="G20" s="11">
        <v>316</v>
      </c>
      <c r="H20" s="9">
        <v>8</v>
      </c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43237</v>
      </c>
      <c r="B21" s="58"/>
      <c r="C21" s="58"/>
      <c r="D21" s="22">
        <v>213.8</v>
      </c>
      <c r="E21" s="30">
        <v>949</v>
      </c>
      <c r="F21" s="25">
        <v>206.77</v>
      </c>
      <c r="G21" s="11">
        <v>317</v>
      </c>
      <c r="H21" s="9">
        <v>20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43238</v>
      </c>
      <c r="B22" s="58"/>
      <c r="C22" s="58"/>
      <c r="D22" s="22">
        <v>213.8</v>
      </c>
      <c r="E22" s="30">
        <v>949</v>
      </c>
      <c r="F22" s="25">
        <v>206.81</v>
      </c>
      <c r="G22" s="11">
        <v>320</v>
      </c>
      <c r="H22" s="9">
        <v>28</v>
      </c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43239</v>
      </c>
      <c r="B23" s="58"/>
      <c r="C23" s="58"/>
      <c r="D23" s="22">
        <v>213.8</v>
      </c>
      <c r="E23" s="30">
        <v>949</v>
      </c>
      <c r="F23" s="25">
        <v>206.86</v>
      </c>
      <c r="G23" s="11">
        <v>323</v>
      </c>
      <c r="H23" s="9">
        <v>41</v>
      </c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43240</v>
      </c>
      <c r="B24" s="58"/>
      <c r="C24" s="58"/>
      <c r="D24" s="22">
        <v>213.8</v>
      </c>
      <c r="E24" s="30">
        <v>949</v>
      </c>
      <c r="F24" s="25">
        <v>206.88</v>
      </c>
      <c r="G24" s="11">
        <v>325</v>
      </c>
      <c r="H24" s="9">
        <v>0</v>
      </c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43241</v>
      </c>
      <c r="B25" s="58"/>
      <c r="C25" s="58"/>
      <c r="D25" s="22">
        <v>213.8</v>
      </c>
      <c r="E25" s="30">
        <v>949</v>
      </c>
      <c r="F25" s="25">
        <v>206.88</v>
      </c>
      <c r="G25" s="11">
        <v>325</v>
      </c>
      <c r="H25" s="9">
        <v>10</v>
      </c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43242</v>
      </c>
      <c r="B26" s="58"/>
      <c r="C26" s="58"/>
      <c r="D26" s="22">
        <v>213.8</v>
      </c>
      <c r="E26" s="30">
        <v>949</v>
      </c>
      <c r="F26" s="25">
        <v>206.88</v>
      </c>
      <c r="G26" s="11">
        <v>325</v>
      </c>
      <c r="H26" s="9">
        <v>0</v>
      </c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43243</v>
      </c>
      <c r="B27" s="58"/>
      <c r="C27" s="58"/>
      <c r="D27" s="22">
        <v>213.8</v>
      </c>
      <c r="E27" s="30">
        <v>949</v>
      </c>
      <c r="F27" s="25">
        <v>206.91</v>
      </c>
      <c r="G27" s="11">
        <v>328</v>
      </c>
      <c r="H27" s="9">
        <v>20</v>
      </c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43244</v>
      </c>
      <c r="B28" s="58"/>
      <c r="C28" s="58"/>
      <c r="D28" s="22">
        <v>213.8</v>
      </c>
      <c r="E28" s="30">
        <v>949</v>
      </c>
      <c r="F28" s="25">
        <v>206.91</v>
      </c>
      <c r="G28" s="11">
        <v>329</v>
      </c>
      <c r="H28" s="9"/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43245</v>
      </c>
      <c r="B29" s="58"/>
      <c r="C29" s="58"/>
      <c r="D29" s="22">
        <v>213.8</v>
      </c>
      <c r="E29" s="30">
        <v>949</v>
      </c>
      <c r="F29" s="25">
        <v>206.91</v>
      </c>
      <c r="G29" s="11">
        <v>329</v>
      </c>
      <c r="H29" s="9"/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43246</v>
      </c>
      <c r="B30" s="58"/>
      <c r="C30" s="58"/>
      <c r="D30" s="22">
        <v>213.8</v>
      </c>
      <c r="E30" s="30">
        <v>949</v>
      </c>
      <c r="F30" s="25">
        <v>206.92</v>
      </c>
      <c r="G30" s="11">
        <v>328</v>
      </c>
      <c r="H30" s="9">
        <v>8</v>
      </c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43247</v>
      </c>
      <c r="B31" s="58"/>
      <c r="C31" s="58"/>
      <c r="D31" s="22">
        <v>213.8</v>
      </c>
      <c r="E31" s="30">
        <v>949</v>
      </c>
      <c r="F31" s="25">
        <v>206.92</v>
      </c>
      <c r="G31" s="11">
        <v>328</v>
      </c>
      <c r="H31" s="9"/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43248</v>
      </c>
      <c r="B32" s="58"/>
      <c r="C32" s="58"/>
      <c r="D32" s="22">
        <v>213.8</v>
      </c>
      <c r="E32" s="30">
        <v>949</v>
      </c>
      <c r="F32" s="25">
        <v>206.92</v>
      </c>
      <c r="G32" s="11">
        <v>328</v>
      </c>
      <c r="H32" s="9"/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43249</v>
      </c>
      <c r="B33" s="58"/>
      <c r="C33" s="58"/>
      <c r="D33" s="22">
        <v>213.8</v>
      </c>
      <c r="E33" s="30">
        <v>949</v>
      </c>
      <c r="F33" s="25">
        <v>206.92</v>
      </c>
      <c r="G33" s="11">
        <v>328</v>
      </c>
      <c r="H33" s="9"/>
      <c r="I33" s="24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ht="21" customHeight="1">
      <c r="A34" s="8">
        <v>43250</v>
      </c>
      <c r="B34" s="58"/>
      <c r="C34" s="58"/>
      <c r="D34" s="22">
        <v>213.8</v>
      </c>
      <c r="E34" s="30">
        <v>949</v>
      </c>
      <c r="F34" s="25">
        <v>206.92</v>
      </c>
      <c r="G34" s="11">
        <v>328</v>
      </c>
      <c r="H34" s="9"/>
      <c r="I34" s="24">
        <v>0</v>
      </c>
      <c r="J34" s="1">
        <v>0</v>
      </c>
      <c r="K34" s="1">
        <v>0</v>
      </c>
      <c r="L34" s="24">
        <v>0</v>
      </c>
      <c r="M34" s="24">
        <f t="shared" si="0"/>
        <v>0</v>
      </c>
      <c r="N34" s="2"/>
    </row>
    <row r="35" spans="1:15" ht="21" customHeight="1">
      <c r="A35" s="8">
        <v>43251</v>
      </c>
      <c r="B35" s="59"/>
      <c r="C35" s="59"/>
      <c r="D35" s="23">
        <v>213.8</v>
      </c>
      <c r="E35" s="30">
        <v>949</v>
      </c>
      <c r="F35" s="25">
        <v>206.92</v>
      </c>
      <c r="G35" s="11">
        <v>328</v>
      </c>
      <c r="H35" s="9"/>
      <c r="I35" s="24">
        <v>0</v>
      </c>
      <c r="J35" s="1">
        <v>0</v>
      </c>
      <c r="K35" s="1">
        <v>0</v>
      </c>
      <c r="L35" s="24">
        <v>0</v>
      </c>
      <c r="M35" s="24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445</v>
      </c>
      <c r="I36" s="16">
        <f t="shared" ref="I36:M36" si="1">SUM(I5:I35)</f>
        <v>0</v>
      </c>
      <c r="J36" s="16">
        <f t="shared" si="1"/>
        <v>0</v>
      </c>
      <c r="K36" s="16">
        <f t="shared" si="1"/>
        <v>40</v>
      </c>
      <c r="L36" s="16">
        <f t="shared" si="1"/>
        <v>0</v>
      </c>
      <c r="M36" s="16">
        <f t="shared" si="1"/>
        <v>40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3.8448246068774838E-2</v>
      </c>
      <c r="I37" s="5"/>
      <c r="J37" s="5">
        <f>J36/11574</f>
        <v>0</v>
      </c>
      <c r="K37" s="5">
        <f>K36/11574</f>
        <v>3.4560221185415585E-3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3" zoomScale="60" workbookViewId="0">
      <selection activeCell="H35" sqref="H35:M3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43252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206.92</v>
      </c>
      <c r="G5" s="11">
        <v>328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43253</v>
      </c>
      <c r="B6" s="58"/>
      <c r="C6" s="58"/>
      <c r="D6" s="22">
        <v>213.8</v>
      </c>
      <c r="E6" s="30">
        <v>949</v>
      </c>
      <c r="F6" s="25">
        <v>206.92</v>
      </c>
      <c r="G6" s="11">
        <v>328</v>
      </c>
      <c r="H6" s="9"/>
      <c r="I6" s="24">
        <v>0</v>
      </c>
      <c r="J6" s="1">
        <v>0</v>
      </c>
      <c r="K6" s="1">
        <v>0</v>
      </c>
      <c r="L6" s="24">
        <v>0</v>
      </c>
      <c r="M6" s="24">
        <f t="shared" ref="M6:M34" si="0">L6+K6+J6+I6</f>
        <v>0</v>
      </c>
      <c r="N6" s="2"/>
    </row>
    <row r="7" spans="1:14" ht="19.5" customHeight="1">
      <c r="A7" s="8">
        <v>43254</v>
      </c>
      <c r="B7" s="58"/>
      <c r="C7" s="58"/>
      <c r="D7" s="22">
        <v>213.8</v>
      </c>
      <c r="E7" s="30">
        <v>949</v>
      </c>
      <c r="F7" s="25">
        <v>206.94</v>
      </c>
      <c r="G7" s="11">
        <v>329</v>
      </c>
      <c r="H7" s="9">
        <v>16</v>
      </c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43255</v>
      </c>
      <c r="B8" s="58"/>
      <c r="C8" s="58"/>
      <c r="D8" s="22">
        <v>213.8</v>
      </c>
      <c r="E8" s="30">
        <v>949</v>
      </c>
      <c r="F8" s="25">
        <v>206.97</v>
      </c>
      <c r="G8" s="11">
        <v>332</v>
      </c>
      <c r="H8" s="9">
        <v>24</v>
      </c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43256</v>
      </c>
      <c r="B9" s="58"/>
      <c r="C9" s="58"/>
      <c r="D9" s="22">
        <v>213.8</v>
      </c>
      <c r="E9" s="30">
        <v>949</v>
      </c>
      <c r="F9" s="25">
        <v>207.1</v>
      </c>
      <c r="G9" s="11">
        <v>341</v>
      </c>
      <c r="H9" s="9">
        <v>106</v>
      </c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43257</v>
      </c>
      <c r="B10" s="58"/>
      <c r="C10" s="58"/>
      <c r="D10" s="22">
        <v>213.8</v>
      </c>
      <c r="E10" s="30">
        <v>949</v>
      </c>
      <c r="F10" s="25">
        <v>207.13</v>
      </c>
      <c r="G10" s="11">
        <v>343</v>
      </c>
      <c r="H10" s="9">
        <v>24</v>
      </c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43258</v>
      </c>
      <c r="B11" s="58"/>
      <c r="C11" s="58"/>
      <c r="D11" s="22">
        <v>213.8</v>
      </c>
      <c r="E11" s="30">
        <v>949</v>
      </c>
      <c r="F11" s="25">
        <v>207.19</v>
      </c>
      <c r="G11" s="11">
        <v>347</v>
      </c>
      <c r="H11" s="9">
        <v>49</v>
      </c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43259</v>
      </c>
      <c r="B12" s="58"/>
      <c r="C12" s="58"/>
      <c r="D12" s="22">
        <v>213.8</v>
      </c>
      <c r="E12" s="30">
        <v>949</v>
      </c>
      <c r="F12" s="25">
        <v>207.19</v>
      </c>
      <c r="G12" s="11">
        <v>347</v>
      </c>
      <c r="H12" s="9"/>
      <c r="I12" s="24">
        <v>0</v>
      </c>
      <c r="J12" s="1">
        <v>0</v>
      </c>
      <c r="K12" s="1">
        <v>0</v>
      </c>
      <c r="L12" s="24">
        <v>0</v>
      </c>
      <c r="M12" s="24">
        <f t="shared" si="0"/>
        <v>0</v>
      </c>
      <c r="N12" s="2"/>
    </row>
    <row r="13" spans="1:14" ht="19.5" customHeight="1">
      <c r="A13" s="8">
        <v>43260</v>
      </c>
      <c r="B13" s="58"/>
      <c r="C13" s="58"/>
      <c r="D13" s="22">
        <v>213.8</v>
      </c>
      <c r="E13" s="30">
        <v>949</v>
      </c>
      <c r="F13" s="26">
        <v>207.25</v>
      </c>
      <c r="G13" s="25">
        <v>349</v>
      </c>
      <c r="H13" s="9">
        <v>24</v>
      </c>
      <c r="I13" s="24">
        <v>0</v>
      </c>
      <c r="J13" s="1">
        <v>0</v>
      </c>
      <c r="K13" s="1">
        <v>0</v>
      </c>
      <c r="L13" s="24">
        <v>0</v>
      </c>
      <c r="M13" s="24">
        <f t="shared" si="0"/>
        <v>0</v>
      </c>
      <c r="N13" s="2"/>
    </row>
    <row r="14" spans="1:14" ht="19.5" customHeight="1">
      <c r="A14" s="8">
        <v>43261</v>
      </c>
      <c r="B14" s="58"/>
      <c r="C14" s="58"/>
      <c r="D14" s="22">
        <v>213.8</v>
      </c>
      <c r="E14" s="30">
        <v>949</v>
      </c>
      <c r="F14" s="25">
        <v>207.25</v>
      </c>
      <c r="G14" s="11">
        <v>351</v>
      </c>
      <c r="H14" s="9">
        <v>24</v>
      </c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43262</v>
      </c>
      <c r="B15" s="58"/>
      <c r="C15" s="58"/>
      <c r="D15" s="22">
        <v>213.8</v>
      </c>
      <c r="E15" s="30">
        <v>949</v>
      </c>
      <c r="F15" s="25">
        <v>207.27</v>
      </c>
      <c r="G15" s="11">
        <v>353</v>
      </c>
      <c r="H15" s="9">
        <v>16</v>
      </c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43263</v>
      </c>
      <c r="B16" s="58"/>
      <c r="C16" s="58"/>
      <c r="D16" s="22">
        <v>213.8</v>
      </c>
      <c r="E16" s="30">
        <v>949</v>
      </c>
      <c r="F16" s="25">
        <v>207.27</v>
      </c>
      <c r="G16" s="11">
        <v>353</v>
      </c>
      <c r="H16" s="9"/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43264</v>
      </c>
      <c r="B17" s="58"/>
      <c r="C17" s="58"/>
      <c r="D17" s="22">
        <v>213.8</v>
      </c>
      <c r="E17" s="30">
        <v>949</v>
      </c>
      <c r="F17" s="25">
        <v>207.27</v>
      </c>
      <c r="G17" s="11">
        <v>352</v>
      </c>
      <c r="H17" s="9"/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43265</v>
      </c>
      <c r="B18" s="58"/>
      <c r="C18" s="58"/>
      <c r="D18" s="22">
        <v>213.8</v>
      </c>
      <c r="E18" s="30">
        <v>949</v>
      </c>
      <c r="F18" s="25">
        <v>207.27</v>
      </c>
      <c r="G18" s="11">
        <v>353</v>
      </c>
      <c r="H18" s="9"/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43266</v>
      </c>
      <c r="B19" s="58"/>
      <c r="C19" s="58"/>
      <c r="D19" s="22">
        <v>213.8</v>
      </c>
      <c r="E19" s="30">
        <v>949</v>
      </c>
      <c r="F19" s="25">
        <v>207.27</v>
      </c>
      <c r="G19" s="11">
        <v>353</v>
      </c>
      <c r="H19" s="9"/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43267</v>
      </c>
      <c r="B20" s="58"/>
      <c r="C20" s="58"/>
      <c r="D20" s="22">
        <v>213.8</v>
      </c>
      <c r="E20" s="30">
        <v>949</v>
      </c>
      <c r="F20" s="25">
        <v>207.24</v>
      </c>
      <c r="G20" s="11">
        <v>351</v>
      </c>
      <c r="H20" s="9"/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43268</v>
      </c>
      <c r="B21" s="58"/>
      <c r="C21" s="58"/>
      <c r="D21" s="22">
        <v>213.8</v>
      </c>
      <c r="E21" s="30">
        <v>949</v>
      </c>
      <c r="F21" s="25">
        <v>207.24</v>
      </c>
      <c r="G21" s="11">
        <v>350</v>
      </c>
      <c r="H21" s="9"/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43269</v>
      </c>
      <c r="B22" s="58"/>
      <c r="C22" s="58"/>
      <c r="D22" s="22">
        <v>213.8</v>
      </c>
      <c r="E22" s="30">
        <v>949</v>
      </c>
      <c r="F22" s="25">
        <v>207.24</v>
      </c>
      <c r="G22" s="11">
        <v>351</v>
      </c>
      <c r="H22" s="9"/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43270</v>
      </c>
      <c r="B23" s="58"/>
      <c r="C23" s="58"/>
      <c r="D23" s="22">
        <v>213.8</v>
      </c>
      <c r="E23" s="30">
        <v>949</v>
      </c>
      <c r="F23" s="25">
        <v>207.22</v>
      </c>
      <c r="G23" s="11">
        <v>349</v>
      </c>
      <c r="H23" s="9"/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43271</v>
      </c>
      <c r="B24" s="58"/>
      <c r="C24" s="58"/>
      <c r="D24" s="22">
        <v>213.8</v>
      </c>
      <c r="E24" s="30">
        <v>949</v>
      </c>
      <c r="F24" s="25">
        <v>207.22</v>
      </c>
      <c r="G24" s="11">
        <v>349</v>
      </c>
      <c r="H24" s="9"/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43272</v>
      </c>
      <c r="B25" s="58"/>
      <c r="C25" s="58"/>
      <c r="D25" s="22">
        <v>213.8</v>
      </c>
      <c r="E25" s="30">
        <v>949</v>
      </c>
      <c r="F25" s="25">
        <v>207.22</v>
      </c>
      <c r="G25" s="11">
        <v>349</v>
      </c>
      <c r="H25" s="9"/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43273</v>
      </c>
      <c r="B26" s="58"/>
      <c r="C26" s="58"/>
      <c r="D26" s="22">
        <v>213.8</v>
      </c>
      <c r="E26" s="30">
        <v>949</v>
      </c>
      <c r="F26" s="25">
        <v>207.29</v>
      </c>
      <c r="G26" s="11">
        <v>354</v>
      </c>
      <c r="H26" s="9">
        <v>57</v>
      </c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43274</v>
      </c>
      <c r="B27" s="58"/>
      <c r="C27" s="58"/>
      <c r="D27" s="22">
        <v>213.8</v>
      </c>
      <c r="E27" s="30">
        <v>949</v>
      </c>
      <c r="F27" s="25">
        <v>207.29</v>
      </c>
      <c r="G27" s="11">
        <v>354</v>
      </c>
      <c r="H27" s="9"/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43275</v>
      </c>
      <c r="B28" s="58"/>
      <c r="C28" s="58"/>
      <c r="D28" s="22">
        <v>213.8</v>
      </c>
      <c r="E28" s="30">
        <v>949</v>
      </c>
      <c r="F28" s="25">
        <v>207.34</v>
      </c>
      <c r="G28" s="11">
        <v>358</v>
      </c>
      <c r="H28" s="9"/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43276</v>
      </c>
      <c r="B29" s="58"/>
      <c r="C29" s="58"/>
      <c r="D29" s="22">
        <v>213.8</v>
      </c>
      <c r="E29" s="30">
        <v>949</v>
      </c>
      <c r="F29" s="25">
        <v>207.34</v>
      </c>
      <c r="G29" s="11">
        <v>358</v>
      </c>
      <c r="H29" s="9"/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43277</v>
      </c>
      <c r="B30" s="58"/>
      <c r="C30" s="58"/>
      <c r="D30" s="22">
        <v>213.8</v>
      </c>
      <c r="E30" s="30">
        <v>949</v>
      </c>
      <c r="F30" s="25">
        <v>207.34</v>
      </c>
      <c r="G30" s="11">
        <v>358</v>
      </c>
      <c r="H30" s="9"/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43278</v>
      </c>
      <c r="B31" s="58"/>
      <c r="C31" s="58"/>
      <c r="D31" s="22">
        <v>213.8</v>
      </c>
      <c r="E31" s="30">
        <v>949</v>
      </c>
      <c r="F31" s="25">
        <v>207.34</v>
      </c>
      <c r="G31" s="11">
        <v>358</v>
      </c>
      <c r="H31" s="9"/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43279</v>
      </c>
      <c r="B32" s="58"/>
      <c r="C32" s="58"/>
      <c r="D32" s="22">
        <v>213.8</v>
      </c>
      <c r="E32" s="30">
        <v>949</v>
      </c>
      <c r="F32" s="25">
        <v>207.34</v>
      </c>
      <c r="G32" s="11">
        <v>358</v>
      </c>
      <c r="H32" s="9"/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43280</v>
      </c>
      <c r="B33" s="58"/>
      <c r="C33" s="58"/>
      <c r="D33" s="22">
        <v>213.8</v>
      </c>
      <c r="E33" s="30">
        <v>949</v>
      </c>
      <c r="F33" s="25">
        <v>207.35</v>
      </c>
      <c r="G33" s="11">
        <v>359</v>
      </c>
      <c r="H33" s="9">
        <v>8</v>
      </c>
      <c r="I33" s="24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ht="21" customHeight="1">
      <c r="A34" s="8">
        <v>43281</v>
      </c>
      <c r="B34" s="58"/>
      <c r="C34" s="58"/>
      <c r="D34" s="22">
        <v>213.8</v>
      </c>
      <c r="E34" s="30">
        <v>949</v>
      </c>
      <c r="F34" s="25">
        <v>207.35</v>
      </c>
      <c r="G34" s="11">
        <v>359</v>
      </c>
      <c r="H34" s="9"/>
      <c r="I34" s="24">
        <v>0</v>
      </c>
      <c r="J34" s="1">
        <v>0</v>
      </c>
      <c r="K34" s="1">
        <v>0</v>
      </c>
      <c r="L34" s="24">
        <v>0</v>
      </c>
      <c r="M34" s="24">
        <f t="shared" si="0"/>
        <v>0</v>
      </c>
      <c r="N34" s="2"/>
    </row>
    <row r="35" spans="1:15" ht="21" customHeight="1">
      <c r="A35" s="12"/>
      <c r="B35" s="13"/>
      <c r="C35" s="13"/>
      <c r="D35" s="14"/>
      <c r="E35" s="32"/>
      <c r="F35" s="15"/>
      <c r="G35" s="14"/>
      <c r="H35" s="16">
        <f>SUM(H5:H34)</f>
        <v>348</v>
      </c>
      <c r="I35" s="16">
        <f t="shared" ref="I35:M35" si="1">SUM(I5:I34)</f>
        <v>0</v>
      </c>
      <c r="J35" s="16">
        <f t="shared" si="1"/>
        <v>0</v>
      </c>
      <c r="K35" s="16">
        <f t="shared" si="1"/>
        <v>0</v>
      </c>
      <c r="L35" s="16">
        <f t="shared" si="1"/>
        <v>0</v>
      </c>
      <c r="M35" s="16">
        <f t="shared" si="1"/>
        <v>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3.0067392431311561E-2</v>
      </c>
      <c r="I36" s="5"/>
      <c r="J36" s="5">
        <f>J35/11574</f>
        <v>0</v>
      </c>
      <c r="K36" s="5">
        <f>K35/11574</f>
        <v>0</v>
      </c>
      <c r="L36" s="28"/>
      <c r="M36" s="28"/>
      <c r="N36" s="7"/>
    </row>
    <row r="37" spans="1:15" ht="15.75" customHeight="1">
      <c r="A37" s="60" t="s">
        <v>9</v>
      </c>
      <c r="B37" s="55"/>
      <c r="C37" s="55"/>
      <c r="D37" s="55"/>
      <c r="J37" s="60" t="s">
        <v>10</v>
      </c>
      <c r="K37" s="55"/>
      <c r="L37" s="55"/>
      <c r="M37" s="55"/>
      <c r="N37" s="7"/>
    </row>
    <row r="38" spans="1:15" ht="15.75" customHeight="1">
      <c r="A38" s="61" t="s">
        <v>16</v>
      </c>
      <c r="B38" s="55"/>
      <c r="C38" s="55"/>
      <c r="D38" s="55"/>
      <c r="J38" s="61" t="s">
        <v>16</v>
      </c>
      <c r="K38" s="55"/>
      <c r="L38" s="55"/>
      <c r="M38" s="55"/>
      <c r="N38" s="7"/>
    </row>
    <row r="39" spans="1:15" ht="15.75" customHeight="1">
      <c r="A39" s="54" t="s">
        <v>17</v>
      </c>
      <c r="B39" s="55"/>
      <c r="C39" s="55"/>
      <c r="D39" s="55"/>
      <c r="J39" s="54" t="s">
        <v>17</v>
      </c>
      <c r="K39" s="55"/>
      <c r="L39" s="55"/>
      <c r="M39" s="55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8" zoomScale="60" workbookViewId="0">
      <selection activeCell="H36" sqref="H36:M36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43282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207.37</v>
      </c>
      <c r="G5" s="11">
        <v>360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43283</v>
      </c>
      <c r="B6" s="58"/>
      <c r="C6" s="58"/>
      <c r="D6" s="22">
        <v>213.8</v>
      </c>
      <c r="E6" s="30">
        <v>949</v>
      </c>
      <c r="F6" s="25">
        <v>207.37</v>
      </c>
      <c r="G6" s="11">
        <v>360</v>
      </c>
      <c r="H6" s="9">
        <v>16</v>
      </c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43284</v>
      </c>
      <c r="B7" s="58"/>
      <c r="C7" s="58"/>
      <c r="D7" s="22">
        <v>213.8</v>
      </c>
      <c r="E7" s="30">
        <v>949</v>
      </c>
      <c r="F7" s="25">
        <v>207.37</v>
      </c>
      <c r="G7" s="11">
        <v>360</v>
      </c>
      <c r="H7" s="9">
        <v>0</v>
      </c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43285</v>
      </c>
      <c r="B8" s="58"/>
      <c r="C8" s="58"/>
      <c r="D8" s="22">
        <v>213.8</v>
      </c>
      <c r="E8" s="30">
        <v>949</v>
      </c>
      <c r="F8" s="25">
        <v>207.37</v>
      </c>
      <c r="G8" s="11">
        <v>360</v>
      </c>
      <c r="H8" s="9"/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43286</v>
      </c>
      <c r="B9" s="58"/>
      <c r="C9" s="58"/>
      <c r="D9" s="22">
        <v>213.8</v>
      </c>
      <c r="E9" s="30">
        <v>949</v>
      </c>
      <c r="F9" s="25">
        <v>207.34</v>
      </c>
      <c r="G9" s="11">
        <v>358</v>
      </c>
      <c r="H9" s="9"/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43287</v>
      </c>
      <c r="B10" s="58"/>
      <c r="C10" s="58"/>
      <c r="D10" s="22">
        <v>213.8</v>
      </c>
      <c r="E10" s="30">
        <v>949</v>
      </c>
      <c r="F10" s="25">
        <v>207.34</v>
      </c>
      <c r="G10" s="11">
        <v>358</v>
      </c>
      <c r="H10" s="9"/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43288</v>
      </c>
      <c r="B11" s="58"/>
      <c r="C11" s="58"/>
      <c r="D11" s="22">
        <v>213.8</v>
      </c>
      <c r="E11" s="30">
        <v>949</v>
      </c>
      <c r="F11" s="25">
        <v>207.34</v>
      </c>
      <c r="G11" s="11">
        <v>358</v>
      </c>
      <c r="H11" s="9"/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43289</v>
      </c>
      <c r="B12" s="58"/>
      <c r="C12" s="58"/>
      <c r="D12" s="22">
        <v>213.8</v>
      </c>
      <c r="E12" s="30">
        <v>949</v>
      </c>
      <c r="F12" s="25">
        <v>207.34</v>
      </c>
      <c r="G12" s="11">
        <v>358</v>
      </c>
      <c r="H12" s="9"/>
      <c r="I12" s="24">
        <v>0</v>
      </c>
      <c r="J12" s="1">
        <v>0</v>
      </c>
      <c r="K12" s="1">
        <v>0</v>
      </c>
      <c r="L12" s="24">
        <v>0</v>
      </c>
      <c r="M12" s="24">
        <f t="shared" si="0"/>
        <v>0</v>
      </c>
      <c r="N12" s="2"/>
    </row>
    <row r="13" spans="1:14" ht="19.5" customHeight="1">
      <c r="A13" s="8">
        <v>43290</v>
      </c>
      <c r="B13" s="58"/>
      <c r="C13" s="58"/>
      <c r="D13" s="22">
        <v>213.8</v>
      </c>
      <c r="E13" s="30">
        <v>949</v>
      </c>
      <c r="F13" s="26">
        <v>207.4</v>
      </c>
      <c r="G13" s="25">
        <v>362</v>
      </c>
      <c r="H13" s="9">
        <v>49</v>
      </c>
      <c r="I13" s="24">
        <v>0</v>
      </c>
      <c r="J13" s="1">
        <v>0</v>
      </c>
      <c r="K13" s="1">
        <v>0</v>
      </c>
      <c r="L13" s="24">
        <v>0</v>
      </c>
      <c r="M13" s="24">
        <f t="shared" si="0"/>
        <v>0</v>
      </c>
      <c r="N13" s="2"/>
    </row>
    <row r="14" spans="1:14" ht="19.5" customHeight="1">
      <c r="A14" s="8">
        <v>43291</v>
      </c>
      <c r="B14" s="58"/>
      <c r="C14" s="58"/>
      <c r="D14" s="22">
        <v>213.8</v>
      </c>
      <c r="E14" s="30">
        <v>949</v>
      </c>
      <c r="F14" s="26">
        <v>207.4</v>
      </c>
      <c r="G14" s="25">
        <v>362</v>
      </c>
      <c r="H14" s="9"/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43292</v>
      </c>
      <c r="B15" s="58"/>
      <c r="C15" s="58"/>
      <c r="D15" s="22">
        <v>213.8</v>
      </c>
      <c r="E15" s="30">
        <v>949</v>
      </c>
      <c r="F15" s="26">
        <v>207.4</v>
      </c>
      <c r="G15" s="25">
        <v>362</v>
      </c>
      <c r="H15" s="9"/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43293</v>
      </c>
      <c r="B16" s="58"/>
      <c r="C16" s="58"/>
      <c r="D16" s="22">
        <v>213.8</v>
      </c>
      <c r="E16" s="30">
        <v>949</v>
      </c>
      <c r="F16" s="25">
        <v>207.42</v>
      </c>
      <c r="G16" s="11">
        <v>364</v>
      </c>
      <c r="H16" s="9">
        <v>16</v>
      </c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43294</v>
      </c>
      <c r="B17" s="58"/>
      <c r="C17" s="58"/>
      <c r="D17" s="22">
        <v>213.8</v>
      </c>
      <c r="E17" s="30">
        <v>949</v>
      </c>
      <c r="F17" s="25">
        <v>207.47</v>
      </c>
      <c r="G17" s="11">
        <v>367</v>
      </c>
      <c r="H17" s="9">
        <v>41</v>
      </c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43295</v>
      </c>
      <c r="B18" s="58"/>
      <c r="C18" s="58"/>
      <c r="D18" s="22">
        <v>213.8</v>
      </c>
      <c r="E18" s="30">
        <v>949</v>
      </c>
      <c r="F18" s="25">
        <v>207.48</v>
      </c>
      <c r="G18" s="11">
        <v>368</v>
      </c>
      <c r="H18" s="9">
        <v>8</v>
      </c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43296</v>
      </c>
      <c r="B19" s="58"/>
      <c r="C19" s="58"/>
      <c r="D19" s="22">
        <v>213.8</v>
      </c>
      <c r="E19" s="30">
        <v>949</v>
      </c>
      <c r="F19" s="25">
        <v>207.53</v>
      </c>
      <c r="G19" s="11">
        <v>371</v>
      </c>
      <c r="H19" s="9">
        <v>41</v>
      </c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43297</v>
      </c>
      <c r="B20" s="58"/>
      <c r="C20" s="58"/>
      <c r="D20" s="22">
        <v>213.8</v>
      </c>
      <c r="E20" s="30">
        <v>949</v>
      </c>
      <c r="F20" s="25">
        <v>207.54</v>
      </c>
      <c r="G20" s="11">
        <v>372</v>
      </c>
      <c r="H20" s="9">
        <v>7</v>
      </c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43298</v>
      </c>
      <c r="B21" s="58"/>
      <c r="C21" s="58"/>
      <c r="D21" s="22">
        <v>213.8</v>
      </c>
      <c r="E21" s="30">
        <v>949</v>
      </c>
      <c r="F21" s="25">
        <v>207.57</v>
      </c>
      <c r="G21" s="11">
        <v>374</v>
      </c>
      <c r="H21" s="9">
        <v>24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43299</v>
      </c>
      <c r="B22" s="58"/>
      <c r="C22" s="58"/>
      <c r="D22" s="22">
        <v>213.8</v>
      </c>
      <c r="E22" s="30">
        <v>949</v>
      </c>
      <c r="F22" s="25">
        <v>207.57</v>
      </c>
      <c r="G22" s="11">
        <v>374</v>
      </c>
      <c r="H22" s="9">
        <v>0</v>
      </c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43300</v>
      </c>
      <c r="B23" s="58"/>
      <c r="C23" s="58"/>
      <c r="D23" s="22">
        <v>213.8</v>
      </c>
      <c r="E23" s="30">
        <v>949</v>
      </c>
      <c r="F23" s="25">
        <v>207.59</v>
      </c>
      <c r="G23" s="11">
        <v>375.74</v>
      </c>
      <c r="H23" s="9">
        <v>16</v>
      </c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43301</v>
      </c>
      <c r="B24" s="58"/>
      <c r="C24" s="58"/>
      <c r="D24" s="22">
        <v>213.8</v>
      </c>
      <c r="E24" s="30">
        <v>949</v>
      </c>
      <c r="F24" s="25">
        <v>207.62</v>
      </c>
      <c r="G24" s="11">
        <v>377.85</v>
      </c>
      <c r="H24" s="9">
        <v>24</v>
      </c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43302</v>
      </c>
      <c r="B25" s="58"/>
      <c r="C25" s="58"/>
      <c r="D25" s="22">
        <v>213.8</v>
      </c>
      <c r="E25" s="30">
        <v>949</v>
      </c>
      <c r="F25" s="25">
        <v>207.75</v>
      </c>
      <c r="G25" s="11">
        <v>387.04</v>
      </c>
      <c r="H25" s="9">
        <v>106</v>
      </c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43303</v>
      </c>
      <c r="B26" s="58"/>
      <c r="C26" s="58"/>
      <c r="D26" s="22">
        <v>213.8</v>
      </c>
      <c r="E26" s="30">
        <v>949</v>
      </c>
      <c r="F26" s="25">
        <v>207.9</v>
      </c>
      <c r="G26" s="11">
        <v>397.98</v>
      </c>
      <c r="H26" s="9">
        <v>127</v>
      </c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43304</v>
      </c>
      <c r="B27" s="58"/>
      <c r="C27" s="58"/>
      <c r="D27" s="22">
        <v>213.8</v>
      </c>
      <c r="E27" s="30">
        <v>949</v>
      </c>
      <c r="F27" s="25">
        <v>207.99</v>
      </c>
      <c r="G27" s="11">
        <v>404.34</v>
      </c>
      <c r="H27" s="9">
        <v>74</v>
      </c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43305</v>
      </c>
      <c r="B28" s="58"/>
      <c r="C28" s="58"/>
      <c r="D28" s="22">
        <v>213.8</v>
      </c>
      <c r="E28" s="30">
        <v>949</v>
      </c>
      <c r="F28" s="25">
        <v>208.02</v>
      </c>
      <c r="G28" s="11">
        <v>406.46</v>
      </c>
      <c r="H28" s="9">
        <v>24</v>
      </c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43306</v>
      </c>
      <c r="B29" s="58"/>
      <c r="C29" s="58"/>
      <c r="D29" s="22">
        <v>213.8</v>
      </c>
      <c r="E29" s="30">
        <v>949</v>
      </c>
      <c r="F29" s="25">
        <v>208.04</v>
      </c>
      <c r="G29" s="11">
        <v>408.22</v>
      </c>
      <c r="H29" s="9">
        <v>20</v>
      </c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43307</v>
      </c>
      <c r="B30" s="58"/>
      <c r="C30" s="58"/>
      <c r="D30" s="22">
        <v>213.8</v>
      </c>
      <c r="E30" s="30">
        <v>949</v>
      </c>
      <c r="F30" s="25">
        <v>208.07</v>
      </c>
      <c r="G30" s="11">
        <v>410.34</v>
      </c>
      <c r="H30" s="9">
        <v>24</v>
      </c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43308</v>
      </c>
      <c r="B31" s="58"/>
      <c r="C31" s="58"/>
      <c r="D31" s="22">
        <v>213.8</v>
      </c>
      <c r="E31" s="30">
        <v>949</v>
      </c>
      <c r="F31" s="25">
        <v>208.09</v>
      </c>
      <c r="G31" s="11">
        <v>411.76</v>
      </c>
      <c r="H31" s="9">
        <v>16</v>
      </c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43309</v>
      </c>
      <c r="B32" s="58"/>
      <c r="C32" s="58"/>
      <c r="D32" s="22">
        <v>213.8</v>
      </c>
      <c r="E32" s="30">
        <v>949</v>
      </c>
      <c r="F32" s="25">
        <v>208.12</v>
      </c>
      <c r="G32" s="11">
        <v>413.88</v>
      </c>
      <c r="H32" s="9">
        <v>24</v>
      </c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43310</v>
      </c>
      <c r="B33" s="58"/>
      <c r="C33" s="58"/>
      <c r="D33" s="22">
        <v>213.8</v>
      </c>
      <c r="E33" s="30">
        <v>949</v>
      </c>
      <c r="F33" s="25">
        <v>208.12</v>
      </c>
      <c r="G33" s="11">
        <v>413.88</v>
      </c>
      <c r="H33" s="9"/>
      <c r="I33" s="24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ht="21" customHeight="1">
      <c r="A34" s="8">
        <v>43311</v>
      </c>
      <c r="B34" s="58"/>
      <c r="C34" s="58"/>
      <c r="D34" s="22">
        <v>213.8</v>
      </c>
      <c r="E34" s="30">
        <v>949</v>
      </c>
      <c r="F34" s="25">
        <v>208.12</v>
      </c>
      <c r="G34" s="11">
        <v>413.88</v>
      </c>
      <c r="H34" s="9"/>
      <c r="I34" s="24">
        <v>0</v>
      </c>
      <c r="J34" s="1">
        <v>0</v>
      </c>
      <c r="K34" s="1">
        <v>0</v>
      </c>
      <c r="L34" s="24">
        <v>0</v>
      </c>
      <c r="M34" s="24">
        <f t="shared" si="0"/>
        <v>0</v>
      </c>
      <c r="N34" s="2"/>
    </row>
    <row r="35" spans="1:15" ht="21" customHeight="1">
      <c r="A35" s="8">
        <v>43312</v>
      </c>
      <c r="B35" s="59"/>
      <c r="C35" s="59"/>
      <c r="D35" s="23">
        <v>213.8</v>
      </c>
      <c r="E35" s="30">
        <v>949</v>
      </c>
      <c r="F35" s="25">
        <v>208.13</v>
      </c>
      <c r="G35" s="11">
        <v>414.88</v>
      </c>
      <c r="H35" s="9">
        <v>8</v>
      </c>
      <c r="I35" s="24">
        <v>0</v>
      </c>
      <c r="J35" s="1">
        <v>0</v>
      </c>
      <c r="K35" s="1">
        <v>0</v>
      </c>
      <c r="L35" s="24">
        <v>0</v>
      </c>
      <c r="M35" s="24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665</v>
      </c>
      <c r="I36" s="16">
        <f t="shared" ref="I36:M36" si="1">SUM(I5:I35)</f>
        <v>0</v>
      </c>
      <c r="J36" s="16">
        <f t="shared" si="1"/>
        <v>0</v>
      </c>
      <c r="K36" s="16">
        <f t="shared" si="1"/>
        <v>0</v>
      </c>
      <c r="L36" s="16">
        <f t="shared" si="1"/>
        <v>0</v>
      </c>
      <c r="M36" s="16">
        <f t="shared" si="1"/>
        <v>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5.745636772075341E-2</v>
      </c>
      <c r="I37" s="5"/>
      <c r="J37" s="5">
        <f>J36/11574</f>
        <v>0</v>
      </c>
      <c r="K37" s="5">
        <f>K36/11574</f>
        <v>0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E45" sqref="E45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43313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208.13</v>
      </c>
      <c r="G5" s="11">
        <v>414.58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43314</v>
      </c>
      <c r="B6" s="58"/>
      <c r="C6" s="58"/>
      <c r="D6" s="22">
        <v>213.8</v>
      </c>
      <c r="E6" s="30">
        <v>949</v>
      </c>
      <c r="F6" s="25">
        <v>208.13</v>
      </c>
      <c r="G6" s="11">
        <v>414.58</v>
      </c>
      <c r="H6" s="9"/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43315</v>
      </c>
      <c r="B7" s="58"/>
      <c r="C7" s="58"/>
      <c r="D7" s="22">
        <v>213.8</v>
      </c>
      <c r="E7" s="30">
        <v>949</v>
      </c>
      <c r="F7" s="25">
        <v>208.13</v>
      </c>
      <c r="G7" s="11">
        <v>414.58</v>
      </c>
      <c r="H7" s="9"/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43316</v>
      </c>
      <c r="B8" s="58"/>
      <c r="C8" s="58"/>
      <c r="D8" s="22">
        <v>213.8</v>
      </c>
      <c r="E8" s="30">
        <v>949</v>
      </c>
      <c r="F8" s="25">
        <v>208.12</v>
      </c>
      <c r="G8" s="11">
        <v>413.88</v>
      </c>
      <c r="H8" s="9"/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43317</v>
      </c>
      <c r="B9" s="58"/>
      <c r="C9" s="58"/>
      <c r="D9" s="22">
        <v>213.8</v>
      </c>
      <c r="E9" s="30">
        <v>949</v>
      </c>
      <c r="F9" s="25">
        <v>208.09</v>
      </c>
      <c r="G9" s="11">
        <v>411.76</v>
      </c>
      <c r="H9" s="9"/>
      <c r="I9" s="24">
        <v>0</v>
      </c>
      <c r="J9" s="1">
        <v>10</v>
      </c>
      <c r="K9" s="1">
        <v>15</v>
      </c>
      <c r="L9" s="24">
        <v>0</v>
      </c>
      <c r="M9" s="24">
        <f t="shared" si="0"/>
        <v>25</v>
      </c>
      <c r="N9" s="2"/>
    </row>
    <row r="10" spans="1:14" ht="19.5" customHeight="1">
      <c r="A10" s="8">
        <v>43318</v>
      </c>
      <c r="B10" s="58"/>
      <c r="C10" s="58"/>
      <c r="D10" s="22">
        <v>213.8</v>
      </c>
      <c r="E10" s="30">
        <v>949</v>
      </c>
      <c r="F10" s="25">
        <v>208.02</v>
      </c>
      <c r="G10" s="11">
        <v>406.46</v>
      </c>
      <c r="H10" s="9"/>
      <c r="I10" s="24">
        <v>0</v>
      </c>
      <c r="J10" s="1">
        <v>45</v>
      </c>
      <c r="K10" s="1">
        <v>15</v>
      </c>
      <c r="L10" s="24">
        <v>0</v>
      </c>
      <c r="M10" s="24">
        <f t="shared" si="0"/>
        <v>60</v>
      </c>
      <c r="N10" s="2"/>
    </row>
    <row r="11" spans="1:14" ht="19.5" customHeight="1">
      <c r="A11" s="8">
        <v>43319</v>
      </c>
      <c r="B11" s="58"/>
      <c r="C11" s="58"/>
      <c r="D11" s="22">
        <v>213.8</v>
      </c>
      <c r="E11" s="30">
        <v>949</v>
      </c>
      <c r="F11" s="25">
        <v>207.93</v>
      </c>
      <c r="G11" s="11">
        <v>400.11</v>
      </c>
      <c r="H11" s="9"/>
      <c r="I11" s="24">
        <v>0</v>
      </c>
      <c r="J11" s="1">
        <v>45</v>
      </c>
      <c r="K11" s="1">
        <v>30</v>
      </c>
      <c r="L11" s="24">
        <v>0</v>
      </c>
      <c r="M11" s="24">
        <f t="shared" si="0"/>
        <v>75</v>
      </c>
      <c r="N11" s="2"/>
    </row>
    <row r="12" spans="1:14" ht="19.5" customHeight="1">
      <c r="A12" s="8">
        <v>43320</v>
      </c>
      <c r="B12" s="58"/>
      <c r="C12" s="58"/>
      <c r="D12" s="22">
        <v>213.8</v>
      </c>
      <c r="E12" s="30">
        <v>949</v>
      </c>
      <c r="F12" s="25">
        <v>207.89</v>
      </c>
      <c r="G12" s="11">
        <v>397.28</v>
      </c>
      <c r="H12" s="9">
        <v>23</v>
      </c>
      <c r="I12" s="24">
        <v>0</v>
      </c>
      <c r="J12" s="24">
        <v>45</v>
      </c>
      <c r="K12" s="1">
        <v>10</v>
      </c>
      <c r="L12" s="24">
        <v>0</v>
      </c>
      <c r="M12" s="24">
        <f t="shared" si="0"/>
        <v>55</v>
      </c>
      <c r="N12" s="2"/>
    </row>
    <row r="13" spans="1:14" ht="19.5" customHeight="1">
      <c r="A13" s="8">
        <v>43321</v>
      </c>
      <c r="B13" s="58"/>
      <c r="C13" s="58"/>
      <c r="D13" s="22">
        <v>213.8</v>
      </c>
      <c r="E13" s="30">
        <v>949</v>
      </c>
      <c r="F13" s="26">
        <v>207.82</v>
      </c>
      <c r="G13" s="25">
        <v>392.33</v>
      </c>
      <c r="H13" s="9">
        <v>22</v>
      </c>
      <c r="I13" s="24">
        <v>0</v>
      </c>
      <c r="J13" s="1">
        <v>50</v>
      </c>
      <c r="K13" s="1">
        <v>30</v>
      </c>
      <c r="L13" s="24">
        <v>0</v>
      </c>
      <c r="M13" s="24">
        <f t="shared" si="0"/>
        <v>80</v>
      </c>
      <c r="N13" s="2"/>
    </row>
    <row r="14" spans="1:14" ht="19.5" customHeight="1">
      <c r="A14" s="8">
        <v>43322</v>
      </c>
      <c r="B14" s="58"/>
      <c r="C14" s="58"/>
      <c r="D14" s="22">
        <v>213.8</v>
      </c>
      <c r="E14" s="30">
        <v>949</v>
      </c>
      <c r="F14" s="25">
        <v>207.72</v>
      </c>
      <c r="G14" s="11">
        <v>384.92</v>
      </c>
      <c r="H14" s="9">
        <v>0</v>
      </c>
      <c r="I14" s="24">
        <v>0</v>
      </c>
      <c r="J14" s="1">
        <v>65</v>
      </c>
      <c r="K14" s="1">
        <v>20</v>
      </c>
      <c r="L14" s="24">
        <v>0</v>
      </c>
      <c r="M14" s="24">
        <f t="shared" si="0"/>
        <v>85</v>
      </c>
      <c r="N14" s="2"/>
    </row>
    <row r="15" spans="1:14" ht="19.5" customHeight="1">
      <c r="A15" s="8">
        <v>43323</v>
      </c>
      <c r="B15" s="58"/>
      <c r="C15" s="58"/>
      <c r="D15" s="22">
        <v>213.8</v>
      </c>
      <c r="E15" s="30">
        <v>949</v>
      </c>
      <c r="F15" s="25">
        <v>207.62</v>
      </c>
      <c r="G15" s="11">
        <v>377.85</v>
      </c>
      <c r="H15" s="9">
        <v>5</v>
      </c>
      <c r="I15" s="24">
        <v>0</v>
      </c>
      <c r="J15" s="1">
        <v>65</v>
      </c>
      <c r="K15" s="1">
        <v>20</v>
      </c>
      <c r="L15" s="24">
        <v>0</v>
      </c>
      <c r="M15" s="24">
        <f t="shared" si="0"/>
        <v>85</v>
      </c>
      <c r="N15" s="2"/>
    </row>
    <row r="16" spans="1:14" ht="19.5" customHeight="1">
      <c r="A16" s="8">
        <v>43324</v>
      </c>
      <c r="B16" s="58"/>
      <c r="C16" s="58"/>
      <c r="D16" s="22">
        <v>213.8</v>
      </c>
      <c r="E16" s="30">
        <v>949</v>
      </c>
      <c r="F16" s="25">
        <v>207.52</v>
      </c>
      <c r="G16" s="11">
        <v>370.79</v>
      </c>
      <c r="H16" s="9">
        <v>5</v>
      </c>
      <c r="I16" s="24">
        <v>0</v>
      </c>
      <c r="J16" s="1">
        <v>65</v>
      </c>
      <c r="K16" s="1">
        <v>20</v>
      </c>
      <c r="L16" s="24">
        <v>0</v>
      </c>
      <c r="M16" s="24">
        <f t="shared" si="0"/>
        <v>85</v>
      </c>
      <c r="N16" s="2"/>
    </row>
    <row r="17" spans="1:15" ht="19.5" customHeight="1">
      <c r="A17" s="8">
        <v>43325</v>
      </c>
      <c r="B17" s="58"/>
      <c r="C17" s="58"/>
      <c r="D17" s="22">
        <v>213.8</v>
      </c>
      <c r="E17" s="30">
        <v>949</v>
      </c>
      <c r="F17" s="25">
        <v>207.42</v>
      </c>
      <c r="G17" s="11">
        <v>363.73</v>
      </c>
      <c r="H17" s="9">
        <v>5</v>
      </c>
      <c r="I17" s="24">
        <v>0</v>
      </c>
      <c r="J17" s="1">
        <v>65</v>
      </c>
      <c r="K17" s="1">
        <v>20</v>
      </c>
      <c r="L17" s="24">
        <v>0</v>
      </c>
      <c r="M17" s="24">
        <f t="shared" si="0"/>
        <v>85</v>
      </c>
      <c r="N17" s="2"/>
    </row>
    <row r="18" spans="1:15" ht="19.5" customHeight="1">
      <c r="A18" s="8">
        <v>43326</v>
      </c>
      <c r="B18" s="58"/>
      <c r="C18" s="58"/>
      <c r="D18" s="22">
        <v>213.8</v>
      </c>
      <c r="E18" s="30">
        <v>949</v>
      </c>
      <c r="F18" s="25">
        <v>207.32</v>
      </c>
      <c r="G18" s="11">
        <v>358.32</v>
      </c>
      <c r="H18" s="9">
        <v>0</v>
      </c>
      <c r="I18" s="24">
        <v>0</v>
      </c>
      <c r="J18" s="1">
        <v>65</v>
      </c>
      <c r="K18" s="1">
        <v>20</v>
      </c>
      <c r="L18" s="24">
        <v>0</v>
      </c>
      <c r="M18" s="24">
        <f t="shared" si="0"/>
        <v>85</v>
      </c>
      <c r="N18" s="2"/>
    </row>
    <row r="19" spans="1:15" ht="19.5" customHeight="1">
      <c r="A19" s="8">
        <v>43327</v>
      </c>
      <c r="B19" s="58"/>
      <c r="C19" s="58"/>
      <c r="D19" s="22">
        <v>213.8</v>
      </c>
      <c r="E19" s="30">
        <v>949</v>
      </c>
      <c r="F19" s="25">
        <v>207.2</v>
      </c>
      <c r="G19" s="11">
        <v>347.84</v>
      </c>
      <c r="H19" s="9">
        <v>0</v>
      </c>
      <c r="I19" s="24">
        <v>0</v>
      </c>
      <c r="J19" s="1">
        <v>65</v>
      </c>
      <c r="K19" s="1">
        <v>30</v>
      </c>
      <c r="L19" s="24">
        <v>0</v>
      </c>
      <c r="M19" s="24">
        <f t="shared" si="0"/>
        <v>95</v>
      </c>
      <c r="N19" s="2"/>
    </row>
    <row r="20" spans="1:15" ht="19.5" customHeight="1">
      <c r="A20" s="8">
        <v>43328</v>
      </c>
      <c r="B20" s="58"/>
      <c r="C20" s="58"/>
      <c r="D20" s="22">
        <v>213.8</v>
      </c>
      <c r="E20" s="30">
        <v>949</v>
      </c>
      <c r="F20" s="25">
        <v>207.42</v>
      </c>
      <c r="G20" s="11">
        <v>363.73</v>
      </c>
      <c r="H20" s="9">
        <v>253</v>
      </c>
      <c r="I20" s="24">
        <v>0</v>
      </c>
      <c r="J20" s="1">
        <v>250</v>
      </c>
      <c r="K20" s="1">
        <v>70</v>
      </c>
      <c r="L20" s="24">
        <v>0</v>
      </c>
      <c r="M20" s="24">
        <f t="shared" si="0"/>
        <v>320</v>
      </c>
      <c r="N20" s="2"/>
    </row>
    <row r="21" spans="1:15" ht="19.5" customHeight="1">
      <c r="A21" s="8">
        <v>43329</v>
      </c>
      <c r="B21" s="58"/>
      <c r="C21" s="58"/>
      <c r="D21" s="22">
        <v>213.8</v>
      </c>
      <c r="E21" s="30">
        <v>949</v>
      </c>
      <c r="F21" s="25">
        <v>207.42</v>
      </c>
      <c r="G21" s="11">
        <v>363.73</v>
      </c>
      <c r="H21" s="9">
        <v>90</v>
      </c>
      <c r="I21" s="24">
        <v>0</v>
      </c>
      <c r="J21" s="1">
        <v>55</v>
      </c>
      <c r="K21" s="1">
        <v>35</v>
      </c>
      <c r="L21" s="24">
        <v>0</v>
      </c>
      <c r="M21" s="24">
        <f t="shared" si="0"/>
        <v>90</v>
      </c>
      <c r="N21" s="2"/>
    </row>
    <row r="22" spans="1:15" ht="19.5" customHeight="1">
      <c r="A22" s="8">
        <v>43330</v>
      </c>
      <c r="B22" s="58"/>
      <c r="C22" s="58"/>
      <c r="D22" s="22">
        <v>213.8</v>
      </c>
      <c r="E22" s="30">
        <v>949</v>
      </c>
      <c r="F22" s="25">
        <v>207.35</v>
      </c>
      <c r="G22" s="11">
        <v>358.79</v>
      </c>
      <c r="H22" s="9">
        <v>32</v>
      </c>
      <c r="I22" s="24">
        <v>0</v>
      </c>
      <c r="J22" s="1">
        <v>55</v>
      </c>
      <c r="K22" s="1">
        <v>35</v>
      </c>
      <c r="L22" s="24">
        <v>0</v>
      </c>
      <c r="M22" s="24">
        <f t="shared" si="0"/>
        <v>90</v>
      </c>
      <c r="N22" s="2"/>
    </row>
    <row r="23" spans="1:15" ht="19.5" customHeight="1">
      <c r="A23" s="8">
        <v>43331</v>
      </c>
      <c r="B23" s="58"/>
      <c r="C23" s="58"/>
      <c r="D23" s="22">
        <v>213.8</v>
      </c>
      <c r="E23" s="30">
        <v>949</v>
      </c>
      <c r="F23" s="25">
        <v>207.27</v>
      </c>
      <c r="G23" s="11">
        <v>352.78</v>
      </c>
      <c r="H23" s="9">
        <v>20</v>
      </c>
      <c r="I23" s="24">
        <v>0</v>
      </c>
      <c r="J23" s="1">
        <v>55</v>
      </c>
      <c r="K23" s="1">
        <v>35</v>
      </c>
      <c r="L23" s="24">
        <v>0</v>
      </c>
      <c r="M23" s="24">
        <f t="shared" si="0"/>
        <v>90</v>
      </c>
      <c r="N23" s="2"/>
    </row>
    <row r="24" spans="1:15" ht="19.5" customHeight="1">
      <c r="A24" s="8">
        <v>43332</v>
      </c>
      <c r="B24" s="58"/>
      <c r="C24" s="58"/>
      <c r="D24" s="22">
        <v>213.8</v>
      </c>
      <c r="E24" s="30">
        <v>949</v>
      </c>
      <c r="F24" s="25">
        <v>207.35</v>
      </c>
      <c r="G24" s="11">
        <v>358.79</v>
      </c>
      <c r="H24" s="9">
        <v>140</v>
      </c>
      <c r="I24" s="24">
        <v>0</v>
      </c>
      <c r="J24" s="1">
        <v>45</v>
      </c>
      <c r="K24" s="1">
        <v>25</v>
      </c>
      <c r="L24" s="24">
        <v>0</v>
      </c>
      <c r="M24" s="24">
        <f t="shared" si="0"/>
        <v>70</v>
      </c>
      <c r="N24" s="2"/>
    </row>
    <row r="25" spans="1:15" ht="19.5" customHeight="1">
      <c r="A25" s="8">
        <v>43333</v>
      </c>
      <c r="B25" s="58"/>
      <c r="C25" s="58"/>
      <c r="D25" s="22">
        <v>213.8</v>
      </c>
      <c r="E25" s="30">
        <v>949</v>
      </c>
      <c r="F25" s="25">
        <v>207.38</v>
      </c>
      <c r="G25" s="11">
        <v>360.91</v>
      </c>
      <c r="H25" s="9">
        <v>94</v>
      </c>
      <c r="I25" s="24">
        <v>0</v>
      </c>
      <c r="J25" s="1">
        <v>45</v>
      </c>
      <c r="K25" s="1">
        <v>25</v>
      </c>
      <c r="L25" s="24">
        <v>0</v>
      </c>
      <c r="M25" s="24">
        <f t="shared" si="0"/>
        <v>70</v>
      </c>
      <c r="N25" s="2"/>
    </row>
    <row r="26" spans="1:15" ht="19.5" customHeight="1">
      <c r="A26" s="8">
        <v>43334</v>
      </c>
      <c r="B26" s="58"/>
      <c r="C26" s="58"/>
      <c r="D26" s="22">
        <v>213.8</v>
      </c>
      <c r="E26" s="30">
        <v>949</v>
      </c>
      <c r="F26" s="25">
        <v>207.37</v>
      </c>
      <c r="G26" s="11">
        <v>360.2</v>
      </c>
      <c r="H26" s="9">
        <v>62</v>
      </c>
      <c r="I26" s="24">
        <v>0</v>
      </c>
      <c r="J26" s="1">
        <v>45</v>
      </c>
      <c r="K26" s="1">
        <v>25</v>
      </c>
      <c r="L26" s="24">
        <v>0</v>
      </c>
      <c r="M26" s="24">
        <f t="shared" si="0"/>
        <v>70</v>
      </c>
      <c r="N26" s="2"/>
      <c r="O26" s="18"/>
    </row>
    <row r="27" spans="1:15" ht="19.5" customHeight="1">
      <c r="A27" s="8">
        <v>43335</v>
      </c>
      <c r="B27" s="58"/>
      <c r="C27" s="58"/>
      <c r="D27" s="22">
        <v>213.8</v>
      </c>
      <c r="E27" s="30">
        <v>949</v>
      </c>
      <c r="F27" s="25">
        <v>207.33</v>
      </c>
      <c r="G27" s="11">
        <v>357.37</v>
      </c>
      <c r="H27" s="9">
        <v>37</v>
      </c>
      <c r="I27" s="24">
        <v>0</v>
      </c>
      <c r="J27" s="1">
        <v>45</v>
      </c>
      <c r="K27" s="1">
        <v>25</v>
      </c>
      <c r="L27" s="24">
        <v>0</v>
      </c>
      <c r="M27" s="24">
        <f t="shared" si="0"/>
        <v>70</v>
      </c>
      <c r="N27" s="2"/>
    </row>
    <row r="28" spans="1:15" ht="19.5" customHeight="1">
      <c r="A28" s="8">
        <v>43336</v>
      </c>
      <c r="B28" s="58"/>
      <c r="C28" s="58"/>
      <c r="D28" s="22">
        <v>213.8</v>
      </c>
      <c r="E28" s="30">
        <v>949</v>
      </c>
      <c r="F28" s="25">
        <v>207.23</v>
      </c>
      <c r="G28" s="11">
        <v>350.66</v>
      </c>
      <c r="H28" s="9">
        <v>37</v>
      </c>
      <c r="I28" s="24">
        <v>0</v>
      </c>
      <c r="J28" s="1">
        <v>45</v>
      </c>
      <c r="K28" s="1">
        <v>25</v>
      </c>
      <c r="L28" s="24">
        <v>0</v>
      </c>
      <c r="M28" s="24">
        <f t="shared" si="0"/>
        <v>70</v>
      </c>
      <c r="N28" s="2"/>
    </row>
    <row r="29" spans="1:15" ht="19.5" customHeight="1">
      <c r="A29" s="8">
        <v>43337</v>
      </c>
      <c r="B29" s="58"/>
      <c r="C29" s="58"/>
      <c r="D29" s="22">
        <v>213.8</v>
      </c>
      <c r="E29" s="30">
        <v>949</v>
      </c>
      <c r="F29" s="25">
        <v>207.24</v>
      </c>
      <c r="G29" s="11">
        <v>350.66</v>
      </c>
      <c r="H29" s="9">
        <v>70</v>
      </c>
      <c r="I29" s="24">
        <v>0</v>
      </c>
      <c r="J29" s="1">
        <v>45</v>
      </c>
      <c r="K29" s="1">
        <v>25</v>
      </c>
      <c r="L29" s="24">
        <v>0</v>
      </c>
      <c r="M29" s="24">
        <f t="shared" si="0"/>
        <v>70</v>
      </c>
      <c r="N29" s="2"/>
    </row>
    <row r="30" spans="1:15" ht="19.5" customHeight="1">
      <c r="A30" s="8">
        <v>43338</v>
      </c>
      <c r="B30" s="58"/>
      <c r="C30" s="58"/>
      <c r="D30" s="22">
        <v>213.8</v>
      </c>
      <c r="E30" s="30">
        <v>949</v>
      </c>
      <c r="F30" s="25">
        <v>207.37</v>
      </c>
      <c r="G30" s="11">
        <v>360.2</v>
      </c>
      <c r="H30" s="9">
        <v>150</v>
      </c>
      <c r="I30" s="24">
        <v>0</v>
      </c>
      <c r="J30" s="1">
        <v>25</v>
      </c>
      <c r="K30" s="1">
        <v>15</v>
      </c>
      <c r="L30" s="24">
        <v>0</v>
      </c>
      <c r="M30" s="24">
        <f t="shared" si="0"/>
        <v>40</v>
      </c>
      <c r="N30" s="2"/>
    </row>
    <row r="31" spans="1:15" ht="21" customHeight="1">
      <c r="A31" s="8">
        <v>43339</v>
      </c>
      <c r="B31" s="58"/>
      <c r="C31" s="58"/>
      <c r="D31" s="22">
        <v>213.8</v>
      </c>
      <c r="E31" s="30">
        <v>949</v>
      </c>
      <c r="F31" s="25">
        <v>207.43</v>
      </c>
      <c r="G31" s="11">
        <v>364.44</v>
      </c>
      <c r="H31" s="9">
        <v>80</v>
      </c>
      <c r="I31" s="24">
        <v>0</v>
      </c>
      <c r="J31" s="1">
        <v>25</v>
      </c>
      <c r="K31" s="1">
        <v>15</v>
      </c>
      <c r="L31" s="24">
        <v>0</v>
      </c>
      <c r="M31" s="24">
        <f t="shared" si="0"/>
        <v>40</v>
      </c>
      <c r="N31" s="2"/>
    </row>
    <row r="32" spans="1:15" ht="21" customHeight="1">
      <c r="A32" s="8">
        <v>43340</v>
      </c>
      <c r="B32" s="58"/>
      <c r="C32" s="58"/>
      <c r="D32" s="22">
        <v>213.8</v>
      </c>
      <c r="E32" s="30">
        <v>949</v>
      </c>
      <c r="F32" s="25">
        <v>207.49</v>
      </c>
      <c r="G32" s="11">
        <v>368.67</v>
      </c>
      <c r="H32" s="9">
        <v>89</v>
      </c>
      <c r="I32" s="24">
        <v>0</v>
      </c>
      <c r="J32" s="1">
        <v>25</v>
      </c>
      <c r="K32" s="1">
        <v>15</v>
      </c>
      <c r="L32" s="24">
        <v>0</v>
      </c>
      <c r="M32" s="24">
        <f t="shared" si="0"/>
        <v>40</v>
      </c>
      <c r="N32" s="2"/>
    </row>
    <row r="33" spans="1:15" ht="21" customHeight="1">
      <c r="A33" s="8">
        <v>43341</v>
      </c>
      <c r="B33" s="58"/>
      <c r="C33" s="58"/>
      <c r="D33" s="22">
        <v>213.8</v>
      </c>
      <c r="E33" s="30">
        <v>949</v>
      </c>
      <c r="F33" s="25">
        <v>207.52</v>
      </c>
      <c r="G33" s="11">
        <v>370.79</v>
      </c>
      <c r="H33" s="9">
        <v>65</v>
      </c>
      <c r="I33" s="24">
        <v>0</v>
      </c>
      <c r="J33" s="1">
        <v>25</v>
      </c>
      <c r="K33" s="1">
        <v>15</v>
      </c>
      <c r="L33" s="24">
        <v>0</v>
      </c>
      <c r="M33" s="24">
        <f t="shared" si="0"/>
        <v>40</v>
      </c>
      <c r="N33" s="2"/>
    </row>
    <row r="34" spans="1:15" ht="21" customHeight="1">
      <c r="A34" s="8">
        <v>43342</v>
      </c>
      <c r="B34" s="58"/>
      <c r="C34" s="58"/>
      <c r="D34" s="22">
        <v>213.8</v>
      </c>
      <c r="E34" s="30">
        <v>949</v>
      </c>
      <c r="F34" s="25">
        <v>207.52</v>
      </c>
      <c r="G34" s="11">
        <v>370.79</v>
      </c>
      <c r="H34" s="9">
        <v>60</v>
      </c>
      <c r="I34" s="24">
        <v>0</v>
      </c>
      <c r="J34" s="1">
        <v>40</v>
      </c>
      <c r="K34" s="1">
        <v>20</v>
      </c>
      <c r="L34" s="24">
        <v>0</v>
      </c>
      <c r="M34" s="24">
        <f t="shared" si="0"/>
        <v>60</v>
      </c>
      <c r="N34" s="2"/>
    </row>
    <row r="35" spans="1:15" ht="21" customHeight="1">
      <c r="A35" s="8">
        <v>43343</v>
      </c>
      <c r="B35" s="59"/>
      <c r="C35" s="59"/>
      <c r="D35" s="23">
        <v>213.8</v>
      </c>
      <c r="E35" s="30">
        <v>949</v>
      </c>
      <c r="F35" s="25">
        <v>207.48</v>
      </c>
      <c r="G35" s="11">
        <v>367.97</v>
      </c>
      <c r="H35" s="9">
        <v>27</v>
      </c>
      <c r="I35" s="24">
        <v>0</v>
      </c>
      <c r="J35" s="1">
        <v>40</v>
      </c>
      <c r="K35" s="1">
        <v>20</v>
      </c>
      <c r="L35" s="24">
        <v>0</v>
      </c>
      <c r="M35" s="24">
        <f t="shared" si="0"/>
        <v>60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1366</v>
      </c>
      <c r="I36" s="16">
        <f t="shared" ref="I36:M36" si="1">SUM(I5:I35)</f>
        <v>0</v>
      </c>
      <c r="J36" s="16">
        <f t="shared" si="1"/>
        <v>1450</v>
      </c>
      <c r="K36" s="16">
        <f t="shared" si="1"/>
        <v>655</v>
      </c>
      <c r="L36" s="16">
        <f t="shared" si="1"/>
        <v>0</v>
      </c>
      <c r="M36" s="16">
        <f t="shared" si="1"/>
        <v>2105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0.11802315534819423</v>
      </c>
      <c r="I37" s="5"/>
      <c r="J37" s="5">
        <f>J36/11574</f>
        <v>0.1252808017971315</v>
      </c>
      <c r="K37" s="5">
        <f>K36/11574</f>
        <v>5.6592362191118024E-2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5" zoomScale="60" workbookViewId="0">
      <selection activeCell="G34" sqref="G5:G34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58"/>
      <c r="B4" s="58"/>
      <c r="C4" s="58"/>
      <c r="D4" s="5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35">
        <v>43344</v>
      </c>
      <c r="B5" s="62" t="s">
        <v>11</v>
      </c>
      <c r="C5" s="62" t="s">
        <v>12</v>
      </c>
      <c r="D5" s="30">
        <v>213.8</v>
      </c>
      <c r="E5" s="30">
        <v>949</v>
      </c>
      <c r="F5" s="25">
        <v>207.42</v>
      </c>
      <c r="G5" s="11">
        <v>363.73</v>
      </c>
      <c r="H5" s="9">
        <v>10</v>
      </c>
      <c r="I5" s="24">
        <v>0</v>
      </c>
      <c r="J5" s="1">
        <v>40</v>
      </c>
      <c r="K5" s="1">
        <v>20</v>
      </c>
      <c r="L5" s="24">
        <v>0</v>
      </c>
      <c r="M5" s="24">
        <f>L5+K5+J5+I5</f>
        <v>60</v>
      </c>
      <c r="N5" s="2"/>
    </row>
    <row r="6" spans="1:14" ht="19.5" customHeight="1">
      <c r="A6" s="35">
        <v>43345</v>
      </c>
      <c r="B6" s="63"/>
      <c r="C6" s="63"/>
      <c r="D6" s="30">
        <v>213.8</v>
      </c>
      <c r="E6" s="30">
        <v>949</v>
      </c>
      <c r="F6" s="25">
        <v>207.37</v>
      </c>
      <c r="G6" s="11">
        <v>360.2</v>
      </c>
      <c r="H6" s="9">
        <v>19</v>
      </c>
      <c r="I6" s="24">
        <v>0</v>
      </c>
      <c r="J6" s="1">
        <v>40</v>
      </c>
      <c r="K6" s="1">
        <v>20</v>
      </c>
      <c r="L6" s="24">
        <v>0</v>
      </c>
      <c r="M6" s="24">
        <f t="shared" ref="M6:M33" si="0">L6+K6+J6+I6</f>
        <v>60</v>
      </c>
      <c r="N6" s="2"/>
    </row>
    <row r="7" spans="1:14" ht="19.5" customHeight="1">
      <c r="A7" s="35">
        <v>43346</v>
      </c>
      <c r="B7" s="63"/>
      <c r="C7" s="63"/>
      <c r="D7" s="30">
        <v>213.8</v>
      </c>
      <c r="E7" s="30">
        <v>949</v>
      </c>
      <c r="F7" s="25">
        <v>207.3</v>
      </c>
      <c r="G7" s="11">
        <v>364</v>
      </c>
      <c r="H7" s="9">
        <v>0</v>
      </c>
      <c r="I7" s="24">
        <v>0</v>
      </c>
      <c r="J7" s="1">
        <v>40</v>
      </c>
      <c r="K7" s="1">
        <v>20</v>
      </c>
      <c r="L7" s="24">
        <v>0</v>
      </c>
      <c r="M7" s="24">
        <f t="shared" si="0"/>
        <v>60</v>
      </c>
      <c r="N7" s="2"/>
    </row>
    <row r="8" spans="1:14" ht="19.5" customHeight="1">
      <c r="A8" s="35">
        <v>43347</v>
      </c>
      <c r="B8" s="63"/>
      <c r="C8" s="63"/>
      <c r="D8" s="30">
        <v>213.8</v>
      </c>
      <c r="E8" s="30">
        <v>949</v>
      </c>
      <c r="F8" s="25">
        <v>207.24</v>
      </c>
      <c r="G8" s="11">
        <v>350.66</v>
      </c>
      <c r="H8" s="9">
        <v>11</v>
      </c>
      <c r="I8" s="24">
        <v>0</v>
      </c>
      <c r="J8" s="1">
        <v>40</v>
      </c>
      <c r="K8" s="1">
        <v>20</v>
      </c>
      <c r="L8" s="24">
        <v>0</v>
      </c>
      <c r="M8" s="24">
        <f t="shared" si="0"/>
        <v>60</v>
      </c>
      <c r="N8" s="2"/>
    </row>
    <row r="9" spans="1:14" ht="19.5" customHeight="1">
      <c r="A9" s="35">
        <v>43348</v>
      </c>
      <c r="B9" s="63"/>
      <c r="C9" s="63"/>
      <c r="D9" s="30">
        <v>213.8</v>
      </c>
      <c r="E9" s="30">
        <v>949</v>
      </c>
      <c r="F9" s="25">
        <v>207.15</v>
      </c>
      <c r="G9" s="11">
        <v>344.31</v>
      </c>
      <c r="H9" s="9"/>
      <c r="I9" s="24">
        <v>0</v>
      </c>
      <c r="J9" s="1">
        <v>40</v>
      </c>
      <c r="K9" s="1">
        <v>30</v>
      </c>
      <c r="L9" s="24">
        <v>0</v>
      </c>
      <c r="M9" s="24">
        <f t="shared" si="0"/>
        <v>70</v>
      </c>
      <c r="N9" s="2"/>
    </row>
    <row r="10" spans="1:14" ht="19.5" customHeight="1">
      <c r="A10" s="35">
        <v>43349</v>
      </c>
      <c r="B10" s="63"/>
      <c r="C10" s="63"/>
      <c r="D10" s="30">
        <v>213.8</v>
      </c>
      <c r="E10" s="30">
        <v>949</v>
      </c>
      <c r="F10" s="25">
        <v>207.05</v>
      </c>
      <c r="G10" s="11">
        <v>337.24</v>
      </c>
      <c r="H10" s="9"/>
      <c r="I10" s="24">
        <v>0</v>
      </c>
      <c r="J10" s="1">
        <v>40</v>
      </c>
      <c r="K10" s="1">
        <v>30</v>
      </c>
      <c r="L10" s="24">
        <v>0</v>
      </c>
      <c r="M10" s="24">
        <f t="shared" si="0"/>
        <v>70</v>
      </c>
      <c r="N10" s="2"/>
    </row>
    <row r="11" spans="1:14" ht="19.5" customHeight="1">
      <c r="A11" s="35">
        <v>43350</v>
      </c>
      <c r="B11" s="63"/>
      <c r="C11" s="63"/>
      <c r="D11" s="30">
        <v>213.8</v>
      </c>
      <c r="E11" s="30">
        <v>949</v>
      </c>
      <c r="F11" s="25">
        <v>206.96</v>
      </c>
      <c r="G11" s="11">
        <v>330.89</v>
      </c>
      <c r="H11" s="9"/>
      <c r="I11" s="24">
        <v>0</v>
      </c>
      <c r="J11" s="1">
        <v>50</v>
      </c>
      <c r="K11" s="1">
        <v>30</v>
      </c>
      <c r="L11" s="24">
        <v>0</v>
      </c>
      <c r="M11" s="24">
        <f t="shared" si="0"/>
        <v>80</v>
      </c>
      <c r="N11" s="2"/>
    </row>
    <row r="12" spans="1:14" ht="19.5" customHeight="1">
      <c r="A12" s="35">
        <v>43351</v>
      </c>
      <c r="B12" s="63"/>
      <c r="C12" s="63"/>
      <c r="D12" s="30">
        <v>213.8</v>
      </c>
      <c r="E12" s="30">
        <v>949</v>
      </c>
      <c r="F12" s="25">
        <v>206.84</v>
      </c>
      <c r="G12" s="11">
        <v>322.06</v>
      </c>
      <c r="H12" s="9"/>
      <c r="I12" s="24">
        <v>0</v>
      </c>
      <c r="J12" s="1">
        <v>50</v>
      </c>
      <c r="K12" s="1">
        <v>30</v>
      </c>
      <c r="L12" s="24">
        <v>0</v>
      </c>
      <c r="M12" s="24">
        <f t="shared" si="0"/>
        <v>80</v>
      </c>
      <c r="N12" s="2"/>
    </row>
    <row r="13" spans="1:14" ht="19.5" customHeight="1">
      <c r="A13" s="35">
        <v>43352</v>
      </c>
      <c r="B13" s="63"/>
      <c r="C13" s="63"/>
      <c r="D13" s="30">
        <v>213.8</v>
      </c>
      <c r="E13" s="30">
        <v>949</v>
      </c>
      <c r="F13" s="26">
        <v>206.73</v>
      </c>
      <c r="G13" s="25">
        <v>315</v>
      </c>
      <c r="H13" s="9"/>
      <c r="I13" s="24">
        <v>0</v>
      </c>
      <c r="J13" s="1">
        <v>50</v>
      </c>
      <c r="K13" s="1">
        <v>30</v>
      </c>
      <c r="L13" s="24">
        <v>0</v>
      </c>
      <c r="M13" s="24">
        <f t="shared" si="0"/>
        <v>80</v>
      </c>
      <c r="N13" s="2"/>
    </row>
    <row r="14" spans="1:14" ht="19.5" customHeight="1">
      <c r="A14" s="35">
        <v>43353</v>
      </c>
      <c r="B14" s="63"/>
      <c r="C14" s="63"/>
      <c r="D14" s="30">
        <v>213.8</v>
      </c>
      <c r="E14" s="30">
        <v>949</v>
      </c>
      <c r="F14" s="25">
        <v>206.63</v>
      </c>
      <c r="G14" s="11">
        <v>309.35000000000002</v>
      </c>
      <c r="H14" s="9">
        <v>14</v>
      </c>
      <c r="I14" s="24">
        <v>0</v>
      </c>
      <c r="J14" s="1">
        <v>50</v>
      </c>
      <c r="K14" s="1">
        <v>30</v>
      </c>
      <c r="L14" s="24">
        <v>0</v>
      </c>
      <c r="M14" s="24">
        <f t="shared" si="0"/>
        <v>80</v>
      </c>
      <c r="N14" s="2"/>
    </row>
    <row r="15" spans="1:14" ht="19.5" customHeight="1">
      <c r="A15" s="35">
        <v>43354</v>
      </c>
      <c r="B15" s="63"/>
      <c r="C15" s="63"/>
      <c r="D15" s="30">
        <v>213.8</v>
      </c>
      <c r="E15" s="30">
        <v>949</v>
      </c>
      <c r="F15" s="25">
        <v>206.53</v>
      </c>
      <c r="G15" s="11">
        <v>303.33999999999997</v>
      </c>
      <c r="H15" s="9">
        <v>10</v>
      </c>
      <c r="I15" s="24">
        <v>0</v>
      </c>
      <c r="J15" s="1">
        <v>40</v>
      </c>
      <c r="K15" s="1">
        <v>30</v>
      </c>
      <c r="L15" s="24">
        <v>0</v>
      </c>
      <c r="M15" s="24">
        <f t="shared" si="0"/>
        <v>70</v>
      </c>
      <c r="N15" s="2"/>
    </row>
    <row r="16" spans="1:14" ht="19.5" customHeight="1">
      <c r="A16" s="35">
        <v>43355</v>
      </c>
      <c r="B16" s="63"/>
      <c r="C16" s="63"/>
      <c r="D16" s="30">
        <v>213.8</v>
      </c>
      <c r="E16" s="30">
        <v>949</v>
      </c>
      <c r="F16" s="25">
        <v>206.42</v>
      </c>
      <c r="G16" s="11">
        <v>296.64</v>
      </c>
      <c r="H16" s="9">
        <v>0</v>
      </c>
      <c r="I16" s="24">
        <v>0</v>
      </c>
      <c r="J16" s="1">
        <v>40</v>
      </c>
      <c r="K16" s="1">
        <v>30</v>
      </c>
      <c r="L16" s="24">
        <v>0</v>
      </c>
      <c r="M16" s="24">
        <f t="shared" si="0"/>
        <v>70</v>
      </c>
      <c r="N16" s="2"/>
    </row>
    <row r="17" spans="1:15" ht="19.5" customHeight="1">
      <c r="A17" s="35">
        <v>43356</v>
      </c>
      <c r="B17" s="63"/>
      <c r="C17" s="63"/>
      <c r="D17" s="30">
        <v>213.8</v>
      </c>
      <c r="E17" s="30">
        <v>949</v>
      </c>
      <c r="F17" s="25">
        <v>206.28</v>
      </c>
      <c r="G17" s="11">
        <v>288.51</v>
      </c>
      <c r="H17" s="9"/>
      <c r="I17" s="24">
        <v>0</v>
      </c>
      <c r="J17" s="1">
        <v>50</v>
      </c>
      <c r="K17" s="1">
        <v>30</v>
      </c>
      <c r="L17" s="24">
        <v>0</v>
      </c>
      <c r="M17" s="24">
        <f t="shared" si="0"/>
        <v>80</v>
      </c>
      <c r="N17" s="2"/>
    </row>
    <row r="18" spans="1:15" ht="19.5" customHeight="1">
      <c r="A18" s="35">
        <v>43357</v>
      </c>
      <c r="B18" s="63"/>
      <c r="C18" s="63"/>
      <c r="D18" s="30">
        <v>213.8</v>
      </c>
      <c r="E18" s="30">
        <v>949</v>
      </c>
      <c r="F18" s="25">
        <v>206.18</v>
      </c>
      <c r="G18" s="11">
        <v>282.51</v>
      </c>
      <c r="H18" s="9">
        <v>10</v>
      </c>
      <c r="I18" s="24">
        <v>0</v>
      </c>
      <c r="J18" s="1">
        <v>50</v>
      </c>
      <c r="K18" s="1">
        <v>30</v>
      </c>
      <c r="L18" s="24">
        <v>0</v>
      </c>
      <c r="M18" s="24">
        <f t="shared" si="0"/>
        <v>80</v>
      </c>
      <c r="N18" s="2"/>
    </row>
    <row r="19" spans="1:15" ht="19.5" customHeight="1">
      <c r="A19" s="35">
        <v>43358</v>
      </c>
      <c r="B19" s="63"/>
      <c r="C19" s="63"/>
      <c r="D19" s="30">
        <v>213.8</v>
      </c>
      <c r="E19" s="30">
        <v>949</v>
      </c>
      <c r="F19" s="25">
        <v>206.06</v>
      </c>
      <c r="G19" s="11">
        <v>275.08999999999997</v>
      </c>
      <c r="H19" s="9">
        <v>0</v>
      </c>
      <c r="I19" s="24">
        <v>0</v>
      </c>
      <c r="J19" s="1">
        <v>50</v>
      </c>
      <c r="K19" s="1">
        <v>30</v>
      </c>
      <c r="L19" s="24">
        <v>0</v>
      </c>
      <c r="M19" s="24">
        <f t="shared" si="0"/>
        <v>80</v>
      </c>
      <c r="N19" s="2"/>
    </row>
    <row r="20" spans="1:15" ht="19.5" customHeight="1">
      <c r="A20" s="35">
        <v>43359</v>
      </c>
      <c r="B20" s="63"/>
      <c r="C20" s="63"/>
      <c r="D20" s="30">
        <v>213.8</v>
      </c>
      <c r="E20" s="30">
        <v>949</v>
      </c>
      <c r="F20" s="25">
        <v>205.94</v>
      </c>
      <c r="G20" s="11">
        <v>268.02999999999997</v>
      </c>
      <c r="H20" s="9">
        <v>0</v>
      </c>
      <c r="I20" s="24">
        <v>0</v>
      </c>
      <c r="J20" s="1">
        <v>50</v>
      </c>
      <c r="K20" s="1">
        <v>30</v>
      </c>
      <c r="L20" s="24">
        <v>0</v>
      </c>
      <c r="M20" s="24">
        <f t="shared" si="0"/>
        <v>80</v>
      </c>
      <c r="N20" s="2"/>
    </row>
    <row r="21" spans="1:15" ht="19.5" customHeight="1">
      <c r="A21" s="35">
        <v>43360</v>
      </c>
      <c r="B21" s="63"/>
      <c r="C21" s="63"/>
      <c r="D21" s="30">
        <v>213.8</v>
      </c>
      <c r="E21" s="30">
        <v>949</v>
      </c>
      <c r="F21" s="25">
        <v>205.87</v>
      </c>
      <c r="G21" s="11">
        <v>263.79000000000002</v>
      </c>
      <c r="H21" s="9">
        <v>30</v>
      </c>
      <c r="I21" s="24">
        <v>0</v>
      </c>
      <c r="J21" s="1">
        <v>50</v>
      </c>
      <c r="K21" s="1">
        <v>30</v>
      </c>
      <c r="L21" s="24">
        <v>0</v>
      </c>
      <c r="M21" s="24">
        <f t="shared" si="0"/>
        <v>80</v>
      </c>
      <c r="N21" s="2"/>
    </row>
    <row r="22" spans="1:15" ht="19.5" customHeight="1">
      <c r="A22" s="35">
        <v>43361</v>
      </c>
      <c r="B22" s="63"/>
      <c r="C22" s="63"/>
      <c r="D22" s="30">
        <v>213.8</v>
      </c>
      <c r="E22" s="30">
        <v>949</v>
      </c>
      <c r="F22" s="25">
        <v>205.96</v>
      </c>
      <c r="G22" s="11">
        <v>269.44</v>
      </c>
      <c r="H22" s="9">
        <v>125</v>
      </c>
      <c r="I22" s="24">
        <v>0</v>
      </c>
      <c r="J22" s="1">
        <v>40</v>
      </c>
      <c r="K22" s="1">
        <v>20</v>
      </c>
      <c r="L22" s="24">
        <v>0</v>
      </c>
      <c r="M22" s="24">
        <f t="shared" si="0"/>
        <v>60</v>
      </c>
      <c r="N22" s="2"/>
    </row>
    <row r="23" spans="1:15" ht="19.5" customHeight="1">
      <c r="A23" s="35">
        <v>43362</v>
      </c>
      <c r="B23" s="63"/>
      <c r="C23" s="63"/>
      <c r="D23" s="30">
        <v>213.8</v>
      </c>
      <c r="E23" s="30">
        <v>949</v>
      </c>
      <c r="F23" s="25">
        <v>205.93</v>
      </c>
      <c r="G23" s="11">
        <v>267.68</v>
      </c>
      <c r="H23" s="9">
        <v>0</v>
      </c>
      <c r="I23" s="24">
        <v>0</v>
      </c>
      <c r="J23" s="1">
        <v>40</v>
      </c>
      <c r="K23" s="1">
        <v>20</v>
      </c>
      <c r="L23" s="24">
        <v>0</v>
      </c>
      <c r="M23" s="24">
        <f t="shared" si="0"/>
        <v>60</v>
      </c>
      <c r="N23" s="2"/>
    </row>
    <row r="24" spans="1:15" ht="19.5" customHeight="1">
      <c r="A24" s="35">
        <v>43363</v>
      </c>
      <c r="B24" s="63"/>
      <c r="C24" s="63"/>
      <c r="D24" s="30">
        <v>213.8</v>
      </c>
      <c r="E24" s="30">
        <v>949</v>
      </c>
      <c r="F24" s="25">
        <v>205.92</v>
      </c>
      <c r="G24" s="11">
        <v>266.97000000000003</v>
      </c>
      <c r="H24" s="9">
        <v>51</v>
      </c>
      <c r="I24" s="24">
        <v>0</v>
      </c>
      <c r="J24" s="1">
        <v>40</v>
      </c>
      <c r="K24" s="1">
        <v>20</v>
      </c>
      <c r="L24" s="24">
        <v>0</v>
      </c>
      <c r="M24" s="24">
        <f t="shared" si="0"/>
        <v>60</v>
      </c>
      <c r="N24" s="2"/>
    </row>
    <row r="25" spans="1:15" ht="19.5" customHeight="1">
      <c r="A25" s="35">
        <v>43364</v>
      </c>
      <c r="B25" s="63"/>
      <c r="C25" s="63"/>
      <c r="D25" s="30">
        <v>213.8</v>
      </c>
      <c r="E25" s="30">
        <v>949</v>
      </c>
      <c r="F25" s="25">
        <v>206.02</v>
      </c>
      <c r="G25" s="11">
        <v>272.97000000000003</v>
      </c>
      <c r="H25" s="9">
        <v>90</v>
      </c>
      <c r="I25" s="24">
        <v>0</v>
      </c>
      <c r="J25" s="1">
        <v>10</v>
      </c>
      <c r="K25" s="1">
        <v>10</v>
      </c>
      <c r="L25" s="24">
        <v>0</v>
      </c>
      <c r="M25" s="24">
        <f t="shared" si="0"/>
        <v>20</v>
      </c>
      <c r="N25" s="2"/>
    </row>
    <row r="26" spans="1:15" ht="19.5" customHeight="1">
      <c r="A26" s="35">
        <v>43365</v>
      </c>
      <c r="B26" s="63"/>
      <c r="C26" s="63"/>
      <c r="D26" s="30">
        <v>213.8</v>
      </c>
      <c r="E26" s="30">
        <v>949</v>
      </c>
      <c r="F26" s="25">
        <v>206.08</v>
      </c>
      <c r="G26" s="11">
        <v>276.5</v>
      </c>
      <c r="H26" s="9">
        <v>60</v>
      </c>
      <c r="I26" s="24">
        <v>0</v>
      </c>
      <c r="J26" s="1">
        <v>10</v>
      </c>
      <c r="K26" s="1">
        <v>10</v>
      </c>
      <c r="L26" s="24">
        <v>0</v>
      </c>
      <c r="M26" s="24">
        <f t="shared" si="0"/>
        <v>20</v>
      </c>
      <c r="N26" s="2"/>
      <c r="O26" s="18"/>
    </row>
    <row r="27" spans="1:15" ht="19.5" customHeight="1">
      <c r="A27" s="35">
        <v>43366</v>
      </c>
      <c r="B27" s="63"/>
      <c r="C27" s="63"/>
      <c r="D27" s="30">
        <v>213.8</v>
      </c>
      <c r="E27" s="30">
        <v>949</v>
      </c>
      <c r="F27" s="25">
        <v>206.12</v>
      </c>
      <c r="G27" s="11">
        <v>278.98</v>
      </c>
      <c r="H27" s="9">
        <v>49</v>
      </c>
      <c r="I27" s="24">
        <v>0</v>
      </c>
      <c r="J27" s="1">
        <v>10</v>
      </c>
      <c r="K27" s="1">
        <v>10</v>
      </c>
      <c r="L27" s="24">
        <v>0</v>
      </c>
      <c r="M27" s="24">
        <f t="shared" si="0"/>
        <v>20</v>
      </c>
      <c r="N27" s="2"/>
    </row>
    <row r="28" spans="1:15" ht="19.5" customHeight="1">
      <c r="A28" s="35">
        <v>43367</v>
      </c>
      <c r="B28" s="63"/>
      <c r="C28" s="63"/>
      <c r="D28" s="30">
        <v>213.8</v>
      </c>
      <c r="E28" s="30">
        <v>949</v>
      </c>
      <c r="F28" s="25">
        <v>206.16</v>
      </c>
      <c r="G28" s="11">
        <v>281.10000000000002</v>
      </c>
      <c r="H28" s="9">
        <v>44</v>
      </c>
      <c r="I28" s="24">
        <v>0</v>
      </c>
      <c r="J28" s="1">
        <v>10</v>
      </c>
      <c r="K28" s="1">
        <v>10</v>
      </c>
      <c r="L28" s="24">
        <v>0</v>
      </c>
      <c r="M28" s="24">
        <f t="shared" si="0"/>
        <v>20</v>
      </c>
      <c r="N28" s="2"/>
    </row>
    <row r="29" spans="1:15" ht="19.5" customHeight="1">
      <c r="A29" s="35">
        <v>43368</v>
      </c>
      <c r="B29" s="63"/>
      <c r="C29" s="63"/>
      <c r="D29" s="30">
        <v>213.8</v>
      </c>
      <c r="E29" s="30">
        <v>949</v>
      </c>
      <c r="F29" s="25">
        <v>206.12</v>
      </c>
      <c r="G29" s="11">
        <v>278.98</v>
      </c>
      <c r="H29" s="9">
        <v>15</v>
      </c>
      <c r="I29" s="24">
        <v>0</v>
      </c>
      <c r="J29" s="1">
        <v>20</v>
      </c>
      <c r="K29" s="1">
        <v>20</v>
      </c>
      <c r="L29" s="24">
        <v>0</v>
      </c>
      <c r="M29" s="24">
        <f t="shared" si="0"/>
        <v>40</v>
      </c>
      <c r="N29" s="2"/>
    </row>
    <row r="30" spans="1:15" ht="19.5" customHeight="1">
      <c r="A30" s="35">
        <v>43369</v>
      </c>
      <c r="B30" s="63"/>
      <c r="C30" s="63"/>
      <c r="D30" s="30">
        <v>213.8</v>
      </c>
      <c r="E30" s="30">
        <v>949</v>
      </c>
      <c r="F30" s="25">
        <v>206.13</v>
      </c>
      <c r="G30" s="11">
        <v>279.33</v>
      </c>
      <c r="H30" s="9">
        <v>44</v>
      </c>
      <c r="I30" s="24">
        <v>0</v>
      </c>
      <c r="J30" s="1">
        <v>20</v>
      </c>
      <c r="K30" s="1">
        <v>20</v>
      </c>
      <c r="L30" s="24">
        <v>0</v>
      </c>
      <c r="M30" s="24">
        <f t="shared" si="0"/>
        <v>40</v>
      </c>
      <c r="N30" s="2"/>
    </row>
    <row r="31" spans="1:15" ht="21" customHeight="1">
      <c r="A31" s="35">
        <v>43370</v>
      </c>
      <c r="B31" s="63"/>
      <c r="C31" s="63"/>
      <c r="D31" s="30">
        <v>213.8</v>
      </c>
      <c r="E31" s="30">
        <v>949</v>
      </c>
      <c r="F31" s="25">
        <v>206.13</v>
      </c>
      <c r="G31" s="11">
        <v>279.33</v>
      </c>
      <c r="H31" s="9">
        <v>40</v>
      </c>
      <c r="I31" s="24">
        <v>0</v>
      </c>
      <c r="J31" s="1">
        <v>20</v>
      </c>
      <c r="K31" s="1">
        <v>20</v>
      </c>
      <c r="L31" s="24">
        <v>0</v>
      </c>
      <c r="M31" s="24">
        <f t="shared" si="0"/>
        <v>40</v>
      </c>
      <c r="N31" s="2"/>
    </row>
    <row r="32" spans="1:15" ht="21" customHeight="1">
      <c r="A32" s="35">
        <v>43371</v>
      </c>
      <c r="B32" s="63"/>
      <c r="C32" s="63"/>
      <c r="D32" s="30">
        <v>213.8</v>
      </c>
      <c r="E32" s="30">
        <v>949</v>
      </c>
      <c r="F32" s="25">
        <v>206.08</v>
      </c>
      <c r="G32" s="11">
        <v>276.51</v>
      </c>
      <c r="H32" s="9">
        <v>7</v>
      </c>
      <c r="I32" s="24">
        <v>0</v>
      </c>
      <c r="J32" s="1">
        <v>20</v>
      </c>
      <c r="K32" s="1">
        <v>20</v>
      </c>
      <c r="L32" s="24">
        <v>0</v>
      </c>
      <c r="M32" s="24">
        <f t="shared" si="0"/>
        <v>40</v>
      </c>
      <c r="N32" s="2"/>
    </row>
    <row r="33" spans="1:15" ht="21" customHeight="1">
      <c r="A33" s="35">
        <v>43372</v>
      </c>
      <c r="B33" s="63"/>
      <c r="C33" s="63"/>
      <c r="D33" s="30">
        <v>213.8</v>
      </c>
      <c r="E33" s="30">
        <v>949</v>
      </c>
      <c r="F33" s="25">
        <v>206.03</v>
      </c>
      <c r="G33" s="11">
        <v>273.33</v>
      </c>
      <c r="H33" s="9">
        <v>3</v>
      </c>
      <c r="I33" s="24">
        <v>0</v>
      </c>
      <c r="J33" s="1">
        <v>20</v>
      </c>
      <c r="K33" s="1">
        <v>20</v>
      </c>
      <c r="L33" s="24">
        <v>0</v>
      </c>
      <c r="M33" s="24">
        <f t="shared" si="0"/>
        <v>40</v>
      </c>
      <c r="N33" s="2"/>
    </row>
    <row r="34" spans="1:15" ht="21" customHeight="1">
      <c r="A34" s="35">
        <v>43373</v>
      </c>
      <c r="B34" s="63"/>
      <c r="C34" s="63"/>
      <c r="D34" s="30">
        <v>213.8</v>
      </c>
      <c r="E34" s="30">
        <v>949</v>
      </c>
      <c r="F34" s="25">
        <v>205.98</v>
      </c>
      <c r="G34" s="11">
        <v>270.5</v>
      </c>
      <c r="H34" s="9">
        <v>27</v>
      </c>
      <c r="I34" s="24">
        <v>0</v>
      </c>
      <c r="J34" s="1">
        <v>40</v>
      </c>
      <c r="K34" s="1">
        <v>20</v>
      </c>
      <c r="L34" s="24">
        <v>0</v>
      </c>
      <c r="M34" s="24">
        <f>L34+K34+J34+I34</f>
        <v>60</v>
      </c>
      <c r="N34" s="2"/>
    </row>
    <row r="35" spans="1:15" ht="21" customHeight="1">
      <c r="A35" s="12"/>
      <c r="B35" s="13"/>
      <c r="C35" s="13"/>
      <c r="D35" s="14"/>
      <c r="E35" s="32"/>
      <c r="F35" s="15"/>
      <c r="G35" s="14"/>
      <c r="H35" s="16">
        <f>SUM(H5:H34)</f>
        <v>659</v>
      </c>
      <c r="I35" s="16">
        <f t="shared" ref="I35:L35" si="1">SUM(I5:I34)</f>
        <v>0</v>
      </c>
      <c r="J35" s="16">
        <f t="shared" si="1"/>
        <v>1070</v>
      </c>
      <c r="K35" s="16">
        <f t="shared" si="1"/>
        <v>690</v>
      </c>
      <c r="L35" s="16">
        <f t="shared" si="1"/>
        <v>0</v>
      </c>
      <c r="M35" s="16">
        <f>SUM(M5:M34)</f>
        <v>1760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5.6937964402972177E-2</v>
      </c>
      <c r="I36" s="5"/>
      <c r="J36" s="5">
        <f>J35/11574</f>
        <v>9.2448591670986693E-2</v>
      </c>
      <c r="K36" s="5">
        <f>K35/11574</f>
        <v>5.961638154484189E-2</v>
      </c>
      <c r="L36" s="28"/>
      <c r="M36" s="28"/>
      <c r="N36" s="7"/>
    </row>
    <row r="37" spans="1:15" ht="15.75" customHeight="1">
      <c r="A37" s="60" t="s">
        <v>9</v>
      </c>
      <c r="B37" s="55"/>
      <c r="C37" s="55"/>
      <c r="D37" s="55"/>
      <c r="J37" s="60" t="s">
        <v>10</v>
      </c>
      <c r="K37" s="55"/>
      <c r="L37" s="55"/>
      <c r="M37" s="55"/>
      <c r="N37" s="7"/>
    </row>
    <row r="38" spans="1:15" ht="15.75" customHeight="1">
      <c r="A38" s="61" t="s">
        <v>16</v>
      </c>
      <c r="B38" s="55"/>
      <c r="C38" s="55"/>
      <c r="D38" s="55"/>
      <c r="J38" s="61" t="s">
        <v>16</v>
      </c>
      <c r="K38" s="55"/>
      <c r="L38" s="55"/>
      <c r="M38" s="55"/>
      <c r="N38" s="7"/>
    </row>
    <row r="39" spans="1:15" ht="15.75" customHeight="1">
      <c r="A39" s="54" t="s">
        <v>17</v>
      </c>
      <c r="B39" s="55"/>
      <c r="C39" s="55"/>
      <c r="D39" s="55"/>
      <c r="J39" s="54" t="s">
        <v>17</v>
      </c>
      <c r="K39" s="55"/>
      <c r="L39" s="55"/>
      <c r="M39" s="55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5" zoomScale="60" workbookViewId="0">
      <selection activeCell="M29" sqref="M29:N29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43374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205.91</v>
      </c>
      <c r="G5" s="11">
        <v>266.26</v>
      </c>
      <c r="H5" s="9">
        <v>11</v>
      </c>
      <c r="I5" s="24">
        <v>0</v>
      </c>
      <c r="J5" s="1">
        <v>40</v>
      </c>
      <c r="K5" s="1">
        <v>20</v>
      </c>
      <c r="L5" s="24">
        <v>0</v>
      </c>
      <c r="M5" s="24">
        <f>L5+K5+J5+I5</f>
        <v>60</v>
      </c>
      <c r="N5" s="2"/>
    </row>
    <row r="6" spans="1:14" ht="19.5" customHeight="1">
      <c r="A6" s="8">
        <v>43375</v>
      </c>
      <c r="B6" s="58"/>
      <c r="C6" s="58"/>
      <c r="D6" s="22">
        <v>213.8</v>
      </c>
      <c r="E6" s="30">
        <v>949</v>
      </c>
      <c r="F6" s="25">
        <v>205.83</v>
      </c>
      <c r="G6" s="11">
        <v>261.67</v>
      </c>
      <c r="H6" s="9">
        <v>3</v>
      </c>
      <c r="I6" s="24">
        <v>0</v>
      </c>
      <c r="J6" s="1">
        <v>40</v>
      </c>
      <c r="K6" s="1">
        <v>0</v>
      </c>
      <c r="L6" s="24">
        <v>0</v>
      </c>
      <c r="M6" s="24">
        <f t="shared" ref="M6:M35" si="0">L6+K6+J6+I6</f>
        <v>40</v>
      </c>
      <c r="N6" s="2"/>
    </row>
    <row r="7" spans="1:14" ht="19.5" customHeight="1">
      <c r="A7" s="8">
        <v>43376</v>
      </c>
      <c r="B7" s="58"/>
      <c r="C7" s="58"/>
      <c r="D7" s="22">
        <v>213.8</v>
      </c>
      <c r="E7" s="30">
        <v>949</v>
      </c>
      <c r="F7" s="25">
        <v>205.74</v>
      </c>
      <c r="G7" s="11">
        <v>256.37</v>
      </c>
      <c r="H7" s="9"/>
      <c r="I7" s="24">
        <v>0</v>
      </c>
      <c r="J7" s="1">
        <v>40</v>
      </c>
      <c r="K7" s="1">
        <v>20</v>
      </c>
      <c r="L7" s="24">
        <v>0</v>
      </c>
      <c r="M7" s="24">
        <f t="shared" si="0"/>
        <v>60</v>
      </c>
      <c r="N7" s="2"/>
    </row>
    <row r="8" spans="1:14" ht="19.5" customHeight="1">
      <c r="A8" s="8">
        <v>43377</v>
      </c>
      <c r="B8" s="58"/>
      <c r="C8" s="58"/>
      <c r="D8" s="22">
        <v>213.8</v>
      </c>
      <c r="E8" s="30">
        <v>949</v>
      </c>
      <c r="F8" s="25">
        <v>205.71</v>
      </c>
      <c r="G8" s="11">
        <v>254.26</v>
      </c>
      <c r="H8" s="9"/>
      <c r="I8" s="24">
        <v>0</v>
      </c>
      <c r="J8" s="1">
        <v>40</v>
      </c>
      <c r="K8" s="1">
        <v>20</v>
      </c>
      <c r="L8" s="24">
        <v>0</v>
      </c>
      <c r="M8" s="24">
        <f t="shared" si="0"/>
        <v>60</v>
      </c>
      <c r="N8" s="2"/>
    </row>
    <row r="9" spans="1:14" ht="19.5" customHeight="1">
      <c r="A9" s="8">
        <v>43378</v>
      </c>
      <c r="B9" s="58"/>
      <c r="C9" s="58"/>
      <c r="D9" s="22">
        <v>213.8</v>
      </c>
      <c r="E9" s="30">
        <v>949</v>
      </c>
      <c r="F9" s="25">
        <v>205.58</v>
      </c>
      <c r="G9" s="11">
        <v>248.84</v>
      </c>
      <c r="H9" s="9"/>
      <c r="I9" s="24">
        <v>0</v>
      </c>
      <c r="J9" s="1">
        <v>40</v>
      </c>
      <c r="K9" s="1">
        <v>20</v>
      </c>
      <c r="L9" s="24">
        <v>0</v>
      </c>
      <c r="M9" s="24">
        <f t="shared" si="0"/>
        <v>60</v>
      </c>
      <c r="N9" s="2"/>
    </row>
    <row r="10" spans="1:14" ht="19.5" customHeight="1">
      <c r="A10" s="8">
        <v>43379</v>
      </c>
      <c r="B10" s="58"/>
      <c r="C10" s="58"/>
      <c r="D10" s="22">
        <v>213.8</v>
      </c>
      <c r="E10" s="30">
        <v>949</v>
      </c>
      <c r="F10" s="25">
        <v>205.48</v>
      </c>
      <c r="G10" s="11">
        <v>240.84</v>
      </c>
      <c r="H10" s="9"/>
      <c r="I10" s="24">
        <v>0</v>
      </c>
      <c r="J10" s="1">
        <v>40</v>
      </c>
      <c r="K10" s="1">
        <v>20</v>
      </c>
      <c r="L10" s="24">
        <v>0</v>
      </c>
      <c r="M10" s="24">
        <f t="shared" si="0"/>
        <v>60</v>
      </c>
      <c r="N10" s="2"/>
    </row>
    <row r="11" spans="1:14" ht="19.5" customHeight="1">
      <c r="A11" s="8">
        <v>43380</v>
      </c>
      <c r="B11" s="58"/>
      <c r="C11" s="58"/>
      <c r="D11" s="22">
        <v>213.8</v>
      </c>
      <c r="E11" s="30">
        <v>949</v>
      </c>
      <c r="F11" s="25">
        <v>205.37</v>
      </c>
      <c r="G11" s="11">
        <v>234.13</v>
      </c>
      <c r="H11" s="9"/>
      <c r="I11" s="24">
        <v>0</v>
      </c>
      <c r="J11" s="1">
        <v>50</v>
      </c>
      <c r="K11" s="1">
        <v>30</v>
      </c>
      <c r="L11" s="24">
        <v>0</v>
      </c>
      <c r="M11" s="24">
        <f t="shared" si="0"/>
        <v>80</v>
      </c>
      <c r="N11" s="2"/>
    </row>
    <row r="12" spans="1:14" ht="19.5" customHeight="1">
      <c r="A12" s="8">
        <v>43381</v>
      </c>
      <c r="B12" s="58"/>
      <c r="C12" s="58"/>
      <c r="D12" s="22">
        <v>213.8</v>
      </c>
      <c r="E12" s="30">
        <v>949</v>
      </c>
      <c r="F12" s="25">
        <v>205.22</v>
      </c>
      <c r="G12" s="11">
        <v>225.3</v>
      </c>
      <c r="H12" s="9"/>
      <c r="I12" s="24">
        <v>0</v>
      </c>
      <c r="J12" s="1">
        <v>50</v>
      </c>
      <c r="K12" s="1">
        <v>30</v>
      </c>
      <c r="L12" s="24">
        <v>0</v>
      </c>
      <c r="M12" s="24">
        <f t="shared" si="0"/>
        <v>80</v>
      </c>
      <c r="N12" s="2"/>
    </row>
    <row r="13" spans="1:14" ht="19.5" customHeight="1">
      <c r="A13" s="8">
        <v>43382</v>
      </c>
      <c r="B13" s="58"/>
      <c r="C13" s="58"/>
      <c r="D13" s="22">
        <v>213.8</v>
      </c>
      <c r="E13" s="30">
        <v>949</v>
      </c>
      <c r="F13" s="26">
        <v>205.09</v>
      </c>
      <c r="G13" s="25">
        <v>217.53</v>
      </c>
      <c r="H13" s="9"/>
      <c r="I13" s="24">
        <v>0</v>
      </c>
      <c r="J13" s="1">
        <v>40</v>
      </c>
      <c r="K13" s="1">
        <v>25</v>
      </c>
      <c r="L13" s="24">
        <v>0</v>
      </c>
      <c r="M13" s="24">
        <f t="shared" si="0"/>
        <v>65</v>
      </c>
      <c r="N13" s="2"/>
    </row>
    <row r="14" spans="1:14" ht="19.5" customHeight="1">
      <c r="A14" s="8">
        <v>43383</v>
      </c>
      <c r="B14" s="58"/>
      <c r="C14" s="58"/>
      <c r="D14" s="22">
        <v>213.8</v>
      </c>
      <c r="E14" s="30">
        <v>949</v>
      </c>
      <c r="F14" s="25">
        <v>204.98</v>
      </c>
      <c r="G14" s="11">
        <v>210.83</v>
      </c>
      <c r="H14" s="9"/>
      <c r="I14" s="24">
        <v>0</v>
      </c>
      <c r="J14" s="1">
        <v>40</v>
      </c>
      <c r="K14" s="1">
        <v>40</v>
      </c>
      <c r="L14" s="24">
        <v>0</v>
      </c>
      <c r="M14" s="24">
        <f t="shared" si="0"/>
        <v>80</v>
      </c>
      <c r="N14" s="2"/>
    </row>
    <row r="15" spans="1:14" ht="19.5" customHeight="1">
      <c r="A15" s="8">
        <v>43384</v>
      </c>
      <c r="B15" s="58"/>
      <c r="C15" s="58"/>
      <c r="D15" s="22">
        <v>213.8</v>
      </c>
      <c r="E15" s="30">
        <v>949</v>
      </c>
      <c r="F15" s="25">
        <v>204.06</v>
      </c>
      <c r="G15" s="11">
        <v>203.76</v>
      </c>
      <c r="H15" s="9"/>
      <c r="I15" s="24">
        <v>0</v>
      </c>
      <c r="J15" s="1">
        <v>40</v>
      </c>
      <c r="K15" s="1">
        <v>40</v>
      </c>
      <c r="L15" s="24">
        <v>0</v>
      </c>
      <c r="M15" s="24">
        <f t="shared" si="0"/>
        <v>80</v>
      </c>
      <c r="N15" s="2"/>
    </row>
    <row r="16" spans="1:14" ht="19.5" customHeight="1">
      <c r="A16" s="8">
        <v>43385</v>
      </c>
      <c r="B16" s="58"/>
      <c r="C16" s="58"/>
      <c r="D16" s="22">
        <v>213.8</v>
      </c>
      <c r="E16" s="30">
        <v>949</v>
      </c>
      <c r="F16" s="25">
        <v>204.78</v>
      </c>
      <c r="G16" s="11">
        <v>199.17</v>
      </c>
      <c r="H16" s="9">
        <v>26</v>
      </c>
      <c r="I16" s="24">
        <v>0</v>
      </c>
      <c r="J16" s="1">
        <v>40</v>
      </c>
      <c r="K16" s="1">
        <v>40</v>
      </c>
      <c r="L16" s="24">
        <v>0</v>
      </c>
      <c r="M16" s="24">
        <f t="shared" si="0"/>
        <v>80</v>
      </c>
      <c r="N16" s="2"/>
    </row>
    <row r="17" spans="1:15" ht="19.5" customHeight="1">
      <c r="A17" s="8">
        <v>43386</v>
      </c>
      <c r="B17" s="58"/>
      <c r="C17" s="58"/>
      <c r="D17" s="22">
        <v>213.8</v>
      </c>
      <c r="E17" s="30">
        <v>949</v>
      </c>
      <c r="F17" s="25">
        <v>204.72</v>
      </c>
      <c r="G17" s="11">
        <v>195.63</v>
      </c>
      <c r="H17" s="9">
        <v>40</v>
      </c>
      <c r="I17" s="24">
        <v>0</v>
      </c>
      <c r="J17" s="1">
        <v>40</v>
      </c>
      <c r="K17" s="1">
        <v>40</v>
      </c>
      <c r="L17" s="24">
        <v>0</v>
      </c>
      <c r="M17" s="24">
        <f t="shared" si="0"/>
        <v>80</v>
      </c>
      <c r="N17" s="2"/>
    </row>
    <row r="18" spans="1:15" ht="19.5" customHeight="1">
      <c r="A18" s="8">
        <v>43387</v>
      </c>
      <c r="B18" s="58"/>
      <c r="C18" s="58"/>
      <c r="D18" s="22">
        <v>213.8</v>
      </c>
      <c r="E18" s="30">
        <v>949</v>
      </c>
      <c r="F18" s="25">
        <v>204.43</v>
      </c>
      <c r="G18" s="11">
        <v>180.45</v>
      </c>
      <c r="H18" s="9"/>
      <c r="I18" s="24">
        <v>0</v>
      </c>
      <c r="J18" s="1">
        <v>40</v>
      </c>
      <c r="K18" s="1">
        <v>40</v>
      </c>
      <c r="L18" s="24">
        <v>0</v>
      </c>
      <c r="M18" s="24">
        <f t="shared" si="0"/>
        <v>80</v>
      </c>
      <c r="N18" s="2"/>
    </row>
    <row r="19" spans="1:15" ht="19.5" customHeight="1">
      <c r="A19" s="8">
        <v>43388</v>
      </c>
      <c r="B19" s="58"/>
      <c r="C19" s="58"/>
      <c r="D19" s="22">
        <v>213.8</v>
      </c>
      <c r="E19" s="30">
        <v>949</v>
      </c>
      <c r="F19" s="25">
        <v>204.43</v>
      </c>
      <c r="G19" s="11">
        <v>180.45</v>
      </c>
      <c r="H19" s="9"/>
      <c r="I19" s="24">
        <v>0</v>
      </c>
      <c r="J19" s="1">
        <v>40</v>
      </c>
      <c r="K19" s="1">
        <v>40</v>
      </c>
      <c r="L19" s="24">
        <v>0</v>
      </c>
      <c r="M19" s="24">
        <f t="shared" si="0"/>
        <v>80</v>
      </c>
      <c r="N19" s="2"/>
    </row>
    <row r="20" spans="1:15" ht="19.5" customHeight="1">
      <c r="A20" s="8">
        <v>43389</v>
      </c>
      <c r="B20" s="58"/>
      <c r="C20" s="58"/>
      <c r="D20" s="22">
        <v>213.8</v>
      </c>
      <c r="E20" s="30">
        <v>949</v>
      </c>
      <c r="F20" s="25">
        <v>204.29</v>
      </c>
      <c r="G20" s="11">
        <v>173.04</v>
      </c>
      <c r="H20" s="9"/>
      <c r="I20" s="24">
        <v>0</v>
      </c>
      <c r="J20" s="1">
        <v>40</v>
      </c>
      <c r="K20" s="1">
        <v>40</v>
      </c>
      <c r="L20" s="24">
        <v>0</v>
      </c>
      <c r="M20" s="24">
        <f t="shared" si="0"/>
        <v>80</v>
      </c>
      <c r="N20" s="2"/>
    </row>
    <row r="21" spans="1:15" ht="19.5" customHeight="1">
      <c r="A21" s="8">
        <v>43390</v>
      </c>
      <c r="B21" s="58"/>
      <c r="C21" s="58"/>
      <c r="D21" s="22">
        <v>213.8</v>
      </c>
      <c r="E21" s="30">
        <v>949</v>
      </c>
      <c r="F21" s="25">
        <v>204.14</v>
      </c>
      <c r="G21" s="11">
        <v>163.85</v>
      </c>
      <c r="H21" s="9"/>
      <c r="I21" s="24">
        <v>0</v>
      </c>
      <c r="J21" s="1">
        <v>30</v>
      </c>
      <c r="K21" s="1">
        <v>30</v>
      </c>
      <c r="L21" s="24">
        <v>0</v>
      </c>
      <c r="M21" s="24">
        <f t="shared" si="0"/>
        <v>60</v>
      </c>
      <c r="N21" s="2"/>
    </row>
    <row r="22" spans="1:15" ht="19.5" customHeight="1">
      <c r="A22" s="8">
        <v>43391</v>
      </c>
      <c r="B22" s="58"/>
      <c r="C22" s="58"/>
      <c r="D22" s="22">
        <v>213.8</v>
      </c>
      <c r="E22" s="30">
        <v>949</v>
      </c>
      <c r="F22" s="25">
        <v>204.04</v>
      </c>
      <c r="G22" s="11">
        <v>159.97</v>
      </c>
      <c r="H22" s="9"/>
      <c r="I22" s="24">
        <v>0</v>
      </c>
      <c r="J22" s="1">
        <v>25</v>
      </c>
      <c r="K22" s="1">
        <v>20</v>
      </c>
      <c r="L22" s="24">
        <v>0</v>
      </c>
      <c r="M22" s="24">
        <f t="shared" si="0"/>
        <v>45</v>
      </c>
      <c r="N22" s="2"/>
    </row>
    <row r="23" spans="1:15" ht="19.5" customHeight="1">
      <c r="A23" s="8">
        <v>43392</v>
      </c>
      <c r="B23" s="58"/>
      <c r="C23" s="58"/>
      <c r="D23" s="22">
        <v>213.8</v>
      </c>
      <c r="E23" s="30">
        <v>949</v>
      </c>
      <c r="F23" s="25">
        <v>203.97</v>
      </c>
      <c r="G23" s="11">
        <v>156.08000000000001</v>
      </c>
      <c r="H23" s="9"/>
      <c r="I23" s="24">
        <v>0</v>
      </c>
      <c r="J23" s="1">
        <v>25</v>
      </c>
      <c r="K23" s="1">
        <v>20</v>
      </c>
      <c r="L23" s="24">
        <v>0</v>
      </c>
      <c r="M23" s="24">
        <f t="shared" si="0"/>
        <v>45</v>
      </c>
      <c r="N23" s="2"/>
    </row>
    <row r="24" spans="1:15" ht="19.5" customHeight="1">
      <c r="A24" s="8">
        <v>43393</v>
      </c>
      <c r="B24" s="58"/>
      <c r="C24" s="58"/>
      <c r="D24" s="22">
        <v>213.8</v>
      </c>
      <c r="E24" s="30">
        <v>949</v>
      </c>
      <c r="F24" s="25">
        <v>203.89</v>
      </c>
      <c r="G24" s="11">
        <v>151.85</v>
      </c>
      <c r="H24" s="9"/>
      <c r="I24" s="24">
        <v>0</v>
      </c>
      <c r="J24" s="1">
        <v>25</v>
      </c>
      <c r="K24" s="1">
        <v>20</v>
      </c>
      <c r="L24" s="24">
        <v>0</v>
      </c>
      <c r="M24" s="24">
        <f t="shared" si="0"/>
        <v>45</v>
      </c>
      <c r="N24" s="2"/>
    </row>
    <row r="25" spans="1:15" ht="19.5" customHeight="1">
      <c r="A25" s="8">
        <v>43394</v>
      </c>
      <c r="B25" s="58"/>
      <c r="C25" s="58"/>
      <c r="D25" s="22">
        <v>213.8</v>
      </c>
      <c r="E25" s="30">
        <v>949</v>
      </c>
      <c r="F25" s="25">
        <v>203.82</v>
      </c>
      <c r="G25" s="11">
        <v>148.31</v>
      </c>
      <c r="H25" s="9"/>
      <c r="I25" s="24">
        <v>0</v>
      </c>
      <c r="J25" s="1">
        <v>25</v>
      </c>
      <c r="K25" s="1">
        <v>20</v>
      </c>
      <c r="L25" s="24">
        <v>0</v>
      </c>
      <c r="M25" s="24">
        <f t="shared" si="0"/>
        <v>45</v>
      </c>
      <c r="N25" s="2"/>
    </row>
    <row r="26" spans="1:15" ht="19.5" customHeight="1">
      <c r="A26" s="8">
        <v>43395</v>
      </c>
      <c r="B26" s="58"/>
      <c r="C26" s="58"/>
      <c r="D26" s="22">
        <v>213.8</v>
      </c>
      <c r="E26" s="30">
        <v>949</v>
      </c>
      <c r="F26" s="25">
        <v>203.73</v>
      </c>
      <c r="G26" s="11">
        <v>144.08000000000001</v>
      </c>
      <c r="H26" s="9"/>
      <c r="I26" s="24">
        <v>0</v>
      </c>
      <c r="J26" s="1">
        <v>25</v>
      </c>
      <c r="K26" s="1">
        <v>20</v>
      </c>
      <c r="L26" s="24">
        <v>0</v>
      </c>
      <c r="M26" s="24">
        <f t="shared" si="0"/>
        <v>45</v>
      </c>
      <c r="N26" s="2"/>
      <c r="O26" s="18"/>
    </row>
    <row r="27" spans="1:15" ht="19.5" customHeight="1">
      <c r="A27" s="8">
        <v>43396</v>
      </c>
      <c r="B27" s="58"/>
      <c r="C27" s="58"/>
      <c r="D27" s="22">
        <v>213.8</v>
      </c>
      <c r="E27" s="30">
        <v>949</v>
      </c>
      <c r="F27" s="25">
        <v>203.6</v>
      </c>
      <c r="G27" s="11">
        <v>138</v>
      </c>
      <c r="H27" s="9"/>
      <c r="I27" s="24">
        <v>0</v>
      </c>
      <c r="J27" s="1">
        <v>25</v>
      </c>
      <c r="K27" s="1">
        <v>20</v>
      </c>
      <c r="L27" s="24">
        <v>0</v>
      </c>
      <c r="M27" s="24">
        <f t="shared" si="0"/>
        <v>45</v>
      </c>
      <c r="N27" s="2"/>
    </row>
    <row r="28" spans="1:15" ht="19.5" customHeight="1">
      <c r="A28" s="8">
        <v>43397</v>
      </c>
      <c r="B28" s="58"/>
      <c r="C28" s="58"/>
      <c r="D28" s="22">
        <v>213.8</v>
      </c>
      <c r="E28" s="30">
        <v>949</v>
      </c>
      <c r="F28" s="25">
        <v>203.56</v>
      </c>
      <c r="G28" s="11">
        <v>136.31</v>
      </c>
      <c r="H28" s="9"/>
      <c r="I28" s="24">
        <v>0</v>
      </c>
      <c r="J28" s="1">
        <v>50</v>
      </c>
      <c r="K28" s="1">
        <v>30</v>
      </c>
      <c r="L28" s="24">
        <v>0</v>
      </c>
      <c r="M28" s="24">
        <f t="shared" si="0"/>
        <v>80</v>
      </c>
      <c r="N28" s="2"/>
    </row>
    <row r="29" spans="1:15" ht="19.5" customHeight="1">
      <c r="A29" s="8">
        <v>43398</v>
      </c>
      <c r="B29" s="58"/>
      <c r="C29" s="58"/>
      <c r="D29" s="22">
        <v>213.8</v>
      </c>
      <c r="E29" s="30">
        <v>949</v>
      </c>
      <c r="F29" s="25">
        <v>203.38</v>
      </c>
      <c r="G29" s="11">
        <v>127.48</v>
      </c>
      <c r="H29" s="9"/>
      <c r="I29" s="24">
        <v>0</v>
      </c>
      <c r="J29" s="1">
        <v>50</v>
      </c>
      <c r="K29" s="1">
        <v>30</v>
      </c>
      <c r="L29" s="24">
        <v>0</v>
      </c>
      <c r="M29" s="24">
        <f t="shared" si="0"/>
        <v>80</v>
      </c>
      <c r="N29" s="2"/>
    </row>
    <row r="30" spans="1:15" ht="19.5" customHeight="1">
      <c r="A30" s="8">
        <v>43399</v>
      </c>
      <c r="B30" s="58"/>
      <c r="C30" s="58"/>
      <c r="D30" s="22">
        <v>213.8</v>
      </c>
      <c r="E30" s="30">
        <v>949</v>
      </c>
      <c r="F30" s="25">
        <v>203.18</v>
      </c>
      <c r="G30" s="11">
        <v>118.65</v>
      </c>
      <c r="H30" s="9"/>
      <c r="I30" s="24">
        <v>0</v>
      </c>
      <c r="J30" s="1">
        <v>50</v>
      </c>
      <c r="K30" s="1">
        <v>30</v>
      </c>
      <c r="L30" s="24">
        <v>0</v>
      </c>
      <c r="M30" s="24">
        <f t="shared" si="0"/>
        <v>80</v>
      </c>
      <c r="N30" s="2"/>
    </row>
    <row r="31" spans="1:15" ht="21" customHeight="1">
      <c r="A31" s="8">
        <v>43400</v>
      </c>
      <c r="B31" s="58"/>
      <c r="C31" s="58"/>
      <c r="D31" s="22">
        <v>213.8</v>
      </c>
      <c r="E31" s="30">
        <v>949</v>
      </c>
      <c r="F31" s="25">
        <v>202.92</v>
      </c>
      <c r="G31" s="11">
        <v>107</v>
      </c>
      <c r="H31" s="9"/>
      <c r="I31" s="24">
        <v>0</v>
      </c>
      <c r="J31" s="1">
        <v>50</v>
      </c>
      <c r="K31" s="1">
        <v>30</v>
      </c>
      <c r="L31" s="24">
        <v>0</v>
      </c>
      <c r="M31" s="24">
        <f t="shared" si="0"/>
        <v>80</v>
      </c>
      <c r="N31" s="2"/>
    </row>
    <row r="32" spans="1:15" ht="21" customHeight="1">
      <c r="A32" s="8">
        <v>43401</v>
      </c>
      <c r="B32" s="58"/>
      <c r="C32" s="58"/>
      <c r="D32" s="22">
        <v>213.8</v>
      </c>
      <c r="E32" s="30">
        <v>949</v>
      </c>
      <c r="F32" s="25">
        <v>202.66</v>
      </c>
      <c r="G32" s="11">
        <v>96.4</v>
      </c>
      <c r="H32" s="9"/>
      <c r="I32" s="24">
        <v>0</v>
      </c>
      <c r="J32" s="1">
        <v>65</v>
      </c>
      <c r="K32" s="1">
        <v>45</v>
      </c>
      <c r="L32" s="24">
        <v>0</v>
      </c>
      <c r="M32" s="24">
        <f t="shared" si="0"/>
        <v>110</v>
      </c>
      <c r="N32" s="2"/>
    </row>
    <row r="33" spans="1:15" ht="21" customHeight="1">
      <c r="A33" s="8">
        <v>43402</v>
      </c>
      <c r="B33" s="58"/>
      <c r="C33" s="58"/>
      <c r="D33" s="22">
        <v>213.8</v>
      </c>
      <c r="E33" s="30">
        <v>949</v>
      </c>
      <c r="F33" s="25">
        <v>202.41</v>
      </c>
      <c r="G33" s="11">
        <v>87.22</v>
      </c>
      <c r="H33" s="9"/>
      <c r="I33" s="24">
        <v>0</v>
      </c>
      <c r="J33" s="1">
        <v>65</v>
      </c>
      <c r="K33" s="1">
        <v>45</v>
      </c>
      <c r="L33" s="24">
        <v>0</v>
      </c>
      <c r="M33" s="24">
        <f t="shared" si="0"/>
        <v>110</v>
      </c>
      <c r="N33" s="2"/>
    </row>
    <row r="34" spans="1:15" ht="21" customHeight="1">
      <c r="A34" s="8">
        <v>43403</v>
      </c>
      <c r="B34" s="58"/>
      <c r="C34" s="58"/>
      <c r="D34" s="22">
        <v>213.8</v>
      </c>
      <c r="E34" s="30">
        <v>949</v>
      </c>
      <c r="F34" s="25">
        <v>202.15</v>
      </c>
      <c r="G34" s="11">
        <v>77.33</v>
      </c>
      <c r="H34" s="9"/>
      <c r="I34" s="24">
        <v>0</v>
      </c>
      <c r="J34" s="1">
        <v>65</v>
      </c>
      <c r="K34" s="1">
        <v>45</v>
      </c>
      <c r="L34" s="24">
        <v>0</v>
      </c>
      <c r="M34" s="24">
        <f t="shared" si="0"/>
        <v>110</v>
      </c>
      <c r="N34" s="2"/>
    </row>
    <row r="35" spans="1:15" ht="21" customHeight="1">
      <c r="A35" s="8">
        <v>43404</v>
      </c>
      <c r="B35" s="59"/>
      <c r="C35" s="59"/>
      <c r="D35" s="23">
        <v>213.8</v>
      </c>
      <c r="E35" s="30">
        <v>949</v>
      </c>
      <c r="F35" s="25">
        <v>202.15</v>
      </c>
      <c r="G35" s="11">
        <v>77.33</v>
      </c>
      <c r="H35" s="9"/>
      <c r="I35" s="24">
        <v>0</v>
      </c>
      <c r="J35" s="1">
        <v>65</v>
      </c>
      <c r="K35" s="1">
        <v>45</v>
      </c>
      <c r="L35" s="24">
        <v>0</v>
      </c>
      <c r="M35" s="24">
        <f t="shared" si="0"/>
        <v>110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16">
        <f>SUM(H5:H35)</f>
        <v>80</v>
      </c>
      <c r="I36" s="16">
        <f t="shared" ref="I36:M36" si="1">SUM(I5:I35)</f>
        <v>0</v>
      </c>
      <c r="J36" s="16">
        <f t="shared" si="1"/>
        <v>1300</v>
      </c>
      <c r="K36" s="16">
        <f t="shared" si="1"/>
        <v>915</v>
      </c>
      <c r="L36" s="16">
        <f t="shared" si="1"/>
        <v>0</v>
      </c>
      <c r="M36" s="16">
        <f t="shared" si="1"/>
        <v>2215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6.912044237083117E-3</v>
      </c>
      <c r="I37" s="5"/>
      <c r="J37" s="5">
        <f>J36/11574</f>
        <v>0.11232071885260066</v>
      </c>
      <c r="K37" s="5">
        <f>K36/11574</f>
        <v>7.9056505961638157E-2</v>
      </c>
      <c r="L37" s="28"/>
      <c r="M37" s="28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5" zoomScale="60" workbookViewId="0">
      <selection activeCell="G5" sqref="G5:G34"/>
    </sheetView>
  </sheetViews>
  <sheetFormatPr defaultColWidth="14.42578125" defaultRowHeight="15" customHeight="1"/>
  <cols>
    <col min="1" max="1" width="12.42578125" style="27" customWidth="1"/>
    <col min="2" max="2" width="6.28515625" style="27" customWidth="1"/>
    <col min="3" max="3" width="5.140625" style="27" customWidth="1"/>
    <col min="4" max="4" width="10" style="27" customWidth="1"/>
    <col min="5" max="5" width="10" style="29" customWidth="1"/>
    <col min="6" max="7" width="8.7109375" style="27" customWidth="1"/>
    <col min="8" max="8" width="9.85546875" style="27" customWidth="1"/>
    <col min="9" max="9" width="8.7109375" style="27" customWidth="1"/>
    <col min="10" max="10" width="8.42578125" style="27" customWidth="1"/>
    <col min="11" max="11" width="8.7109375" style="27" customWidth="1"/>
    <col min="12" max="12" width="6.42578125" style="27" customWidth="1"/>
    <col min="13" max="13" width="8.5703125" style="27" customWidth="1"/>
    <col min="14" max="14" width="8.85546875" style="27" customWidth="1"/>
    <col min="15" max="16384" width="14.42578125" style="27"/>
  </cols>
  <sheetData>
    <row r="1" spans="1:14" ht="14.25" customHeight="1">
      <c r="A1" s="41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58"/>
      <c r="B4" s="58"/>
      <c r="C4" s="58"/>
      <c r="D4" s="58"/>
      <c r="E4" s="53"/>
      <c r="F4" s="58"/>
      <c r="G4" s="58"/>
      <c r="H4" s="5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35">
        <v>43405</v>
      </c>
      <c r="B5" s="62" t="s">
        <v>11</v>
      </c>
      <c r="C5" s="62" t="s">
        <v>12</v>
      </c>
      <c r="D5" s="30">
        <v>213.8</v>
      </c>
      <c r="E5" s="30">
        <v>949</v>
      </c>
      <c r="F5" s="25">
        <v>201.98</v>
      </c>
      <c r="G5" s="30">
        <v>71.680000000000007</v>
      </c>
      <c r="H5" s="9"/>
      <c r="I5" s="37">
        <v>0</v>
      </c>
      <c r="J5" s="1">
        <v>10</v>
      </c>
      <c r="K5" s="1">
        <v>10</v>
      </c>
      <c r="L5" s="24">
        <v>0</v>
      </c>
      <c r="M5" s="24">
        <f>L5+K5+J5+I5</f>
        <v>20</v>
      </c>
      <c r="N5" s="2"/>
    </row>
    <row r="6" spans="1:14" ht="19.5" customHeight="1">
      <c r="A6" s="35">
        <v>43406</v>
      </c>
      <c r="B6" s="63"/>
      <c r="C6" s="63"/>
      <c r="D6" s="30">
        <v>213.8</v>
      </c>
      <c r="E6" s="30">
        <v>949</v>
      </c>
      <c r="F6" s="25">
        <v>201.98</v>
      </c>
      <c r="G6" s="30">
        <v>71.680000000000007</v>
      </c>
      <c r="H6" s="9">
        <v>20</v>
      </c>
      <c r="I6" s="37">
        <v>0</v>
      </c>
      <c r="J6" s="1">
        <v>10</v>
      </c>
      <c r="K6" s="1">
        <v>10</v>
      </c>
      <c r="L6" s="24">
        <v>0</v>
      </c>
      <c r="M6" s="24">
        <f t="shared" ref="M6:M34" si="0">L6+K6+J6+I6</f>
        <v>20</v>
      </c>
      <c r="N6" s="2"/>
    </row>
    <row r="7" spans="1:14" ht="19.5" customHeight="1">
      <c r="A7" s="35">
        <v>43407</v>
      </c>
      <c r="B7" s="63"/>
      <c r="C7" s="63"/>
      <c r="D7" s="30">
        <v>213.8</v>
      </c>
      <c r="E7" s="30">
        <v>949</v>
      </c>
      <c r="F7" s="25">
        <v>201.98</v>
      </c>
      <c r="G7" s="30">
        <v>71.680000000000007</v>
      </c>
      <c r="H7" s="9">
        <v>20</v>
      </c>
      <c r="I7" s="37">
        <v>0</v>
      </c>
      <c r="J7" s="1">
        <v>10</v>
      </c>
      <c r="K7" s="1">
        <v>10</v>
      </c>
      <c r="L7" s="24">
        <v>0</v>
      </c>
      <c r="M7" s="24">
        <f t="shared" si="0"/>
        <v>20</v>
      </c>
      <c r="N7" s="2"/>
    </row>
    <row r="8" spans="1:14" ht="19.5" customHeight="1">
      <c r="A8" s="35">
        <v>43408</v>
      </c>
      <c r="B8" s="63"/>
      <c r="C8" s="63"/>
      <c r="D8" s="30">
        <v>213.8</v>
      </c>
      <c r="E8" s="30">
        <v>949</v>
      </c>
      <c r="F8" s="25">
        <v>201.98</v>
      </c>
      <c r="G8" s="30">
        <v>71.680000000000007</v>
      </c>
      <c r="H8" s="9">
        <v>20</v>
      </c>
      <c r="I8" s="37">
        <v>0</v>
      </c>
      <c r="J8" s="1">
        <v>10</v>
      </c>
      <c r="K8" s="1">
        <v>10</v>
      </c>
      <c r="L8" s="24">
        <v>0</v>
      </c>
      <c r="M8" s="24">
        <f t="shared" si="0"/>
        <v>20</v>
      </c>
      <c r="N8" s="2"/>
    </row>
    <row r="9" spans="1:14" ht="19.5" customHeight="1">
      <c r="A9" s="35">
        <v>43409</v>
      </c>
      <c r="B9" s="63"/>
      <c r="C9" s="63"/>
      <c r="D9" s="30">
        <v>213.8</v>
      </c>
      <c r="E9" s="30">
        <v>949</v>
      </c>
      <c r="F9" s="25">
        <v>201.98</v>
      </c>
      <c r="G9" s="30">
        <v>71.680000000000007</v>
      </c>
      <c r="H9" s="9">
        <v>20</v>
      </c>
      <c r="I9" s="37">
        <v>0</v>
      </c>
      <c r="J9" s="1">
        <v>10</v>
      </c>
      <c r="K9" s="1">
        <v>10</v>
      </c>
      <c r="L9" s="24">
        <v>0</v>
      </c>
      <c r="M9" s="24">
        <f t="shared" si="0"/>
        <v>20</v>
      </c>
      <c r="N9" s="2"/>
    </row>
    <row r="10" spans="1:14" ht="19.5" customHeight="1">
      <c r="A10" s="35">
        <v>43410</v>
      </c>
      <c r="B10" s="63"/>
      <c r="C10" s="63"/>
      <c r="D10" s="30">
        <v>213.8</v>
      </c>
      <c r="E10" s="30">
        <v>949</v>
      </c>
      <c r="F10" s="25">
        <v>201.98</v>
      </c>
      <c r="G10" s="30">
        <v>71.680000000000007</v>
      </c>
      <c r="H10" s="9">
        <v>20</v>
      </c>
      <c r="I10" s="37">
        <v>0</v>
      </c>
      <c r="J10" s="1">
        <v>10</v>
      </c>
      <c r="K10" s="1">
        <v>10</v>
      </c>
      <c r="L10" s="24">
        <v>0</v>
      </c>
      <c r="M10" s="24">
        <f t="shared" si="0"/>
        <v>20</v>
      </c>
      <c r="N10" s="2"/>
    </row>
    <row r="11" spans="1:14" ht="19.5" customHeight="1">
      <c r="A11" s="35">
        <v>43411</v>
      </c>
      <c r="B11" s="63"/>
      <c r="C11" s="63"/>
      <c r="D11" s="30">
        <v>213.8</v>
      </c>
      <c r="E11" s="30">
        <v>949</v>
      </c>
      <c r="F11" s="25">
        <v>201.92</v>
      </c>
      <c r="G11" s="30">
        <v>69.56</v>
      </c>
      <c r="H11" s="9"/>
      <c r="I11" s="37">
        <v>0</v>
      </c>
      <c r="J11" s="1">
        <v>10</v>
      </c>
      <c r="K11" s="1">
        <v>20</v>
      </c>
      <c r="L11" s="24">
        <v>0</v>
      </c>
      <c r="M11" s="24">
        <f t="shared" si="0"/>
        <v>30</v>
      </c>
      <c r="N11" s="2"/>
    </row>
    <row r="12" spans="1:14" ht="19.5" customHeight="1">
      <c r="A12" s="35">
        <v>43412</v>
      </c>
      <c r="B12" s="63"/>
      <c r="C12" s="63"/>
      <c r="D12" s="30">
        <v>213.8</v>
      </c>
      <c r="E12" s="30">
        <v>949</v>
      </c>
      <c r="F12" s="25">
        <v>201.85</v>
      </c>
      <c r="G12" s="30">
        <v>66.739999999999995</v>
      </c>
      <c r="H12" s="9"/>
      <c r="I12" s="37">
        <v>0</v>
      </c>
      <c r="J12" s="1">
        <v>10</v>
      </c>
      <c r="K12" s="1">
        <v>20</v>
      </c>
      <c r="L12" s="24">
        <v>0</v>
      </c>
      <c r="M12" s="24">
        <f t="shared" si="0"/>
        <v>30</v>
      </c>
      <c r="N12" s="2"/>
    </row>
    <row r="13" spans="1:14" ht="19.5" customHeight="1">
      <c r="A13" s="35">
        <v>43413</v>
      </c>
      <c r="B13" s="63"/>
      <c r="C13" s="63"/>
      <c r="D13" s="30">
        <v>213.8</v>
      </c>
      <c r="E13" s="30">
        <v>949</v>
      </c>
      <c r="F13" s="36">
        <v>201.68</v>
      </c>
      <c r="G13" s="25">
        <v>61.79</v>
      </c>
      <c r="H13" s="9"/>
      <c r="I13" s="37">
        <v>0</v>
      </c>
      <c r="J13" s="1">
        <v>40</v>
      </c>
      <c r="K13" s="1">
        <v>20</v>
      </c>
      <c r="L13" s="24">
        <v>0</v>
      </c>
      <c r="M13" s="24">
        <f t="shared" si="0"/>
        <v>60</v>
      </c>
      <c r="N13" s="2"/>
    </row>
    <row r="14" spans="1:14" ht="19.5" customHeight="1">
      <c r="A14" s="35">
        <v>43414</v>
      </c>
      <c r="B14" s="63"/>
      <c r="C14" s="63"/>
      <c r="D14" s="30">
        <v>213.8</v>
      </c>
      <c r="E14" s="30">
        <v>949</v>
      </c>
      <c r="F14" s="25">
        <v>201.45</v>
      </c>
      <c r="G14" s="30">
        <v>55.76</v>
      </c>
      <c r="H14" s="9"/>
      <c r="I14" s="37">
        <v>0</v>
      </c>
      <c r="J14" s="1">
        <v>40</v>
      </c>
      <c r="K14" s="1">
        <v>20</v>
      </c>
      <c r="L14" s="24">
        <v>0</v>
      </c>
      <c r="M14" s="24">
        <f t="shared" si="0"/>
        <v>60</v>
      </c>
      <c r="N14" s="2"/>
    </row>
    <row r="15" spans="1:14" ht="19.5" customHeight="1">
      <c r="A15" s="35">
        <v>43415</v>
      </c>
      <c r="B15" s="63"/>
      <c r="C15" s="63"/>
      <c r="D15" s="30">
        <v>213.8</v>
      </c>
      <c r="E15" s="30">
        <v>949</v>
      </c>
      <c r="F15" s="25">
        <v>201.22</v>
      </c>
      <c r="G15" s="30">
        <v>49.79</v>
      </c>
      <c r="H15" s="9"/>
      <c r="I15" s="37">
        <v>0</v>
      </c>
      <c r="J15" s="1">
        <v>40</v>
      </c>
      <c r="K15" s="1">
        <v>20</v>
      </c>
      <c r="L15" s="24">
        <v>0</v>
      </c>
      <c r="M15" s="24">
        <f t="shared" si="0"/>
        <v>60</v>
      </c>
      <c r="N15" s="2"/>
    </row>
    <row r="16" spans="1:14" ht="19.5" customHeight="1">
      <c r="A16" s="35">
        <v>43416</v>
      </c>
      <c r="B16" s="63"/>
      <c r="C16" s="63"/>
      <c r="D16" s="30">
        <v>213.8</v>
      </c>
      <c r="E16" s="30">
        <v>949</v>
      </c>
      <c r="F16" s="25">
        <v>201.18</v>
      </c>
      <c r="G16" s="30">
        <v>48.73</v>
      </c>
      <c r="H16" s="9">
        <v>10</v>
      </c>
      <c r="I16" s="37">
        <v>0</v>
      </c>
      <c r="J16" s="1">
        <v>40</v>
      </c>
      <c r="K16" s="1">
        <v>20</v>
      </c>
      <c r="L16" s="24">
        <v>0</v>
      </c>
      <c r="M16" s="24">
        <f t="shared" si="0"/>
        <v>60</v>
      </c>
      <c r="N16" s="2"/>
    </row>
    <row r="17" spans="1:15" ht="19.5" customHeight="1">
      <c r="A17" s="35">
        <v>43417</v>
      </c>
      <c r="B17" s="63"/>
      <c r="C17" s="63"/>
      <c r="D17" s="30">
        <v>213.8</v>
      </c>
      <c r="E17" s="30">
        <v>949</v>
      </c>
      <c r="F17" s="25">
        <v>201.18</v>
      </c>
      <c r="G17" s="30">
        <v>48.73</v>
      </c>
      <c r="H17" s="9"/>
      <c r="I17" s="37">
        <v>0</v>
      </c>
      <c r="J17" s="1">
        <v>40</v>
      </c>
      <c r="K17" s="1">
        <v>10</v>
      </c>
      <c r="L17" s="24">
        <v>0</v>
      </c>
      <c r="M17" s="24">
        <f t="shared" si="0"/>
        <v>50</v>
      </c>
      <c r="N17" s="2"/>
    </row>
    <row r="18" spans="1:15" ht="19.5" customHeight="1">
      <c r="A18" s="35">
        <v>43418</v>
      </c>
      <c r="B18" s="63"/>
      <c r="C18" s="63"/>
      <c r="D18" s="30">
        <v>213.8</v>
      </c>
      <c r="E18" s="30">
        <v>949</v>
      </c>
      <c r="F18" s="25">
        <v>201.18</v>
      </c>
      <c r="G18" s="30">
        <v>48.73</v>
      </c>
      <c r="H18" s="9"/>
      <c r="I18" s="37">
        <v>0</v>
      </c>
      <c r="J18" s="1">
        <v>40</v>
      </c>
      <c r="K18" s="1">
        <v>10</v>
      </c>
      <c r="L18" s="24">
        <v>0</v>
      </c>
      <c r="M18" s="24">
        <f t="shared" si="0"/>
        <v>50</v>
      </c>
      <c r="N18" s="2"/>
    </row>
    <row r="19" spans="1:15" ht="19.5" customHeight="1">
      <c r="A19" s="35">
        <v>43419</v>
      </c>
      <c r="B19" s="63"/>
      <c r="C19" s="63"/>
      <c r="D19" s="30">
        <v>213.8</v>
      </c>
      <c r="E19" s="30">
        <v>949</v>
      </c>
      <c r="F19" s="25">
        <v>201.18</v>
      </c>
      <c r="G19" s="30">
        <v>48.73</v>
      </c>
      <c r="H19" s="9"/>
      <c r="I19" s="37">
        <v>0</v>
      </c>
      <c r="J19" s="1">
        <v>40</v>
      </c>
      <c r="K19" s="1">
        <v>10</v>
      </c>
      <c r="L19" s="24">
        <v>0</v>
      </c>
      <c r="M19" s="24">
        <f t="shared" si="0"/>
        <v>50</v>
      </c>
      <c r="N19" s="2"/>
    </row>
    <row r="20" spans="1:15" ht="19.5" customHeight="1">
      <c r="A20" s="35">
        <v>43420</v>
      </c>
      <c r="B20" s="63"/>
      <c r="C20" s="63"/>
      <c r="D20" s="30">
        <v>213.8</v>
      </c>
      <c r="E20" s="30">
        <v>949</v>
      </c>
      <c r="F20" s="25">
        <v>201.18</v>
      </c>
      <c r="G20" s="30">
        <v>48.73</v>
      </c>
      <c r="H20" s="9"/>
      <c r="I20" s="37">
        <v>0</v>
      </c>
      <c r="J20" s="1">
        <v>0</v>
      </c>
      <c r="K20" s="1">
        <v>10</v>
      </c>
      <c r="L20" s="24">
        <v>0</v>
      </c>
      <c r="M20" s="24">
        <f t="shared" si="0"/>
        <v>10</v>
      </c>
      <c r="N20" s="2"/>
    </row>
    <row r="21" spans="1:15" ht="19.5" customHeight="1">
      <c r="A21" s="35">
        <v>43421</v>
      </c>
      <c r="B21" s="63"/>
      <c r="C21" s="63"/>
      <c r="D21" s="30">
        <v>213.8</v>
      </c>
      <c r="E21" s="30">
        <v>949</v>
      </c>
      <c r="F21" s="25">
        <v>200.3</v>
      </c>
      <c r="G21" s="30">
        <v>38.619999999999997</v>
      </c>
      <c r="H21" s="9"/>
      <c r="I21" s="37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35">
        <v>43422</v>
      </c>
      <c r="B22" s="63"/>
      <c r="C22" s="63"/>
      <c r="D22" s="30">
        <v>213.8</v>
      </c>
      <c r="E22" s="30">
        <v>949</v>
      </c>
      <c r="F22" s="25">
        <v>200.3</v>
      </c>
      <c r="G22" s="30">
        <v>38.619999999999997</v>
      </c>
      <c r="H22" s="9"/>
      <c r="I22" s="37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35">
        <v>43423</v>
      </c>
      <c r="B23" s="63"/>
      <c r="C23" s="63"/>
      <c r="D23" s="30">
        <v>213.8</v>
      </c>
      <c r="E23" s="30">
        <v>949</v>
      </c>
      <c r="F23" s="25">
        <v>200.3</v>
      </c>
      <c r="G23" s="30">
        <v>38.619999999999997</v>
      </c>
      <c r="H23" s="9"/>
      <c r="I23" s="37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35">
        <v>43424</v>
      </c>
      <c r="B24" s="63"/>
      <c r="C24" s="63"/>
      <c r="D24" s="30">
        <v>213.8</v>
      </c>
      <c r="E24" s="30">
        <v>949</v>
      </c>
      <c r="F24" s="25">
        <v>200.3</v>
      </c>
      <c r="G24" s="30">
        <v>38.619999999999997</v>
      </c>
      <c r="H24" s="9"/>
      <c r="I24" s="37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35">
        <v>43425</v>
      </c>
      <c r="B25" s="63"/>
      <c r="C25" s="63"/>
      <c r="D25" s="30">
        <v>213.8</v>
      </c>
      <c r="E25" s="30">
        <v>949</v>
      </c>
      <c r="F25" s="25">
        <v>200.3</v>
      </c>
      <c r="G25" s="30">
        <v>38.619999999999997</v>
      </c>
      <c r="H25" s="9"/>
      <c r="I25" s="37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35">
        <v>43426</v>
      </c>
      <c r="B26" s="63"/>
      <c r="C26" s="63"/>
      <c r="D26" s="30">
        <v>213.8</v>
      </c>
      <c r="E26" s="30">
        <v>949</v>
      </c>
      <c r="F26" s="25">
        <v>200.3</v>
      </c>
      <c r="G26" s="30">
        <v>38.619999999999997</v>
      </c>
      <c r="H26" s="9"/>
      <c r="I26" s="37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35">
        <v>43427</v>
      </c>
      <c r="B27" s="63"/>
      <c r="C27" s="63"/>
      <c r="D27" s="30">
        <v>213.8</v>
      </c>
      <c r="E27" s="30">
        <v>949</v>
      </c>
      <c r="F27" s="25">
        <v>200.3</v>
      </c>
      <c r="G27" s="30">
        <v>38.619999999999997</v>
      </c>
      <c r="H27" s="9"/>
      <c r="I27" s="37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35">
        <v>43428</v>
      </c>
      <c r="B28" s="63"/>
      <c r="C28" s="63"/>
      <c r="D28" s="30">
        <v>213.8</v>
      </c>
      <c r="E28" s="30">
        <v>949</v>
      </c>
      <c r="F28" s="25">
        <v>200.3</v>
      </c>
      <c r="G28" s="30">
        <v>38.619999999999997</v>
      </c>
      <c r="H28" s="9"/>
      <c r="I28" s="37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35">
        <v>43429</v>
      </c>
      <c r="B29" s="63"/>
      <c r="C29" s="63"/>
      <c r="D29" s="30">
        <v>213.8</v>
      </c>
      <c r="E29" s="30">
        <v>949</v>
      </c>
      <c r="F29" s="25">
        <v>200.3</v>
      </c>
      <c r="G29" s="30">
        <v>38.619999999999997</v>
      </c>
      <c r="H29" s="9"/>
      <c r="I29" s="37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35">
        <v>43430</v>
      </c>
      <c r="B30" s="63"/>
      <c r="C30" s="63"/>
      <c r="D30" s="30">
        <v>213.8</v>
      </c>
      <c r="E30" s="30">
        <v>949</v>
      </c>
      <c r="F30" s="25">
        <v>200.3</v>
      </c>
      <c r="G30" s="30">
        <v>38.619999999999997</v>
      </c>
      <c r="H30" s="9"/>
      <c r="I30" s="37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35">
        <v>43431</v>
      </c>
      <c r="B31" s="63"/>
      <c r="C31" s="63"/>
      <c r="D31" s="30">
        <v>213.8</v>
      </c>
      <c r="E31" s="30">
        <v>949</v>
      </c>
      <c r="F31" s="25">
        <v>200.3</v>
      </c>
      <c r="G31" s="30">
        <v>38.619999999999997</v>
      </c>
      <c r="H31" s="9"/>
      <c r="I31" s="37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35">
        <v>43432</v>
      </c>
      <c r="B32" s="63"/>
      <c r="C32" s="63"/>
      <c r="D32" s="30">
        <v>213.8</v>
      </c>
      <c r="E32" s="30">
        <v>949</v>
      </c>
      <c r="F32" s="25">
        <v>200.3</v>
      </c>
      <c r="G32" s="30">
        <v>38.619999999999997</v>
      </c>
      <c r="H32" s="9"/>
      <c r="I32" s="37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35">
        <v>43433</v>
      </c>
      <c r="B33" s="63"/>
      <c r="C33" s="63"/>
      <c r="D33" s="30">
        <v>213.8</v>
      </c>
      <c r="E33" s="30">
        <v>949</v>
      </c>
      <c r="F33" s="25">
        <v>200.3</v>
      </c>
      <c r="G33" s="30">
        <v>38.619999999999997</v>
      </c>
      <c r="H33" s="9"/>
      <c r="I33" s="37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ht="21" customHeight="1">
      <c r="A34" s="35">
        <v>43434</v>
      </c>
      <c r="B34" s="63"/>
      <c r="C34" s="63"/>
      <c r="D34" s="30">
        <v>213.8</v>
      </c>
      <c r="E34" s="30">
        <v>949</v>
      </c>
      <c r="F34" s="25">
        <v>200.3</v>
      </c>
      <c r="G34" s="30">
        <v>38.619999999999997</v>
      </c>
      <c r="H34" s="9"/>
      <c r="I34" s="37">
        <v>0</v>
      </c>
      <c r="J34" s="1">
        <v>0</v>
      </c>
      <c r="K34" s="1">
        <v>0</v>
      </c>
      <c r="L34" s="24">
        <v>0</v>
      </c>
      <c r="M34" s="24">
        <f t="shared" si="0"/>
        <v>0</v>
      </c>
      <c r="N34" s="2"/>
    </row>
    <row r="35" spans="1:15" ht="21" customHeight="1">
      <c r="A35" s="12"/>
      <c r="B35" s="13"/>
      <c r="C35" s="13"/>
      <c r="D35" s="14"/>
      <c r="E35" s="32"/>
      <c r="F35" s="15"/>
      <c r="G35" s="14"/>
      <c r="H35" s="16">
        <f>SUM(H5:H34)</f>
        <v>110</v>
      </c>
      <c r="I35" s="16">
        <f t="shared" ref="I35:M35" si="1">SUM(I5:I34)</f>
        <v>0</v>
      </c>
      <c r="J35" s="16">
        <f t="shared" si="1"/>
        <v>360</v>
      </c>
      <c r="K35" s="16">
        <f t="shared" si="1"/>
        <v>220</v>
      </c>
      <c r="L35" s="16">
        <f t="shared" si="1"/>
        <v>0</v>
      </c>
      <c r="M35" s="16">
        <f t="shared" si="1"/>
        <v>580</v>
      </c>
      <c r="N35" s="17"/>
      <c r="O35" s="19"/>
    </row>
    <row r="36" spans="1:15" ht="47.25" customHeight="1">
      <c r="A36" s="3"/>
      <c r="B36" s="4"/>
      <c r="C36" s="5"/>
      <c r="D36" s="5"/>
      <c r="E36" s="5"/>
      <c r="F36" s="5"/>
      <c r="G36" s="5"/>
      <c r="H36" s="5">
        <f>H35/11574</f>
        <v>9.5040608259892856E-3</v>
      </c>
      <c r="I36" s="5"/>
      <c r="J36" s="5">
        <f>J35/11574</f>
        <v>3.110419906687403E-2</v>
      </c>
      <c r="K36" s="5">
        <f>K35/11574</f>
        <v>1.9008121651978571E-2</v>
      </c>
      <c r="L36" s="28"/>
      <c r="M36" s="28"/>
      <c r="N36" s="7"/>
    </row>
    <row r="37" spans="1:15" ht="15.75" customHeight="1">
      <c r="A37" s="60" t="s">
        <v>9</v>
      </c>
      <c r="B37" s="55"/>
      <c r="C37" s="55"/>
      <c r="D37" s="55"/>
      <c r="J37" s="60" t="s">
        <v>10</v>
      </c>
      <c r="K37" s="55"/>
      <c r="L37" s="55"/>
      <c r="M37" s="55"/>
      <c r="N37" s="7"/>
    </row>
    <row r="38" spans="1:15" ht="15.75" customHeight="1">
      <c r="A38" s="61" t="s">
        <v>16</v>
      </c>
      <c r="B38" s="55"/>
      <c r="C38" s="55"/>
      <c r="D38" s="55"/>
      <c r="J38" s="61" t="s">
        <v>16</v>
      </c>
      <c r="K38" s="55"/>
      <c r="L38" s="55"/>
      <c r="M38" s="55"/>
      <c r="N38" s="7"/>
    </row>
    <row r="39" spans="1:15" ht="15.75" customHeight="1">
      <c r="A39" s="54" t="s">
        <v>17</v>
      </c>
      <c r="B39" s="55"/>
      <c r="C39" s="55"/>
      <c r="D39" s="55"/>
      <c r="J39" s="54" t="s">
        <v>17</v>
      </c>
      <c r="K39" s="55"/>
      <c r="L39" s="55"/>
      <c r="M39" s="55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"/>
  <sheetViews>
    <sheetView tabSelected="1" view="pageBreakPreview" topLeftCell="A20" zoomScale="60" workbookViewId="0">
      <selection activeCell="I36" sqref="I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5" width="10" style="29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41" t="s">
        <v>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15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ht="14.25" customHeight="1">
      <c r="A3" s="47" t="s">
        <v>0</v>
      </c>
      <c r="B3" s="49" t="s">
        <v>1</v>
      </c>
      <c r="C3" s="49" t="s">
        <v>2</v>
      </c>
      <c r="D3" s="47" t="s">
        <v>3</v>
      </c>
      <c r="E3" s="47" t="s">
        <v>32</v>
      </c>
      <c r="F3" s="47" t="s">
        <v>4</v>
      </c>
      <c r="G3" s="47" t="s">
        <v>19</v>
      </c>
      <c r="H3" s="47" t="s">
        <v>5</v>
      </c>
      <c r="I3" s="50" t="s">
        <v>6</v>
      </c>
      <c r="J3" s="51"/>
      <c r="K3" s="51"/>
      <c r="L3" s="51"/>
      <c r="M3" s="52" t="s">
        <v>7</v>
      </c>
      <c r="N3" s="56" t="s">
        <v>8</v>
      </c>
    </row>
    <row r="4" spans="1:14" ht="51.75" customHeight="1">
      <c r="A4" s="48"/>
      <c r="B4" s="48"/>
      <c r="C4" s="48"/>
      <c r="D4" s="48"/>
      <c r="E4" s="53"/>
      <c r="F4" s="48"/>
      <c r="G4" s="48"/>
      <c r="H4" s="48"/>
      <c r="I4" s="10" t="s">
        <v>15</v>
      </c>
      <c r="J4" s="10" t="s">
        <v>13</v>
      </c>
      <c r="K4" s="20" t="s">
        <v>18</v>
      </c>
      <c r="L4" s="10" t="s">
        <v>14</v>
      </c>
      <c r="M4" s="48"/>
      <c r="N4" s="48"/>
    </row>
    <row r="5" spans="1:14" ht="19.5" customHeight="1">
      <c r="A5" s="8">
        <v>43435</v>
      </c>
      <c r="B5" s="57" t="s">
        <v>11</v>
      </c>
      <c r="C5" s="57" t="s">
        <v>12</v>
      </c>
      <c r="D5" s="22">
        <v>213.8</v>
      </c>
      <c r="E5" s="30">
        <v>949</v>
      </c>
      <c r="F5" s="25">
        <v>200.3</v>
      </c>
      <c r="G5" s="11">
        <v>38.619999999999997</v>
      </c>
      <c r="H5" s="9"/>
      <c r="I5" s="24">
        <v>0</v>
      </c>
      <c r="J5" s="1">
        <v>0</v>
      </c>
      <c r="K5" s="1">
        <v>0</v>
      </c>
      <c r="L5" s="24">
        <v>0</v>
      </c>
      <c r="M5" s="24">
        <f>L5+K5+J5+I5</f>
        <v>0</v>
      </c>
      <c r="N5" s="2"/>
    </row>
    <row r="6" spans="1:14" ht="19.5" customHeight="1">
      <c r="A6" s="8">
        <v>43436</v>
      </c>
      <c r="B6" s="58"/>
      <c r="C6" s="58"/>
      <c r="D6" s="22">
        <v>213.8</v>
      </c>
      <c r="E6" s="30">
        <v>949</v>
      </c>
      <c r="F6" s="25">
        <v>200.3</v>
      </c>
      <c r="G6" s="11">
        <v>38.619999999999997</v>
      </c>
      <c r="H6" s="9"/>
      <c r="I6" s="24">
        <v>0</v>
      </c>
      <c r="J6" s="1">
        <v>0</v>
      </c>
      <c r="K6" s="1">
        <v>0</v>
      </c>
      <c r="L6" s="24">
        <v>0</v>
      </c>
      <c r="M6" s="24">
        <f t="shared" ref="M6:M35" si="0">L6+K6+J6+I6</f>
        <v>0</v>
      </c>
      <c r="N6" s="2"/>
    </row>
    <row r="7" spans="1:14" ht="19.5" customHeight="1">
      <c r="A7" s="8">
        <v>43437</v>
      </c>
      <c r="B7" s="58"/>
      <c r="C7" s="58"/>
      <c r="D7" s="22">
        <v>213.8</v>
      </c>
      <c r="E7" s="30">
        <v>949</v>
      </c>
      <c r="F7" s="25">
        <v>200.3</v>
      </c>
      <c r="G7" s="11">
        <v>38.619999999999997</v>
      </c>
      <c r="H7" s="9"/>
      <c r="I7" s="24">
        <v>0</v>
      </c>
      <c r="J7" s="1">
        <v>0</v>
      </c>
      <c r="K7" s="1">
        <v>0</v>
      </c>
      <c r="L7" s="24">
        <v>0</v>
      </c>
      <c r="M7" s="24">
        <f t="shared" si="0"/>
        <v>0</v>
      </c>
      <c r="N7" s="2"/>
    </row>
    <row r="8" spans="1:14" ht="19.5" customHeight="1">
      <c r="A8" s="8">
        <v>43438</v>
      </c>
      <c r="B8" s="58"/>
      <c r="C8" s="58"/>
      <c r="D8" s="22">
        <v>213.8</v>
      </c>
      <c r="E8" s="30">
        <v>949</v>
      </c>
      <c r="F8" s="25">
        <v>200.3</v>
      </c>
      <c r="G8" s="11">
        <v>38.619999999999997</v>
      </c>
      <c r="H8" s="9"/>
      <c r="I8" s="24">
        <v>0</v>
      </c>
      <c r="J8" s="1">
        <v>0</v>
      </c>
      <c r="K8" s="1">
        <v>0</v>
      </c>
      <c r="L8" s="24">
        <v>0</v>
      </c>
      <c r="M8" s="24">
        <f t="shared" si="0"/>
        <v>0</v>
      </c>
      <c r="N8" s="2"/>
    </row>
    <row r="9" spans="1:14" ht="19.5" customHeight="1">
      <c r="A9" s="8">
        <v>43439</v>
      </c>
      <c r="B9" s="58"/>
      <c r="C9" s="58"/>
      <c r="D9" s="22">
        <v>213.8</v>
      </c>
      <c r="E9" s="30">
        <v>949</v>
      </c>
      <c r="F9" s="25">
        <v>200.25</v>
      </c>
      <c r="G9" s="11">
        <v>36.619999999999997</v>
      </c>
      <c r="H9" s="9"/>
      <c r="I9" s="24">
        <v>0</v>
      </c>
      <c r="J9" s="1">
        <v>0</v>
      </c>
      <c r="K9" s="1">
        <v>0</v>
      </c>
      <c r="L9" s="24">
        <v>0</v>
      </c>
      <c r="M9" s="24">
        <f t="shared" si="0"/>
        <v>0</v>
      </c>
      <c r="N9" s="2"/>
    </row>
    <row r="10" spans="1:14" ht="19.5" customHeight="1">
      <c r="A10" s="8">
        <v>43440</v>
      </c>
      <c r="B10" s="58"/>
      <c r="C10" s="58"/>
      <c r="D10" s="22">
        <v>213.8</v>
      </c>
      <c r="E10" s="30">
        <v>949</v>
      </c>
      <c r="F10" s="25">
        <v>200.25</v>
      </c>
      <c r="G10" s="11">
        <v>36.619999999999997</v>
      </c>
      <c r="H10" s="9"/>
      <c r="I10" s="24">
        <v>0</v>
      </c>
      <c r="J10" s="1">
        <v>0</v>
      </c>
      <c r="K10" s="1">
        <v>0</v>
      </c>
      <c r="L10" s="24">
        <v>0</v>
      </c>
      <c r="M10" s="24">
        <f t="shared" si="0"/>
        <v>0</v>
      </c>
      <c r="N10" s="2"/>
    </row>
    <row r="11" spans="1:14" ht="19.5" customHeight="1">
      <c r="A11" s="8">
        <v>43441</v>
      </c>
      <c r="B11" s="58"/>
      <c r="C11" s="58"/>
      <c r="D11" s="22">
        <v>213.8</v>
      </c>
      <c r="E11" s="30">
        <v>949</v>
      </c>
      <c r="F11" s="25">
        <v>200.25</v>
      </c>
      <c r="G11" s="11">
        <v>36.619999999999997</v>
      </c>
      <c r="H11" s="9"/>
      <c r="I11" s="24">
        <v>0</v>
      </c>
      <c r="J11" s="1">
        <v>0</v>
      </c>
      <c r="K11" s="1">
        <v>0</v>
      </c>
      <c r="L11" s="24">
        <v>0</v>
      </c>
      <c r="M11" s="24">
        <f t="shared" si="0"/>
        <v>0</v>
      </c>
      <c r="N11" s="2"/>
    </row>
    <row r="12" spans="1:14" ht="19.5" customHeight="1">
      <c r="A12" s="8">
        <v>43442</v>
      </c>
      <c r="B12" s="58"/>
      <c r="C12" s="58"/>
      <c r="D12" s="22">
        <v>213.8</v>
      </c>
      <c r="E12" s="30">
        <v>949</v>
      </c>
      <c r="F12" s="25">
        <v>200.25</v>
      </c>
      <c r="G12" s="11">
        <v>36.619999999999997</v>
      </c>
      <c r="H12" s="9"/>
      <c r="I12" s="24">
        <v>0</v>
      </c>
      <c r="J12" s="1">
        <v>0</v>
      </c>
      <c r="K12" s="1">
        <v>0</v>
      </c>
      <c r="L12" s="24">
        <v>0</v>
      </c>
      <c r="M12" s="24">
        <f t="shared" si="0"/>
        <v>0</v>
      </c>
      <c r="N12" s="2"/>
    </row>
    <row r="13" spans="1:14" ht="19.5" customHeight="1">
      <c r="A13" s="8">
        <v>43443</v>
      </c>
      <c r="B13" s="58"/>
      <c r="C13" s="58"/>
      <c r="D13" s="22">
        <v>213.8</v>
      </c>
      <c r="E13" s="30">
        <v>949</v>
      </c>
      <c r="F13" s="25">
        <v>200.25</v>
      </c>
      <c r="G13" s="11">
        <v>36.619999999999997</v>
      </c>
      <c r="H13" s="9"/>
      <c r="I13" s="24">
        <v>0</v>
      </c>
      <c r="J13" s="1">
        <v>0</v>
      </c>
      <c r="K13" s="1">
        <v>0</v>
      </c>
      <c r="L13" s="24">
        <v>0</v>
      </c>
      <c r="M13" s="24">
        <f t="shared" si="0"/>
        <v>0</v>
      </c>
      <c r="N13" s="2"/>
    </row>
    <row r="14" spans="1:14" ht="19.5" customHeight="1">
      <c r="A14" s="8">
        <v>43444</v>
      </c>
      <c r="B14" s="58"/>
      <c r="C14" s="58"/>
      <c r="D14" s="22">
        <v>213.8</v>
      </c>
      <c r="E14" s="30">
        <v>949</v>
      </c>
      <c r="F14" s="25">
        <v>200.2</v>
      </c>
      <c r="G14" s="11">
        <v>34.61</v>
      </c>
      <c r="H14" s="9"/>
      <c r="I14" s="24">
        <v>0</v>
      </c>
      <c r="J14" s="1">
        <v>0</v>
      </c>
      <c r="K14" s="1">
        <v>0</v>
      </c>
      <c r="L14" s="24">
        <v>0</v>
      </c>
      <c r="M14" s="24">
        <f t="shared" si="0"/>
        <v>0</v>
      </c>
      <c r="N14" s="2"/>
    </row>
    <row r="15" spans="1:14" ht="19.5" customHeight="1">
      <c r="A15" s="8">
        <v>43445</v>
      </c>
      <c r="B15" s="58"/>
      <c r="C15" s="58"/>
      <c r="D15" s="22">
        <v>213.8</v>
      </c>
      <c r="E15" s="30">
        <v>949</v>
      </c>
      <c r="F15" s="25">
        <v>200.2</v>
      </c>
      <c r="G15" s="11">
        <v>34.61</v>
      </c>
      <c r="H15" s="9"/>
      <c r="I15" s="24">
        <v>0</v>
      </c>
      <c r="J15" s="1">
        <v>0</v>
      </c>
      <c r="K15" s="1">
        <v>0</v>
      </c>
      <c r="L15" s="24">
        <v>0</v>
      </c>
      <c r="M15" s="24">
        <f t="shared" si="0"/>
        <v>0</v>
      </c>
      <c r="N15" s="2"/>
    </row>
    <row r="16" spans="1:14" ht="19.5" customHeight="1">
      <c r="A16" s="8">
        <v>43446</v>
      </c>
      <c r="B16" s="58"/>
      <c r="C16" s="58"/>
      <c r="D16" s="22">
        <v>213.8</v>
      </c>
      <c r="E16" s="30">
        <v>949</v>
      </c>
      <c r="F16" s="25">
        <v>200.2</v>
      </c>
      <c r="G16" s="11">
        <v>34.61</v>
      </c>
      <c r="H16" s="9"/>
      <c r="I16" s="24">
        <v>0</v>
      </c>
      <c r="J16" s="1">
        <v>0</v>
      </c>
      <c r="K16" s="1">
        <v>0</v>
      </c>
      <c r="L16" s="24">
        <v>0</v>
      </c>
      <c r="M16" s="24">
        <f t="shared" si="0"/>
        <v>0</v>
      </c>
      <c r="N16" s="2"/>
    </row>
    <row r="17" spans="1:15" ht="19.5" customHeight="1">
      <c r="A17" s="8">
        <v>43447</v>
      </c>
      <c r="B17" s="58"/>
      <c r="C17" s="58"/>
      <c r="D17" s="22">
        <v>213.8</v>
      </c>
      <c r="E17" s="30">
        <v>949</v>
      </c>
      <c r="F17" s="25">
        <v>200.2</v>
      </c>
      <c r="G17" s="11">
        <v>34.61</v>
      </c>
      <c r="H17" s="9"/>
      <c r="I17" s="24">
        <v>0</v>
      </c>
      <c r="J17" s="1">
        <v>0</v>
      </c>
      <c r="K17" s="1">
        <v>0</v>
      </c>
      <c r="L17" s="24">
        <v>0</v>
      </c>
      <c r="M17" s="24">
        <f t="shared" si="0"/>
        <v>0</v>
      </c>
      <c r="N17" s="2"/>
    </row>
    <row r="18" spans="1:15" ht="19.5" customHeight="1">
      <c r="A18" s="8">
        <v>43448</v>
      </c>
      <c r="B18" s="58"/>
      <c r="C18" s="58"/>
      <c r="D18" s="22">
        <v>213.8</v>
      </c>
      <c r="E18" s="30">
        <v>949</v>
      </c>
      <c r="F18" s="25">
        <v>200.2</v>
      </c>
      <c r="G18" s="11">
        <v>34.61</v>
      </c>
      <c r="H18" s="9"/>
      <c r="I18" s="24">
        <v>0</v>
      </c>
      <c r="J18" s="1">
        <v>0</v>
      </c>
      <c r="K18" s="1">
        <v>0</v>
      </c>
      <c r="L18" s="24">
        <v>0</v>
      </c>
      <c r="M18" s="24">
        <f t="shared" si="0"/>
        <v>0</v>
      </c>
      <c r="N18" s="2"/>
    </row>
    <row r="19" spans="1:15" ht="19.5" customHeight="1">
      <c r="A19" s="8">
        <v>43449</v>
      </c>
      <c r="B19" s="58"/>
      <c r="C19" s="58"/>
      <c r="D19" s="22">
        <v>213.8</v>
      </c>
      <c r="E19" s="30">
        <v>949</v>
      </c>
      <c r="F19" s="25">
        <v>200.2</v>
      </c>
      <c r="G19" s="11">
        <v>34.61</v>
      </c>
      <c r="H19" s="9"/>
      <c r="I19" s="24">
        <v>0</v>
      </c>
      <c r="J19" s="1">
        <v>0</v>
      </c>
      <c r="K19" s="1">
        <v>0</v>
      </c>
      <c r="L19" s="24">
        <v>0</v>
      </c>
      <c r="M19" s="24">
        <f t="shared" si="0"/>
        <v>0</v>
      </c>
      <c r="N19" s="2"/>
    </row>
    <row r="20" spans="1:15" ht="19.5" customHeight="1">
      <c r="A20" s="8">
        <v>43450</v>
      </c>
      <c r="B20" s="58"/>
      <c r="C20" s="58"/>
      <c r="D20" s="22">
        <v>213.8</v>
      </c>
      <c r="E20" s="30">
        <v>949</v>
      </c>
      <c r="F20" s="25">
        <v>200.2</v>
      </c>
      <c r="G20" s="11">
        <v>34.61</v>
      </c>
      <c r="H20" s="9"/>
      <c r="I20" s="24">
        <v>0</v>
      </c>
      <c r="J20" s="1">
        <v>0</v>
      </c>
      <c r="K20" s="1">
        <v>0</v>
      </c>
      <c r="L20" s="24">
        <v>0</v>
      </c>
      <c r="M20" s="24">
        <f t="shared" si="0"/>
        <v>0</v>
      </c>
      <c r="N20" s="2"/>
    </row>
    <row r="21" spans="1:15" ht="19.5" customHeight="1">
      <c r="A21" s="8">
        <v>43451</v>
      </c>
      <c r="B21" s="58"/>
      <c r="C21" s="58"/>
      <c r="D21" s="22">
        <v>213.8</v>
      </c>
      <c r="E21" s="30">
        <v>949</v>
      </c>
      <c r="F21" s="25">
        <v>201.5</v>
      </c>
      <c r="G21" s="11">
        <v>57.2</v>
      </c>
      <c r="H21" s="9">
        <v>21</v>
      </c>
      <c r="I21" s="24">
        <v>0</v>
      </c>
      <c r="J21" s="1">
        <v>0</v>
      </c>
      <c r="K21" s="1">
        <v>0</v>
      </c>
      <c r="L21" s="24">
        <v>0</v>
      </c>
      <c r="M21" s="24">
        <f t="shared" si="0"/>
        <v>0</v>
      </c>
      <c r="N21" s="2"/>
    </row>
    <row r="22" spans="1:15" ht="19.5" customHeight="1">
      <c r="A22" s="8">
        <v>43452</v>
      </c>
      <c r="B22" s="58"/>
      <c r="C22" s="58"/>
      <c r="D22" s="22">
        <v>213.8</v>
      </c>
      <c r="E22" s="30">
        <v>949</v>
      </c>
      <c r="F22" s="25">
        <v>203.82</v>
      </c>
      <c r="G22" s="11">
        <v>148.32</v>
      </c>
      <c r="H22" s="9">
        <v>1054</v>
      </c>
      <c r="I22" s="24">
        <v>0</v>
      </c>
      <c r="J22" s="1">
        <v>0</v>
      </c>
      <c r="K22" s="1">
        <v>0</v>
      </c>
      <c r="L22" s="24">
        <v>0</v>
      </c>
      <c r="M22" s="24">
        <f t="shared" si="0"/>
        <v>0</v>
      </c>
      <c r="N22" s="2"/>
    </row>
    <row r="23" spans="1:15" ht="19.5" customHeight="1">
      <c r="A23" s="8">
        <v>43453</v>
      </c>
      <c r="B23" s="58"/>
      <c r="C23" s="58"/>
      <c r="D23" s="22">
        <v>213.8</v>
      </c>
      <c r="E23" s="30">
        <v>949</v>
      </c>
      <c r="F23" s="25">
        <v>204.42</v>
      </c>
      <c r="G23" s="11">
        <v>180.1</v>
      </c>
      <c r="H23" s="9">
        <v>368</v>
      </c>
      <c r="I23" s="24">
        <v>0</v>
      </c>
      <c r="J23" s="1">
        <v>0</v>
      </c>
      <c r="K23" s="1">
        <v>0</v>
      </c>
      <c r="L23" s="24">
        <v>0</v>
      </c>
      <c r="M23" s="24">
        <f t="shared" si="0"/>
        <v>0</v>
      </c>
      <c r="N23" s="2"/>
    </row>
    <row r="24" spans="1:15" ht="19.5" customHeight="1">
      <c r="A24" s="8">
        <v>43454</v>
      </c>
      <c r="B24" s="58"/>
      <c r="C24" s="58"/>
      <c r="D24" s="22">
        <v>213.8</v>
      </c>
      <c r="E24" s="30">
        <v>949</v>
      </c>
      <c r="F24" s="25">
        <v>204.68</v>
      </c>
      <c r="G24" s="11">
        <v>193.52</v>
      </c>
      <c r="H24" s="9">
        <v>155</v>
      </c>
      <c r="I24" s="24">
        <v>0</v>
      </c>
      <c r="J24" s="1">
        <v>0</v>
      </c>
      <c r="K24" s="1">
        <v>0</v>
      </c>
      <c r="L24" s="24">
        <v>0</v>
      </c>
      <c r="M24" s="24">
        <f t="shared" si="0"/>
        <v>0</v>
      </c>
      <c r="N24" s="2"/>
    </row>
    <row r="25" spans="1:15" ht="19.5" customHeight="1">
      <c r="A25" s="8">
        <v>43455</v>
      </c>
      <c r="B25" s="58"/>
      <c r="C25" s="58"/>
      <c r="D25" s="22">
        <v>213.8</v>
      </c>
      <c r="E25" s="30">
        <v>949</v>
      </c>
      <c r="F25" s="25">
        <v>204.91</v>
      </c>
      <c r="G25" s="11">
        <v>206.94</v>
      </c>
      <c r="H25" s="9">
        <v>155</v>
      </c>
      <c r="I25" s="24">
        <v>0</v>
      </c>
      <c r="J25" s="1">
        <v>0</v>
      </c>
      <c r="K25" s="1">
        <v>0</v>
      </c>
      <c r="L25" s="24">
        <v>0</v>
      </c>
      <c r="M25" s="24">
        <f t="shared" si="0"/>
        <v>0</v>
      </c>
      <c r="N25" s="2"/>
    </row>
    <row r="26" spans="1:15" ht="19.5" customHeight="1">
      <c r="A26" s="8">
        <v>43456</v>
      </c>
      <c r="B26" s="58"/>
      <c r="C26" s="58"/>
      <c r="D26" s="22">
        <v>213.8</v>
      </c>
      <c r="E26" s="30">
        <v>949</v>
      </c>
      <c r="F26" s="25">
        <v>205.06</v>
      </c>
      <c r="G26" s="11">
        <v>215.76</v>
      </c>
      <c r="H26" s="9">
        <v>102</v>
      </c>
      <c r="I26" s="24">
        <v>0</v>
      </c>
      <c r="J26" s="1">
        <v>0</v>
      </c>
      <c r="K26" s="1">
        <v>0</v>
      </c>
      <c r="L26" s="24">
        <v>0</v>
      </c>
      <c r="M26" s="24">
        <f t="shared" si="0"/>
        <v>0</v>
      </c>
      <c r="N26" s="2"/>
      <c r="O26" s="18"/>
    </row>
    <row r="27" spans="1:15" ht="19.5" customHeight="1">
      <c r="A27" s="8">
        <v>43457</v>
      </c>
      <c r="B27" s="58"/>
      <c r="C27" s="58"/>
      <c r="D27" s="22">
        <v>213.8</v>
      </c>
      <c r="E27" s="30">
        <v>949</v>
      </c>
      <c r="F27" s="25">
        <v>205.17</v>
      </c>
      <c r="G27" s="11">
        <v>221.13</v>
      </c>
      <c r="H27" s="9">
        <v>75</v>
      </c>
      <c r="I27" s="24">
        <v>0</v>
      </c>
      <c r="J27" s="1">
        <v>0</v>
      </c>
      <c r="K27" s="1">
        <v>0</v>
      </c>
      <c r="L27" s="24">
        <v>0</v>
      </c>
      <c r="M27" s="24">
        <f t="shared" si="0"/>
        <v>0</v>
      </c>
      <c r="N27" s="2"/>
    </row>
    <row r="28" spans="1:15" ht="19.5" customHeight="1">
      <c r="A28" s="8">
        <v>43458</v>
      </c>
      <c r="B28" s="58"/>
      <c r="C28" s="58"/>
      <c r="D28" s="22">
        <v>213.8</v>
      </c>
      <c r="E28" s="30">
        <v>949</v>
      </c>
      <c r="F28" s="25">
        <v>205.17</v>
      </c>
      <c r="G28" s="11">
        <v>221.13</v>
      </c>
      <c r="H28" s="9">
        <v>75</v>
      </c>
      <c r="I28" s="24">
        <v>0</v>
      </c>
      <c r="J28" s="1">
        <v>0</v>
      </c>
      <c r="K28" s="1">
        <v>0</v>
      </c>
      <c r="L28" s="24">
        <v>0</v>
      </c>
      <c r="M28" s="24">
        <f t="shared" si="0"/>
        <v>0</v>
      </c>
      <c r="N28" s="2"/>
    </row>
    <row r="29" spans="1:15" ht="19.5" customHeight="1">
      <c r="A29" s="8">
        <v>43459</v>
      </c>
      <c r="B29" s="58"/>
      <c r="C29" s="58"/>
      <c r="D29" s="22">
        <v>213.8</v>
      </c>
      <c r="E29" s="30">
        <v>949</v>
      </c>
      <c r="F29" s="25">
        <v>205.39</v>
      </c>
      <c r="G29" s="11">
        <v>235.19</v>
      </c>
      <c r="H29" s="9">
        <v>41</v>
      </c>
      <c r="I29" s="24">
        <v>0</v>
      </c>
      <c r="J29" s="1">
        <v>0</v>
      </c>
      <c r="K29" s="1">
        <v>0</v>
      </c>
      <c r="L29" s="24">
        <v>0</v>
      </c>
      <c r="M29" s="24">
        <f t="shared" si="0"/>
        <v>0</v>
      </c>
      <c r="N29" s="2"/>
    </row>
    <row r="30" spans="1:15" ht="19.5" customHeight="1">
      <c r="A30" s="8">
        <v>43460</v>
      </c>
      <c r="B30" s="58"/>
      <c r="C30" s="58"/>
      <c r="D30" s="22">
        <v>213.8</v>
      </c>
      <c r="E30" s="30">
        <v>949</v>
      </c>
      <c r="F30" s="25">
        <v>205.33</v>
      </c>
      <c r="G30" s="11">
        <v>231.66</v>
      </c>
      <c r="H30" s="9">
        <v>45</v>
      </c>
      <c r="I30" s="24">
        <v>0</v>
      </c>
      <c r="J30" s="1">
        <v>0</v>
      </c>
      <c r="K30" s="1">
        <v>0</v>
      </c>
      <c r="L30" s="24">
        <v>0</v>
      </c>
      <c r="M30" s="24">
        <f t="shared" si="0"/>
        <v>0</v>
      </c>
      <c r="N30" s="2"/>
    </row>
    <row r="31" spans="1:15" ht="21" customHeight="1">
      <c r="A31" s="8">
        <v>43461</v>
      </c>
      <c r="B31" s="58"/>
      <c r="C31" s="58"/>
      <c r="D31" s="22">
        <v>213.8</v>
      </c>
      <c r="E31" s="30">
        <v>949</v>
      </c>
      <c r="F31" s="25">
        <v>205.44</v>
      </c>
      <c r="G31" s="11">
        <v>238.26</v>
      </c>
      <c r="H31" s="9">
        <v>37</v>
      </c>
      <c r="I31" s="24">
        <v>0</v>
      </c>
      <c r="J31" s="1">
        <v>0</v>
      </c>
      <c r="K31" s="1">
        <v>0</v>
      </c>
      <c r="L31" s="24">
        <v>0</v>
      </c>
      <c r="M31" s="24">
        <f t="shared" si="0"/>
        <v>0</v>
      </c>
      <c r="N31" s="2"/>
    </row>
    <row r="32" spans="1:15" ht="21" customHeight="1">
      <c r="A32" s="8">
        <v>43462</v>
      </c>
      <c r="B32" s="58"/>
      <c r="C32" s="58"/>
      <c r="D32" s="22">
        <v>213.8</v>
      </c>
      <c r="E32" s="30">
        <v>949</v>
      </c>
      <c r="F32" s="25">
        <v>205.52</v>
      </c>
      <c r="G32" s="11">
        <v>242.96</v>
      </c>
      <c r="H32" s="9">
        <v>53</v>
      </c>
      <c r="I32" s="24">
        <v>0</v>
      </c>
      <c r="J32" s="1">
        <v>0</v>
      </c>
      <c r="K32" s="1">
        <v>0</v>
      </c>
      <c r="L32" s="24">
        <v>0</v>
      </c>
      <c r="M32" s="24">
        <f t="shared" si="0"/>
        <v>0</v>
      </c>
      <c r="N32" s="2"/>
    </row>
    <row r="33" spans="1:15" ht="21" customHeight="1">
      <c r="A33" s="8">
        <v>43463</v>
      </c>
      <c r="B33" s="58"/>
      <c r="C33" s="58"/>
      <c r="D33" s="22">
        <v>213.8</v>
      </c>
      <c r="E33" s="30">
        <v>949</v>
      </c>
      <c r="F33" s="25">
        <v>205.56</v>
      </c>
      <c r="G33" s="11">
        <v>245.43</v>
      </c>
      <c r="H33" s="9">
        <v>29</v>
      </c>
      <c r="I33" s="24">
        <v>0</v>
      </c>
      <c r="J33" s="1">
        <v>0</v>
      </c>
      <c r="K33" s="1">
        <v>0</v>
      </c>
      <c r="L33" s="24">
        <v>0</v>
      </c>
      <c r="M33" s="24">
        <f t="shared" si="0"/>
        <v>0</v>
      </c>
      <c r="N33" s="2"/>
    </row>
    <row r="34" spans="1:15" s="21" customFormat="1" ht="21" customHeight="1">
      <c r="A34" s="8">
        <v>43464</v>
      </c>
      <c r="B34" s="58"/>
      <c r="C34" s="58"/>
      <c r="D34" s="22">
        <v>213.8</v>
      </c>
      <c r="E34" s="30">
        <v>949</v>
      </c>
      <c r="F34" s="25">
        <v>205.58</v>
      </c>
      <c r="G34" s="11">
        <v>246.84</v>
      </c>
      <c r="H34" s="9">
        <v>16</v>
      </c>
      <c r="I34" s="24">
        <v>0</v>
      </c>
      <c r="J34" s="1">
        <v>0</v>
      </c>
      <c r="K34" s="1">
        <v>0</v>
      </c>
      <c r="L34" s="24">
        <v>0</v>
      </c>
      <c r="M34" s="24">
        <f t="shared" ref="M34" si="1">L34+K34+J34+I34</f>
        <v>0</v>
      </c>
      <c r="N34" s="2"/>
    </row>
    <row r="35" spans="1:15" ht="21" customHeight="1">
      <c r="A35" s="8">
        <v>43465</v>
      </c>
      <c r="B35" s="59"/>
      <c r="C35" s="59"/>
      <c r="D35" s="23">
        <v>213.8</v>
      </c>
      <c r="E35" s="30">
        <v>949</v>
      </c>
      <c r="F35" s="25">
        <v>205.61</v>
      </c>
      <c r="G35" s="11">
        <v>248.61</v>
      </c>
      <c r="H35" s="9">
        <v>20</v>
      </c>
      <c r="I35" s="24">
        <v>0</v>
      </c>
      <c r="J35" s="1">
        <v>0</v>
      </c>
      <c r="K35" s="1">
        <v>0</v>
      </c>
      <c r="L35" s="24">
        <v>0</v>
      </c>
      <c r="M35" s="24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6">
        <f>SUM(G5:G35)/31</f>
        <v>119.77096774193551</v>
      </c>
      <c r="H36" s="16">
        <f t="shared" ref="H36" si="2">SUM(H5:H35)</f>
        <v>2246</v>
      </c>
      <c r="I36" s="16">
        <f t="shared" ref="I36" si="3">SUM(I5:I35)</f>
        <v>0</v>
      </c>
      <c r="J36" s="16">
        <f t="shared" ref="J36" si="4">SUM(J5:J35)</f>
        <v>0</v>
      </c>
      <c r="K36" s="16">
        <f t="shared" ref="K36" si="5">SUM(K5:K35)</f>
        <v>0</v>
      </c>
      <c r="L36" s="16">
        <f t="shared" ref="L36" si="6">SUM(L5:L35)</f>
        <v>0</v>
      </c>
      <c r="M36" s="16">
        <f t="shared" ref="M36" si="7">SUM(M5:M35)</f>
        <v>0</v>
      </c>
      <c r="N36" s="17"/>
      <c r="O36" s="19"/>
    </row>
    <row r="37" spans="1:15" ht="47.25" customHeight="1">
      <c r="A37" s="3"/>
      <c r="B37" s="4"/>
      <c r="C37" s="5"/>
      <c r="D37" s="5"/>
      <c r="E37" s="5"/>
      <c r="F37" s="5"/>
      <c r="G37" s="5"/>
      <c r="H37" s="5">
        <f>H36/11574</f>
        <v>0.19405564195610853</v>
      </c>
      <c r="I37" s="5"/>
      <c r="J37" s="5">
        <f>J36/11574</f>
        <v>0</v>
      </c>
      <c r="K37" s="5">
        <f>K36/11574</f>
        <v>0</v>
      </c>
      <c r="L37" s="6"/>
      <c r="M37" s="6"/>
      <c r="N37" s="7"/>
    </row>
    <row r="38" spans="1:15" ht="15.75" customHeight="1">
      <c r="A38" s="60" t="s">
        <v>9</v>
      </c>
      <c r="B38" s="55"/>
      <c r="C38" s="55"/>
      <c r="D38" s="55"/>
      <c r="J38" s="60" t="s">
        <v>10</v>
      </c>
      <c r="K38" s="55"/>
      <c r="L38" s="55"/>
      <c r="M38" s="55"/>
      <c r="N38" s="7"/>
    </row>
    <row r="39" spans="1:15" ht="15.75" customHeight="1">
      <c r="A39" s="61" t="s">
        <v>16</v>
      </c>
      <c r="B39" s="55"/>
      <c r="C39" s="55"/>
      <c r="D39" s="55"/>
      <c r="J39" s="61" t="s">
        <v>16</v>
      </c>
      <c r="K39" s="55"/>
      <c r="L39" s="55"/>
      <c r="M39" s="55"/>
      <c r="N39" s="7"/>
    </row>
    <row r="40" spans="1:15" ht="15.75" customHeight="1">
      <c r="A40" s="54" t="s">
        <v>17</v>
      </c>
      <c r="B40" s="55"/>
      <c r="C40" s="55"/>
      <c r="D40" s="55"/>
      <c r="J40" s="54" t="s">
        <v>17</v>
      </c>
      <c r="K40" s="55"/>
      <c r="L40" s="55"/>
      <c r="M40" s="55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  <mergeCell ref="E3:E4"/>
  </mergeCells>
  <pageMargins left="0.7" right="0.7" top="0.75" bottom="0.75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 2018 </vt:lpstr>
      <vt:lpstr>FEBRUARY 2018</vt:lpstr>
      <vt:lpstr>MARCH 2018</vt:lpstr>
      <vt:lpstr>APRIL 2018</vt:lpstr>
      <vt:lpstr>MAY 2018</vt:lpstr>
      <vt:lpstr>JUNE 2018</vt:lpstr>
      <vt:lpstr>JULY 2018 </vt:lpstr>
      <vt:lpstr>AUGUST 2018</vt:lpstr>
      <vt:lpstr>SEPTEMBER 2018</vt:lpstr>
      <vt:lpstr>OCTOBER 2018</vt:lpstr>
      <vt:lpstr>NOVEMBER 2018 </vt:lpstr>
      <vt:lpstr>DECEMBER 2018</vt:lpstr>
      <vt:lpstr>'JANUARY 2018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2024-04-26T09:51:23Z</dcterms:modified>
</cp:coreProperties>
</file>