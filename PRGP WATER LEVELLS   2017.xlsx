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 firstSheet="4" activeTab="8"/>
  </bookViews>
  <sheets>
    <sheet name="JANUARY 2017 " sheetId="12" r:id="rId1"/>
    <sheet name="FEBRUARY 2017" sheetId="11" r:id="rId2"/>
    <sheet name="MARCH 2017" sheetId="10" r:id="rId3"/>
    <sheet name="APRIL 2017" sheetId="9" r:id="rId4"/>
    <sheet name="MAY 2017" sheetId="8" r:id="rId5"/>
    <sheet name="JUNE 2017" sheetId="7" r:id="rId6"/>
    <sheet name="JULY 2017 " sheetId="6" r:id="rId7"/>
    <sheet name="AUGUST 2017" sheetId="5" r:id="rId8"/>
    <sheet name="SEPTEMBER 2017" sheetId="4" r:id="rId9"/>
    <sheet name="OCTOBER 2017" sheetId="3" r:id="rId10"/>
    <sheet name="NOVEMBER 2017 " sheetId="2" r:id="rId11"/>
    <sheet name="DECEMBER 2017" sheetId="1" r:id="rId12"/>
  </sheets>
  <calcPr calcId="124519"/>
</workbook>
</file>

<file path=xl/calcChain.xml><?xml version="1.0" encoding="utf-8"?>
<calcChain xmlns="http://schemas.openxmlformats.org/spreadsheetml/2006/main">
  <c r="H36" i="12"/>
  <c r="H37" s="1"/>
  <c r="I36"/>
  <c r="J36"/>
  <c r="J37" s="1"/>
  <c r="K36"/>
  <c r="K37" s="1"/>
  <c r="L36"/>
  <c r="M36"/>
  <c r="I36" i="8"/>
  <c r="J36"/>
  <c r="K36"/>
  <c r="L36"/>
  <c r="M36"/>
  <c r="I35" i="9"/>
  <c r="J35"/>
  <c r="K35"/>
  <c r="L35"/>
  <c r="M35"/>
  <c r="I36" i="10"/>
  <c r="J36"/>
  <c r="K36"/>
  <c r="L36"/>
  <c r="M36"/>
  <c r="I33" i="11"/>
  <c r="J33"/>
  <c r="K33"/>
  <c r="L33"/>
  <c r="M33"/>
  <c r="I36" i="1"/>
  <c r="J36"/>
  <c r="K36"/>
  <c r="L36"/>
  <c r="M35" i="2"/>
  <c r="I35"/>
  <c r="J35"/>
  <c r="K35"/>
  <c r="L35"/>
  <c r="I36" i="3"/>
  <c r="J36"/>
  <c r="K36"/>
  <c r="L36"/>
  <c r="I35" i="4"/>
  <c r="J35"/>
  <c r="K35"/>
  <c r="L35"/>
  <c r="L36" i="5"/>
  <c r="I35" i="7"/>
  <c r="J35"/>
  <c r="K35"/>
  <c r="L35"/>
  <c r="M6" i="12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5"/>
  <c r="M5" i="11"/>
  <c r="M12" i="5"/>
  <c r="K34" i="11" l="1"/>
  <c r="J34"/>
  <c r="H33"/>
  <c r="H34" s="1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K37" i="10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9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8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7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s="1"/>
  <c r="K37" i="6"/>
  <c r="J37"/>
  <c r="H37"/>
  <c r="K36"/>
  <c r="J36"/>
  <c r="H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5"/>
  <c r="K37" s="1"/>
  <c r="J36"/>
  <c r="J37" s="1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1"/>
  <c r="M10"/>
  <c r="M9"/>
  <c r="M8"/>
  <c r="M7"/>
  <c r="M6"/>
  <c r="M5"/>
  <c r="M36" s="1"/>
  <c r="K36" i="4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H37" i="3"/>
  <c r="K37"/>
  <c r="J37"/>
  <c r="H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2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H36" i="1"/>
  <c r="H37" s="1"/>
  <c r="J37"/>
  <c r="K37"/>
  <c r="M36" i="3" l="1"/>
  <c r="M35" i="4"/>
  <c r="M34" i="1"/>
  <c r="M6"/>
  <c r="M7"/>
  <c r="M8"/>
  <c r="M9"/>
  <c r="M10"/>
  <c r="M11"/>
  <c r="M36" s="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5"/>
  <c r="M5"/>
</calcChain>
</file>

<file path=xl/sharedStrings.xml><?xml version="1.0" encoding="utf-8"?>
<sst xmlns="http://schemas.openxmlformats.org/spreadsheetml/2006/main" count="288" uniqueCount="33">
  <si>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</si>
  <si>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</si>
  <si>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</si>
  <si>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</si>
  <si>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</si>
  <si>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</si>
  <si>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</si>
  <si>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</si>
  <si>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</si>
  <si>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</si>
  <si>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</si>
  <si>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</si>
  <si>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</si>
  <si>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</si>
  <si>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</si>
  <si>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</si>
  <si>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</si>
  <si>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</si>
  <si>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</si>
  <si>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</si>
  <si>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Gross Capacity in Mcft</t>
  </si>
  <si>
    <t>RIVER DISCHARGE PARTICULARS OF PEDDAGEDDA RESERVOIR PROJECT FOR THE MONTH OF DECEMBER, 2017</t>
  </si>
  <si>
    <t>RIVER DISCHARGE PARTICULARS OF PEDDAGEDDA RESERVOIR PROJECT FOR THE MONTH OF JANUARY, 2017</t>
  </si>
  <si>
    <t>RIVER DISCHARGE PARTICULARS OF PEDDAGEDDA RESERVOIR PROJECT FOR THE MONTH OF FEBRUARY , 2017</t>
  </si>
  <si>
    <t>RIVER DISCHARGE PARTICULARS OF PEDDAGEDDA RESERVOIR PROJECT FOR THE MONTH OF MARCH, 2017</t>
  </si>
  <si>
    <t>RIVER DISCHARGE PARTICULARS OF PEDDAGEDDA RESERVOIR PROJECT FOR THE MONTH OF APRIL , 2017</t>
  </si>
  <si>
    <t>RIVER DISCHARGE PARTICULARS OF PEDDAGEDDA RESERVOIR PROJECT FOR THE MONTH OF MAY, 2017</t>
  </si>
  <si>
    <t>RIVER DISCHARGE PARTICULARS OF PEDDAGEDDA RESERVOIR PROJECT FOR THE MONTH OF JUNE, 2017</t>
  </si>
  <si>
    <t>RIVER DISCHARGE PARTICULARS OF PEDDAGEDDA RESERVOIR PROJECT FOR THE MONTH OF JULY, 2017</t>
  </si>
  <si>
    <t>RIVER DISCHARGE PARTICULARS OF PEDDAGEDDA RESERVOIR PROJECT FOR THE MONTH OF  AUGUST , 2017</t>
  </si>
  <si>
    <t>RIVER DISCHARGE PARTICULARS OF PEDDAGEDDA RESERVOIR PROJECT FOR THE MONTH OF SEPTEMBER, 2017</t>
  </si>
  <si>
    <t>RIVER DISCHARGE PARTICULARS OF PEDDAGEDDA RESERVOIR PROJECT FOR THE MONTH OF OCTOBER, 2017</t>
  </si>
  <si>
    <t>RIVER DISCHARGE PARTICULARS OF PEDDAGEDDA RESERVOIR PROJECT FOR THE MONTH OF NOVEMBER, 2017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</si>
</sst>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dd/mm/yyyy;@"/>
  </numFmts>
  <fonts count="12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164" fontId="6" fillId="0" borderId="16" xfId="0" quotePrefix="1" applyNumberFormat="1" applyFont="1" applyBorder="1" applyAlignment="1">
      <alignment horizontal="center" vertical="center" wrapText="1"/>
    </xf>
    <xf numFmtId="164" fontId="6" fillId="0" borderId="15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/>
    <xf numFmtId="164" fontId="6" fillId="0" borderId="13" xfId="0" quotePrefix="1" applyNumberFormat="1" applyFont="1" applyBorder="1" applyAlignment="1">
      <alignment horizontal="center" vertical="center" wrapText="1"/>
    </xf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0" xfId="0" quotePrefix="1" applyNumberFormat="1" applyFont="1" applyBorder="1" applyAlignment="1">
      <alignment horizontal="center" vertical="center" wrapText="1"/>
    </xf>
    <xf numFmtId="166" fontId="5" fillId="0" borderId="13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wrapText="1"/>
    </xf>
    <xf numFmtId="165" fontId="5" fillId="0" borderId="13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  <xf numFmtId="0" fontId="2" fillId="0" borderId="12" xfId="0" applyFont="1" applyBorder="1"/>
    <xf numFmtId="0" fontId="2" fillId="0" borderId="14" xfId="0" applyFon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6" zoomScale="60" workbookViewId="0">
      <selection activeCell="H36" sqref="H36:M37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59"/>
      <c r="B4" s="59"/>
      <c r="C4" s="59"/>
      <c r="D4" s="5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8">
        <v>42736</v>
      </c>
      <c r="B5" s="68" t="s">
        <v>11</v>
      </c>
      <c r="C5" s="68" t="s">
        <v>12</v>
      </c>
      <c r="D5" s="21">
        <v>213.8</v>
      </c>
      <c r="E5" s="27">
        <v>949</v>
      </c>
      <c r="F5" s="33">
        <v>211.26</v>
      </c>
      <c r="G5" s="33">
        <v>683</v>
      </c>
      <c r="H5" s="33">
        <v>0</v>
      </c>
      <c r="I5" s="23">
        <v>0</v>
      </c>
      <c r="J5" s="34">
        <v>0</v>
      </c>
      <c r="K5" s="33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42737</v>
      </c>
      <c r="B6" s="69"/>
      <c r="C6" s="69"/>
      <c r="D6" s="21">
        <v>213.8</v>
      </c>
      <c r="E6" s="27">
        <v>949</v>
      </c>
      <c r="F6" s="33">
        <v>211.28</v>
      </c>
      <c r="G6" s="33">
        <v>685</v>
      </c>
      <c r="H6" s="33">
        <v>24</v>
      </c>
      <c r="I6" s="23">
        <v>0</v>
      </c>
      <c r="J6" s="34">
        <v>0</v>
      </c>
      <c r="K6" s="33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42738</v>
      </c>
      <c r="B7" s="69"/>
      <c r="C7" s="69"/>
      <c r="D7" s="21">
        <v>213.8</v>
      </c>
      <c r="E7" s="27">
        <v>949</v>
      </c>
      <c r="F7" s="33">
        <v>211.28</v>
      </c>
      <c r="G7" s="33">
        <v>685</v>
      </c>
      <c r="H7" s="33">
        <v>0</v>
      </c>
      <c r="I7" s="23">
        <v>0</v>
      </c>
      <c r="J7" s="34">
        <v>0</v>
      </c>
      <c r="K7" s="33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42739</v>
      </c>
      <c r="B8" s="69"/>
      <c r="C8" s="69"/>
      <c r="D8" s="21">
        <v>213.8</v>
      </c>
      <c r="E8" s="27">
        <v>949</v>
      </c>
      <c r="F8" s="33">
        <v>211.29</v>
      </c>
      <c r="G8" s="33">
        <v>686</v>
      </c>
      <c r="H8" s="33">
        <v>12</v>
      </c>
      <c r="I8" s="23">
        <v>0</v>
      </c>
      <c r="J8" s="34">
        <v>0</v>
      </c>
      <c r="K8" s="33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42740</v>
      </c>
      <c r="B9" s="69"/>
      <c r="C9" s="69"/>
      <c r="D9" s="21">
        <v>213.8</v>
      </c>
      <c r="E9" s="27">
        <v>949</v>
      </c>
      <c r="F9" s="33">
        <v>211.3</v>
      </c>
      <c r="G9" s="33">
        <v>687</v>
      </c>
      <c r="H9" s="33">
        <v>12</v>
      </c>
      <c r="I9" s="23">
        <v>0</v>
      </c>
      <c r="J9" s="34">
        <v>0</v>
      </c>
      <c r="K9" s="33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42741</v>
      </c>
      <c r="B10" s="69"/>
      <c r="C10" s="69"/>
      <c r="D10" s="21">
        <v>213.8</v>
      </c>
      <c r="E10" s="27">
        <v>949</v>
      </c>
      <c r="F10" s="33">
        <v>211.28</v>
      </c>
      <c r="G10" s="33">
        <v>685</v>
      </c>
      <c r="H10" s="33">
        <v>0</v>
      </c>
      <c r="I10" s="23">
        <v>0</v>
      </c>
      <c r="J10" s="34">
        <v>0</v>
      </c>
      <c r="K10" s="33">
        <v>10</v>
      </c>
      <c r="L10" s="23">
        <v>0</v>
      </c>
      <c r="M10" s="23">
        <f t="shared" si="0"/>
        <v>10</v>
      </c>
      <c r="N10" s="2"/>
    </row>
    <row r="11" spans="1:14" ht="19.5" customHeight="1">
      <c r="A11" s="8">
        <v>42742</v>
      </c>
      <c r="B11" s="69"/>
      <c r="C11" s="69"/>
      <c r="D11" s="21">
        <v>213.8</v>
      </c>
      <c r="E11" s="27">
        <v>949</v>
      </c>
      <c r="F11" s="33">
        <v>211.2</v>
      </c>
      <c r="G11" s="33">
        <v>677</v>
      </c>
      <c r="H11" s="33">
        <v>0</v>
      </c>
      <c r="I11" s="23">
        <v>0</v>
      </c>
      <c r="J11" s="34">
        <v>20</v>
      </c>
      <c r="K11" s="33">
        <v>10</v>
      </c>
      <c r="L11" s="23">
        <v>0</v>
      </c>
      <c r="M11" s="23">
        <f t="shared" si="0"/>
        <v>30</v>
      </c>
      <c r="N11" s="2"/>
    </row>
    <row r="12" spans="1:14" ht="19.5" customHeight="1">
      <c r="A12" s="8">
        <v>42743</v>
      </c>
      <c r="B12" s="69"/>
      <c r="C12" s="69"/>
      <c r="D12" s="21">
        <v>213.8</v>
      </c>
      <c r="E12" s="27">
        <v>949</v>
      </c>
      <c r="F12" s="33">
        <v>211.14</v>
      </c>
      <c r="G12" s="33">
        <v>670</v>
      </c>
      <c r="H12" s="33">
        <v>0</v>
      </c>
      <c r="I12" s="23">
        <v>0</v>
      </c>
      <c r="J12" s="34">
        <v>10</v>
      </c>
      <c r="K12" s="33">
        <v>20</v>
      </c>
      <c r="L12" s="23">
        <v>0</v>
      </c>
      <c r="M12" s="23">
        <f t="shared" si="0"/>
        <v>30</v>
      </c>
      <c r="N12" s="2"/>
    </row>
    <row r="13" spans="1:14" ht="19.5" customHeight="1">
      <c r="A13" s="8">
        <v>42744</v>
      </c>
      <c r="B13" s="69"/>
      <c r="C13" s="69"/>
      <c r="D13" s="21">
        <v>213.8</v>
      </c>
      <c r="E13" s="27">
        <v>949</v>
      </c>
      <c r="F13" s="33">
        <v>211.09</v>
      </c>
      <c r="G13" s="33">
        <v>665</v>
      </c>
      <c r="H13" s="33">
        <v>0</v>
      </c>
      <c r="I13" s="23">
        <v>0</v>
      </c>
      <c r="J13" s="34">
        <v>10</v>
      </c>
      <c r="K13" s="33">
        <v>20</v>
      </c>
      <c r="L13" s="23">
        <v>0</v>
      </c>
      <c r="M13" s="23">
        <f t="shared" si="0"/>
        <v>30</v>
      </c>
      <c r="N13" s="2"/>
    </row>
    <row r="14" spans="1:14" ht="19.5" customHeight="1">
      <c r="A14" s="8">
        <v>42745</v>
      </c>
      <c r="B14" s="69"/>
      <c r="C14" s="69"/>
      <c r="D14" s="21">
        <v>213.8</v>
      </c>
      <c r="E14" s="27">
        <v>949</v>
      </c>
      <c r="F14" s="33">
        <v>211.04</v>
      </c>
      <c r="G14" s="33">
        <v>660</v>
      </c>
      <c r="H14" s="33">
        <v>0</v>
      </c>
      <c r="I14" s="23">
        <v>0</v>
      </c>
      <c r="J14" s="34">
        <v>20</v>
      </c>
      <c r="K14" s="33">
        <v>20</v>
      </c>
      <c r="L14" s="23">
        <v>0</v>
      </c>
      <c r="M14" s="23">
        <f t="shared" si="0"/>
        <v>40</v>
      </c>
      <c r="N14" s="2"/>
    </row>
    <row r="15" spans="1:14" ht="19.5" customHeight="1">
      <c r="A15" s="8">
        <v>42746</v>
      </c>
      <c r="B15" s="69"/>
      <c r="C15" s="69"/>
      <c r="D15" s="21">
        <v>213.8</v>
      </c>
      <c r="E15" s="27">
        <v>949</v>
      </c>
      <c r="F15" s="33">
        <v>210.95</v>
      </c>
      <c r="G15" s="33">
        <v>653</v>
      </c>
      <c r="H15" s="33">
        <v>0</v>
      </c>
      <c r="I15" s="23">
        <v>0</v>
      </c>
      <c r="J15" s="34">
        <v>20</v>
      </c>
      <c r="K15" s="33">
        <v>20</v>
      </c>
      <c r="L15" s="23">
        <v>0</v>
      </c>
      <c r="M15" s="23">
        <f t="shared" si="0"/>
        <v>40</v>
      </c>
      <c r="N15" s="2"/>
    </row>
    <row r="16" spans="1:14" ht="19.5" customHeight="1">
      <c r="A16" s="8">
        <v>42747</v>
      </c>
      <c r="B16" s="69"/>
      <c r="C16" s="69"/>
      <c r="D16" s="21">
        <v>213.8</v>
      </c>
      <c r="E16" s="27">
        <v>949</v>
      </c>
      <c r="F16" s="33">
        <v>210.89</v>
      </c>
      <c r="G16" s="33">
        <v>697</v>
      </c>
      <c r="H16" s="33">
        <v>0</v>
      </c>
      <c r="I16" s="23">
        <v>0</v>
      </c>
      <c r="J16" s="34">
        <v>20</v>
      </c>
      <c r="K16" s="33">
        <v>20</v>
      </c>
      <c r="L16" s="23">
        <v>0</v>
      </c>
      <c r="M16" s="23">
        <f t="shared" si="0"/>
        <v>40</v>
      </c>
      <c r="N16" s="2"/>
    </row>
    <row r="17" spans="1:15" ht="19.5" customHeight="1">
      <c r="A17" s="8">
        <v>42748</v>
      </c>
      <c r="B17" s="69"/>
      <c r="C17" s="69"/>
      <c r="D17" s="21">
        <v>213.8</v>
      </c>
      <c r="E17" s="27">
        <v>949</v>
      </c>
      <c r="F17" s="33">
        <v>210.83</v>
      </c>
      <c r="G17" s="33">
        <v>639</v>
      </c>
      <c r="H17" s="33">
        <v>0</v>
      </c>
      <c r="I17" s="23">
        <v>0</v>
      </c>
      <c r="J17" s="34">
        <v>20</v>
      </c>
      <c r="K17" s="33">
        <v>20</v>
      </c>
      <c r="L17" s="23">
        <v>0</v>
      </c>
      <c r="M17" s="23">
        <f t="shared" si="0"/>
        <v>40</v>
      </c>
      <c r="N17" s="2"/>
    </row>
    <row r="18" spans="1:15" ht="19.5" customHeight="1">
      <c r="A18" s="8">
        <v>42749</v>
      </c>
      <c r="B18" s="69"/>
      <c r="C18" s="69"/>
      <c r="D18" s="21">
        <v>213.8</v>
      </c>
      <c r="E18" s="27">
        <v>949</v>
      </c>
      <c r="F18" s="33">
        <v>210.75</v>
      </c>
      <c r="G18" s="33">
        <v>632</v>
      </c>
      <c r="H18" s="33">
        <v>0</v>
      </c>
      <c r="I18" s="23">
        <v>0</v>
      </c>
      <c r="J18" s="34">
        <v>20</v>
      </c>
      <c r="K18" s="33">
        <v>20</v>
      </c>
      <c r="L18" s="23">
        <v>0</v>
      </c>
      <c r="M18" s="23">
        <f t="shared" si="0"/>
        <v>40</v>
      </c>
      <c r="N18" s="2"/>
    </row>
    <row r="19" spans="1:15" ht="19.5" customHeight="1">
      <c r="A19" s="8">
        <v>42750</v>
      </c>
      <c r="B19" s="69"/>
      <c r="C19" s="69"/>
      <c r="D19" s="21">
        <v>213.8</v>
      </c>
      <c r="E19" s="27">
        <v>949</v>
      </c>
      <c r="F19" s="33">
        <v>210.7</v>
      </c>
      <c r="G19" s="33">
        <v>628</v>
      </c>
      <c r="H19" s="33">
        <v>0</v>
      </c>
      <c r="I19" s="23">
        <v>0</v>
      </c>
      <c r="J19" s="34">
        <v>20</v>
      </c>
      <c r="K19" s="33">
        <v>20</v>
      </c>
      <c r="L19" s="23">
        <v>0</v>
      </c>
      <c r="M19" s="23">
        <f t="shared" si="0"/>
        <v>40</v>
      </c>
      <c r="N19" s="2"/>
    </row>
    <row r="20" spans="1:15" ht="19.5" customHeight="1">
      <c r="A20" s="8">
        <v>42751</v>
      </c>
      <c r="B20" s="69"/>
      <c r="C20" s="69"/>
      <c r="D20" s="21">
        <v>213.8</v>
      </c>
      <c r="E20" s="27">
        <v>949</v>
      </c>
      <c r="F20" s="33">
        <v>210.64</v>
      </c>
      <c r="G20" s="33">
        <v>622</v>
      </c>
      <c r="H20" s="33">
        <v>0</v>
      </c>
      <c r="I20" s="23">
        <v>0</v>
      </c>
      <c r="J20" s="34">
        <v>20</v>
      </c>
      <c r="K20" s="33">
        <v>20</v>
      </c>
      <c r="L20" s="23">
        <v>0</v>
      </c>
      <c r="M20" s="23">
        <f t="shared" si="0"/>
        <v>40</v>
      </c>
      <c r="N20" s="2"/>
    </row>
    <row r="21" spans="1:15" ht="19.5" customHeight="1">
      <c r="A21" s="8">
        <v>42752</v>
      </c>
      <c r="B21" s="69"/>
      <c r="C21" s="69"/>
      <c r="D21" s="21">
        <v>213.8</v>
      </c>
      <c r="E21" s="27">
        <v>949</v>
      </c>
      <c r="F21" s="33">
        <v>210.58</v>
      </c>
      <c r="G21" s="33">
        <v>616</v>
      </c>
      <c r="H21" s="33">
        <v>0</v>
      </c>
      <c r="I21" s="23">
        <v>0</v>
      </c>
      <c r="J21" s="34">
        <v>20</v>
      </c>
      <c r="K21" s="33">
        <v>20</v>
      </c>
      <c r="L21" s="23">
        <v>0</v>
      </c>
      <c r="M21" s="23">
        <f t="shared" si="0"/>
        <v>40</v>
      </c>
      <c r="N21" s="2"/>
    </row>
    <row r="22" spans="1:15" ht="19.5" customHeight="1">
      <c r="A22" s="8">
        <v>42753</v>
      </c>
      <c r="B22" s="69"/>
      <c r="C22" s="69"/>
      <c r="D22" s="21">
        <v>213.8</v>
      </c>
      <c r="E22" s="27">
        <v>949</v>
      </c>
      <c r="F22" s="33">
        <v>210.5</v>
      </c>
      <c r="G22" s="33">
        <v>609</v>
      </c>
      <c r="H22" s="33">
        <v>0</v>
      </c>
      <c r="I22" s="23">
        <v>0</v>
      </c>
      <c r="J22" s="34">
        <v>20</v>
      </c>
      <c r="K22" s="33">
        <v>20</v>
      </c>
      <c r="L22" s="23">
        <v>0</v>
      </c>
      <c r="M22" s="23">
        <f t="shared" si="0"/>
        <v>40</v>
      </c>
      <c r="N22" s="2"/>
    </row>
    <row r="23" spans="1:15" ht="19.5" customHeight="1">
      <c r="A23" s="8">
        <v>42754</v>
      </c>
      <c r="B23" s="69"/>
      <c r="C23" s="69"/>
      <c r="D23" s="21">
        <v>213.8</v>
      </c>
      <c r="E23" s="27">
        <v>949</v>
      </c>
      <c r="F23" s="33">
        <v>210.46</v>
      </c>
      <c r="G23" s="33">
        <v>605</v>
      </c>
      <c r="H23" s="33">
        <v>0</v>
      </c>
      <c r="I23" s="23">
        <v>0</v>
      </c>
      <c r="J23" s="34">
        <v>20</v>
      </c>
      <c r="K23" s="33">
        <v>20</v>
      </c>
      <c r="L23" s="23">
        <v>0</v>
      </c>
      <c r="M23" s="23">
        <f t="shared" si="0"/>
        <v>40</v>
      </c>
      <c r="N23" s="2"/>
    </row>
    <row r="24" spans="1:15" ht="19.5" customHeight="1">
      <c r="A24" s="8">
        <v>42755</v>
      </c>
      <c r="B24" s="69"/>
      <c r="C24" s="69"/>
      <c r="D24" s="21">
        <v>213.8</v>
      </c>
      <c r="E24" s="27">
        <v>949</v>
      </c>
      <c r="F24" s="33">
        <v>210.43</v>
      </c>
      <c r="G24" s="33">
        <v>603</v>
      </c>
      <c r="H24" s="33">
        <v>0</v>
      </c>
      <c r="I24" s="23">
        <v>0</v>
      </c>
      <c r="J24" s="34">
        <v>20</v>
      </c>
      <c r="K24" s="33">
        <v>20</v>
      </c>
      <c r="L24" s="23">
        <v>0</v>
      </c>
      <c r="M24" s="23">
        <f t="shared" si="0"/>
        <v>40</v>
      </c>
      <c r="N24" s="2"/>
    </row>
    <row r="25" spans="1:15" ht="19.5" customHeight="1">
      <c r="A25" s="8">
        <v>42756</v>
      </c>
      <c r="B25" s="69"/>
      <c r="C25" s="69"/>
      <c r="D25" s="21">
        <v>213.8</v>
      </c>
      <c r="E25" s="27">
        <v>949</v>
      </c>
      <c r="F25" s="33">
        <v>210.35</v>
      </c>
      <c r="G25" s="33">
        <v>596</v>
      </c>
      <c r="H25" s="33">
        <v>0</v>
      </c>
      <c r="I25" s="23">
        <v>0</v>
      </c>
      <c r="J25" s="34">
        <v>20</v>
      </c>
      <c r="K25" s="33">
        <v>20</v>
      </c>
      <c r="L25" s="23">
        <v>0</v>
      </c>
      <c r="M25" s="23">
        <f t="shared" si="0"/>
        <v>40</v>
      </c>
      <c r="N25" s="2"/>
    </row>
    <row r="26" spans="1:15" ht="19.5" customHeight="1">
      <c r="A26" s="8">
        <v>42757</v>
      </c>
      <c r="B26" s="69"/>
      <c r="C26" s="69"/>
      <c r="D26" s="21">
        <v>213.8</v>
      </c>
      <c r="E26" s="27">
        <v>949</v>
      </c>
      <c r="F26" s="33">
        <v>210.32</v>
      </c>
      <c r="G26" s="33">
        <v>593</v>
      </c>
      <c r="H26" s="33">
        <v>0</v>
      </c>
      <c r="I26" s="23">
        <v>0</v>
      </c>
      <c r="J26" s="34">
        <v>20</v>
      </c>
      <c r="K26" s="33">
        <v>20</v>
      </c>
      <c r="L26" s="23">
        <v>0</v>
      </c>
      <c r="M26" s="23">
        <f t="shared" si="0"/>
        <v>40</v>
      </c>
      <c r="N26" s="2"/>
      <c r="O26" s="17"/>
    </row>
    <row r="27" spans="1:15" ht="19.5" customHeight="1">
      <c r="A27" s="8">
        <v>42758</v>
      </c>
      <c r="B27" s="69"/>
      <c r="C27" s="69"/>
      <c r="D27" s="21">
        <v>213.8</v>
      </c>
      <c r="E27" s="27">
        <v>949</v>
      </c>
      <c r="F27" s="33">
        <v>210.28</v>
      </c>
      <c r="G27" s="33">
        <v>590</v>
      </c>
      <c r="H27" s="33">
        <v>0</v>
      </c>
      <c r="I27" s="23">
        <v>0</v>
      </c>
      <c r="J27" s="34">
        <v>20</v>
      </c>
      <c r="K27" s="33">
        <v>20</v>
      </c>
      <c r="L27" s="23">
        <v>0</v>
      </c>
      <c r="M27" s="23">
        <f t="shared" si="0"/>
        <v>40</v>
      </c>
      <c r="N27" s="2"/>
    </row>
    <row r="28" spans="1:15" ht="19.5" customHeight="1">
      <c r="A28" s="8">
        <v>42759</v>
      </c>
      <c r="B28" s="69"/>
      <c r="C28" s="69"/>
      <c r="D28" s="21">
        <v>213.8</v>
      </c>
      <c r="E28" s="27">
        <v>949</v>
      </c>
      <c r="F28" s="33">
        <v>210.25</v>
      </c>
      <c r="G28" s="33">
        <v>587</v>
      </c>
      <c r="H28" s="33">
        <v>0</v>
      </c>
      <c r="I28" s="23">
        <v>0</v>
      </c>
      <c r="J28" s="34"/>
      <c r="K28" s="33">
        <v>20</v>
      </c>
      <c r="L28" s="23">
        <v>0</v>
      </c>
      <c r="M28" s="23">
        <f t="shared" si="0"/>
        <v>20</v>
      </c>
      <c r="N28" s="2"/>
    </row>
    <row r="29" spans="1:15" ht="19.5" customHeight="1">
      <c r="A29" s="8">
        <v>42760</v>
      </c>
      <c r="B29" s="69"/>
      <c r="C29" s="69"/>
      <c r="D29" s="21">
        <v>213.8</v>
      </c>
      <c r="E29" s="27">
        <v>949</v>
      </c>
      <c r="F29" s="33">
        <v>210.24</v>
      </c>
      <c r="G29" s="33">
        <v>586</v>
      </c>
      <c r="H29" s="33">
        <v>10</v>
      </c>
      <c r="I29" s="23">
        <v>0</v>
      </c>
      <c r="J29" s="34"/>
      <c r="K29" s="33">
        <v>20</v>
      </c>
      <c r="L29" s="23">
        <v>0</v>
      </c>
      <c r="M29" s="23">
        <f t="shared" si="0"/>
        <v>20</v>
      </c>
      <c r="N29" s="2"/>
    </row>
    <row r="30" spans="1:15" ht="19.5" customHeight="1">
      <c r="A30" s="8">
        <v>42761</v>
      </c>
      <c r="B30" s="69"/>
      <c r="C30" s="69"/>
      <c r="D30" s="21">
        <v>213.8</v>
      </c>
      <c r="E30" s="27">
        <v>949</v>
      </c>
      <c r="F30" s="33">
        <v>210.2</v>
      </c>
      <c r="G30" s="33">
        <v>583</v>
      </c>
      <c r="H30" s="33">
        <v>0</v>
      </c>
      <c r="I30" s="23">
        <v>0</v>
      </c>
      <c r="J30" s="34"/>
      <c r="K30" s="33">
        <v>20</v>
      </c>
      <c r="L30" s="23">
        <v>0</v>
      </c>
      <c r="M30" s="23">
        <f t="shared" si="0"/>
        <v>20</v>
      </c>
      <c r="N30" s="2"/>
    </row>
    <row r="31" spans="1:15" ht="21" customHeight="1">
      <c r="A31" s="8">
        <v>42762</v>
      </c>
      <c r="B31" s="69"/>
      <c r="C31" s="69"/>
      <c r="D31" s="21">
        <v>213.8</v>
      </c>
      <c r="E31" s="27">
        <v>949</v>
      </c>
      <c r="F31" s="33">
        <v>210.17</v>
      </c>
      <c r="G31" s="33">
        <v>580</v>
      </c>
      <c r="H31" s="33">
        <v>0</v>
      </c>
      <c r="I31" s="23">
        <v>0</v>
      </c>
      <c r="J31" s="34">
        <v>20</v>
      </c>
      <c r="K31" s="33">
        <v>20</v>
      </c>
      <c r="L31" s="23">
        <v>0</v>
      </c>
      <c r="M31" s="23">
        <f t="shared" si="0"/>
        <v>40</v>
      </c>
      <c r="N31" s="2"/>
    </row>
    <row r="32" spans="1:15" ht="21" customHeight="1">
      <c r="A32" s="8">
        <v>42763</v>
      </c>
      <c r="B32" s="69"/>
      <c r="C32" s="69"/>
      <c r="D32" s="21">
        <v>213.8</v>
      </c>
      <c r="E32" s="27">
        <v>949</v>
      </c>
      <c r="F32" s="33">
        <v>210.14</v>
      </c>
      <c r="G32" s="33">
        <v>578</v>
      </c>
      <c r="H32" s="33">
        <v>0</v>
      </c>
      <c r="I32" s="23">
        <v>0</v>
      </c>
      <c r="J32" s="34">
        <v>20</v>
      </c>
      <c r="K32" s="33">
        <v>20</v>
      </c>
      <c r="L32" s="23">
        <v>0</v>
      </c>
      <c r="M32" s="23">
        <f t="shared" si="0"/>
        <v>40</v>
      </c>
      <c r="N32" s="2"/>
    </row>
    <row r="33" spans="1:15" ht="21" customHeight="1">
      <c r="A33" s="8">
        <v>42764</v>
      </c>
      <c r="B33" s="69"/>
      <c r="C33" s="69"/>
      <c r="D33" s="21">
        <v>213.8</v>
      </c>
      <c r="E33" s="27">
        <v>949</v>
      </c>
      <c r="F33" s="33">
        <v>210.11</v>
      </c>
      <c r="G33" s="33">
        <v>575</v>
      </c>
      <c r="H33" s="33">
        <v>0</v>
      </c>
      <c r="I33" s="23">
        <v>0</v>
      </c>
      <c r="J33" s="34">
        <v>20</v>
      </c>
      <c r="K33" s="33">
        <v>20</v>
      </c>
      <c r="L33" s="23">
        <v>0</v>
      </c>
      <c r="M33" s="23">
        <f t="shared" si="0"/>
        <v>40</v>
      </c>
      <c r="N33" s="2"/>
    </row>
    <row r="34" spans="1:15" ht="21" customHeight="1">
      <c r="A34" s="8">
        <v>42765</v>
      </c>
      <c r="B34" s="69"/>
      <c r="C34" s="69"/>
      <c r="D34" s="21">
        <v>213.8</v>
      </c>
      <c r="E34" s="27">
        <v>949</v>
      </c>
      <c r="F34" s="33">
        <v>210.05</v>
      </c>
      <c r="G34" s="33">
        <v>570</v>
      </c>
      <c r="H34" s="33">
        <v>0</v>
      </c>
      <c r="I34" s="23">
        <v>0</v>
      </c>
      <c r="J34" s="34">
        <v>20</v>
      </c>
      <c r="K34" s="33">
        <v>20</v>
      </c>
      <c r="L34" s="23">
        <v>0</v>
      </c>
      <c r="M34" s="23">
        <f t="shared" si="0"/>
        <v>40</v>
      </c>
      <c r="N34" s="2"/>
    </row>
    <row r="35" spans="1:15" ht="21" customHeight="1">
      <c r="A35" s="8">
        <v>42766</v>
      </c>
      <c r="B35" s="70"/>
      <c r="C35" s="70"/>
      <c r="D35" s="22">
        <v>213.8</v>
      </c>
      <c r="E35" s="27">
        <v>949</v>
      </c>
      <c r="F35" s="33">
        <v>210</v>
      </c>
      <c r="G35" s="33">
        <v>566</v>
      </c>
      <c r="H35" s="33">
        <v>0</v>
      </c>
      <c r="I35" s="23">
        <v>0</v>
      </c>
      <c r="J35" s="34">
        <v>20</v>
      </c>
      <c r="K35" s="33">
        <v>20</v>
      </c>
      <c r="L35" s="23">
        <v>0</v>
      </c>
      <c r="M35" s="23">
        <f t="shared" si="0"/>
        <v>40</v>
      </c>
      <c r="N35" s="2"/>
    </row>
    <row r="36" spans="1:15" ht="21" customHeight="1">
      <c r="A36" s="10"/>
      <c r="B36" s="11"/>
      <c r="C36" s="11"/>
      <c r="D36" s="12"/>
      <c r="E36" s="12"/>
      <c r="F36" s="13"/>
      <c r="G36" s="12"/>
      <c r="H36" s="14">
        <f>SUM(H5:H35)</f>
        <v>58</v>
      </c>
      <c r="I36" s="14">
        <f t="shared" ref="I36:M36" si="1">SUM(I5:I35)</f>
        <v>0</v>
      </c>
      <c r="J36" s="14">
        <f t="shared" si="1"/>
        <v>420</v>
      </c>
      <c r="K36" s="14">
        <f t="shared" si="1"/>
        <v>500</v>
      </c>
      <c r="L36" s="14">
        <f t="shared" si="1"/>
        <v>0</v>
      </c>
      <c r="M36" s="14">
        <f t="shared" si="1"/>
        <v>920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5.0112320718852599E-3</v>
      </c>
      <c r="I37" s="5"/>
      <c r="J37" s="5">
        <f>J36/11574</f>
        <v>3.6288232244686365E-2</v>
      </c>
      <c r="K37" s="5">
        <f>K36/11574</f>
        <v>4.3200276481769481E-2</v>
      </c>
      <c r="L37" s="25"/>
      <c r="M37" s="25"/>
      <c r="N37" s="7"/>
    </row>
    <row r="38" spans="1:15" ht="15.75" customHeight="1">
      <c r="A38" s="71" t="s">
        <v>9</v>
      </c>
      <c r="B38" s="66"/>
      <c r="C38" s="66"/>
      <c r="D38" s="66"/>
      <c r="J38" s="71" t="s">
        <v>10</v>
      </c>
      <c r="K38" s="66"/>
      <c r="L38" s="66"/>
      <c r="M38" s="66"/>
      <c r="N38" s="7"/>
    </row>
    <row r="39" spans="1:15" ht="15.75" customHeight="1">
      <c r="A39" s="72" t="s">
        <v>16</v>
      </c>
      <c r="B39" s="66"/>
      <c r="C39" s="66"/>
      <c r="D39" s="66"/>
      <c r="J39" s="72" t="s">
        <v>16</v>
      </c>
      <c r="K39" s="66"/>
      <c r="L39" s="66"/>
      <c r="M39" s="66"/>
      <c r="N39" s="7"/>
    </row>
    <row r="40" spans="1:15" ht="15.75" customHeight="1">
      <c r="A40" s="65" t="s">
        <v>17</v>
      </c>
      <c r="B40" s="66"/>
      <c r="C40" s="66"/>
      <c r="D40" s="66"/>
      <c r="J40" s="65" t="s">
        <v>17</v>
      </c>
      <c r="K40" s="66"/>
      <c r="L40" s="66"/>
      <c r="M40" s="66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9"/>
  <sheetViews>
    <sheetView view="pageBreakPreview" topLeftCell="A10" zoomScale="60" workbookViewId="0">
      <selection activeCell="G30" sqref="G30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69"/>
      <c r="B4" s="69"/>
      <c r="C4" s="69"/>
      <c r="D4" s="69"/>
      <c r="E4" s="64"/>
      <c r="F4" s="6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30">
        <v>42767</v>
      </c>
      <c r="B5" s="73" t="s">
        <v>11</v>
      </c>
      <c r="C5" s="73" t="s">
        <v>12</v>
      </c>
      <c r="D5" s="27">
        <v>213.8</v>
      </c>
      <c r="E5" s="27">
        <v>949</v>
      </c>
      <c r="F5" s="33">
        <v>209.97</v>
      </c>
      <c r="G5" s="33">
        <v>563</v>
      </c>
      <c r="H5" s="33">
        <v>0</v>
      </c>
      <c r="I5" s="23">
        <v>0</v>
      </c>
      <c r="J5" s="34">
        <v>20</v>
      </c>
      <c r="K5" s="33">
        <v>20</v>
      </c>
      <c r="L5" s="23">
        <v>0</v>
      </c>
      <c r="M5" s="23">
        <f>L5+K5+J5+I5</f>
        <v>40</v>
      </c>
      <c r="N5" s="2"/>
    </row>
    <row r="6" spans="1:14" ht="19.5" customHeight="1">
      <c r="A6" s="30">
        <v>42768</v>
      </c>
      <c r="B6" s="74"/>
      <c r="C6" s="74"/>
      <c r="D6" s="27">
        <v>213.8</v>
      </c>
      <c r="E6" s="27">
        <v>949</v>
      </c>
      <c r="F6" s="33">
        <v>209.94</v>
      </c>
      <c r="G6" s="33">
        <v>561</v>
      </c>
      <c r="H6" s="33">
        <v>0</v>
      </c>
      <c r="I6" s="23">
        <v>0</v>
      </c>
      <c r="J6" s="34">
        <v>20</v>
      </c>
      <c r="K6" s="33">
        <v>20</v>
      </c>
      <c r="L6" s="23">
        <v>0</v>
      </c>
      <c r="M6" s="23">
        <f t="shared" ref="M6:M32" si="0">L6+K6+J6+I6</f>
        <v>40</v>
      </c>
      <c r="N6" s="2"/>
    </row>
    <row r="7" spans="1:14" ht="19.5" customHeight="1">
      <c r="A7" s="30">
        <v>42769</v>
      </c>
      <c r="B7" s="74"/>
      <c r="C7" s="74"/>
      <c r="D7" s="27">
        <v>213.8</v>
      </c>
      <c r="E7" s="27">
        <v>949</v>
      </c>
      <c r="F7" s="33">
        <v>209.89</v>
      </c>
      <c r="G7" s="33">
        <v>556</v>
      </c>
      <c r="H7" s="33">
        <v>0</v>
      </c>
      <c r="I7" s="23">
        <v>0</v>
      </c>
      <c r="J7" s="34">
        <v>20</v>
      </c>
      <c r="K7" s="33">
        <v>20</v>
      </c>
      <c r="L7" s="23">
        <v>0</v>
      </c>
      <c r="M7" s="23">
        <f t="shared" si="0"/>
        <v>40</v>
      </c>
      <c r="N7" s="2"/>
    </row>
    <row r="8" spans="1:14" ht="19.5" customHeight="1">
      <c r="A8" s="30">
        <v>42770</v>
      </c>
      <c r="B8" s="74"/>
      <c r="C8" s="74"/>
      <c r="D8" s="27">
        <v>213.8</v>
      </c>
      <c r="E8" s="27">
        <v>949</v>
      </c>
      <c r="F8" s="33">
        <v>209.87</v>
      </c>
      <c r="G8" s="33">
        <v>554</v>
      </c>
      <c r="H8" s="33">
        <v>5</v>
      </c>
      <c r="I8" s="23">
        <v>0</v>
      </c>
      <c r="J8" s="34">
        <v>20</v>
      </c>
      <c r="K8" s="33">
        <v>5</v>
      </c>
      <c r="L8" s="23">
        <v>0</v>
      </c>
      <c r="M8" s="23">
        <f t="shared" si="0"/>
        <v>25</v>
      </c>
      <c r="N8" s="2"/>
    </row>
    <row r="9" spans="1:14" ht="19.5" customHeight="1">
      <c r="A9" s="30">
        <v>42771</v>
      </c>
      <c r="B9" s="74"/>
      <c r="C9" s="74"/>
      <c r="D9" s="27">
        <v>213.8</v>
      </c>
      <c r="E9" s="27">
        <v>949</v>
      </c>
      <c r="F9" s="33">
        <v>209.84</v>
      </c>
      <c r="G9" s="33">
        <v>552</v>
      </c>
      <c r="H9" s="33">
        <v>0</v>
      </c>
      <c r="I9" s="23">
        <v>0</v>
      </c>
      <c r="J9" s="34">
        <v>20</v>
      </c>
      <c r="K9" s="33">
        <v>5</v>
      </c>
      <c r="L9" s="23">
        <v>0</v>
      </c>
      <c r="M9" s="23">
        <f t="shared" si="0"/>
        <v>25</v>
      </c>
      <c r="N9" s="2"/>
    </row>
    <row r="10" spans="1:14" ht="19.5" customHeight="1">
      <c r="A10" s="30">
        <v>42772</v>
      </c>
      <c r="B10" s="74"/>
      <c r="C10" s="74"/>
      <c r="D10" s="27">
        <v>213.8</v>
      </c>
      <c r="E10" s="27">
        <v>949</v>
      </c>
      <c r="F10" s="33">
        <v>209.82</v>
      </c>
      <c r="G10" s="33">
        <v>550</v>
      </c>
      <c r="H10" s="33">
        <v>5</v>
      </c>
      <c r="I10" s="23">
        <v>0</v>
      </c>
      <c r="J10" s="34">
        <v>5</v>
      </c>
      <c r="K10" s="33">
        <v>20</v>
      </c>
      <c r="L10" s="23">
        <v>0</v>
      </c>
      <c r="M10" s="23">
        <f t="shared" si="0"/>
        <v>25</v>
      </c>
      <c r="N10" s="2"/>
    </row>
    <row r="11" spans="1:14" ht="19.5" customHeight="1">
      <c r="A11" s="30">
        <v>42773</v>
      </c>
      <c r="B11" s="74"/>
      <c r="C11" s="74"/>
      <c r="D11" s="27">
        <v>213.8</v>
      </c>
      <c r="E11" s="27">
        <v>949</v>
      </c>
      <c r="F11" s="33">
        <v>209.77</v>
      </c>
      <c r="G11" s="33">
        <v>546</v>
      </c>
      <c r="H11" s="33">
        <v>0</v>
      </c>
      <c r="I11" s="23">
        <v>0</v>
      </c>
      <c r="J11" s="34">
        <v>20</v>
      </c>
      <c r="K11" s="33">
        <v>20</v>
      </c>
      <c r="L11" s="23">
        <v>0</v>
      </c>
      <c r="M11" s="23">
        <f t="shared" si="0"/>
        <v>40</v>
      </c>
      <c r="N11" s="2"/>
    </row>
    <row r="12" spans="1:14" ht="19.5" customHeight="1">
      <c r="A12" s="30">
        <v>42774</v>
      </c>
      <c r="B12" s="74"/>
      <c r="C12" s="74"/>
      <c r="D12" s="27">
        <v>213.8</v>
      </c>
      <c r="E12" s="27">
        <v>949</v>
      </c>
      <c r="F12" s="33">
        <v>209.7</v>
      </c>
      <c r="G12" s="33">
        <v>540</v>
      </c>
      <c r="H12" s="33">
        <v>0</v>
      </c>
      <c r="I12" s="23">
        <v>0</v>
      </c>
      <c r="J12" s="34">
        <v>20</v>
      </c>
      <c r="K12" s="33">
        <v>20</v>
      </c>
      <c r="L12" s="23">
        <v>0</v>
      </c>
      <c r="M12" s="23">
        <f t="shared" si="0"/>
        <v>40</v>
      </c>
      <c r="N12" s="2"/>
    </row>
    <row r="13" spans="1:14" ht="19.5" customHeight="1">
      <c r="A13" s="30">
        <v>42775</v>
      </c>
      <c r="B13" s="74"/>
      <c r="C13" s="74"/>
      <c r="D13" s="27">
        <v>213.8</v>
      </c>
      <c r="E13" s="27">
        <v>949</v>
      </c>
      <c r="F13" s="33">
        <v>209.67</v>
      </c>
      <c r="G13" s="33">
        <v>537</v>
      </c>
      <c r="H13" s="33"/>
      <c r="I13" s="23">
        <v>0</v>
      </c>
      <c r="J13" s="34">
        <v>20</v>
      </c>
      <c r="K13" s="33">
        <v>20</v>
      </c>
      <c r="L13" s="23">
        <v>0</v>
      </c>
      <c r="M13" s="23">
        <f t="shared" si="0"/>
        <v>40</v>
      </c>
      <c r="N13" s="2"/>
    </row>
    <row r="14" spans="1:14" ht="19.5" customHeight="1">
      <c r="A14" s="30">
        <v>42776</v>
      </c>
      <c r="B14" s="74"/>
      <c r="C14" s="74"/>
      <c r="D14" s="27">
        <v>213.8</v>
      </c>
      <c r="E14" s="27">
        <v>949</v>
      </c>
      <c r="F14" s="33">
        <v>209.62</v>
      </c>
      <c r="G14" s="33">
        <v>533</v>
      </c>
      <c r="H14" s="33">
        <v>0</v>
      </c>
      <c r="I14" s="23">
        <v>0</v>
      </c>
      <c r="J14" s="34">
        <v>20</v>
      </c>
      <c r="K14" s="33">
        <v>20</v>
      </c>
      <c r="L14" s="23">
        <v>0</v>
      </c>
      <c r="M14" s="23">
        <f t="shared" si="0"/>
        <v>40</v>
      </c>
      <c r="N14" s="2"/>
    </row>
    <row r="15" spans="1:14" ht="19.5" customHeight="1">
      <c r="A15" s="30">
        <v>42777</v>
      </c>
      <c r="B15" s="74"/>
      <c r="C15" s="74"/>
      <c r="D15" s="27">
        <v>213.8</v>
      </c>
      <c r="E15" s="27">
        <v>949</v>
      </c>
      <c r="F15" s="33">
        <v>209.55</v>
      </c>
      <c r="G15" s="33">
        <v>527</v>
      </c>
      <c r="H15" s="33">
        <v>0</v>
      </c>
      <c r="I15" s="23">
        <v>0</v>
      </c>
      <c r="J15" s="34">
        <v>20</v>
      </c>
      <c r="K15" s="33">
        <v>20</v>
      </c>
      <c r="L15" s="23">
        <v>0</v>
      </c>
      <c r="M15" s="23">
        <f t="shared" si="0"/>
        <v>40</v>
      </c>
      <c r="N15" s="2"/>
    </row>
    <row r="16" spans="1:14" ht="19.5" customHeight="1">
      <c r="A16" s="30">
        <v>42778</v>
      </c>
      <c r="B16" s="74"/>
      <c r="C16" s="74"/>
      <c r="D16" s="27">
        <v>213.8</v>
      </c>
      <c r="E16" s="27">
        <v>949</v>
      </c>
      <c r="F16" s="33">
        <v>209.49</v>
      </c>
      <c r="G16" s="33">
        <v>521</v>
      </c>
      <c r="H16" s="33">
        <v>0</v>
      </c>
      <c r="I16" s="23">
        <v>0</v>
      </c>
      <c r="J16" s="34">
        <v>20</v>
      </c>
      <c r="K16" s="33">
        <v>20</v>
      </c>
      <c r="L16" s="23">
        <v>0</v>
      </c>
      <c r="M16" s="23">
        <f t="shared" si="0"/>
        <v>40</v>
      </c>
      <c r="N16" s="2"/>
    </row>
    <row r="17" spans="1:15" ht="19.5" customHeight="1">
      <c r="A17" s="30">
        <v>42779</v>
      </c>
      <c r="B17" s="74"/>
      <c r="C17" s="74"/>
      <c r="D17" s="27">
        <v>213.8</v>
      </c>
      <c r="E17" s="27">
        <v>949</v>
      </c>
      <c r="F17" s="33">
        <v>209.43</v>
      </c>
      <c r="G17" s="33">
        <v>516</v>
      </c>
      <c r="H17" s="33">
        <v>0</v>
      </c>
      <c r="I17" s="23">
        <v>0</v>
      </c>
      <c r="J17" s="34">
        <v>20</v>
      </c>
      <c r="K17" s="33">
        <v>20</v>
      </c>
      <c r="L17" s="23">
        <v>0</v>
      </c>
      <c r="M17" s="23">
        <f t="shared" si="0"/>
        <v>40</v>
      </c>
      <c r="N17" s="2"/>
    </row>
    <row r="18" spans="1:15" ht="19.5" customHeight="1">
      <c r="A18" s="30">
        <v>42780</v>
      </c>
      <c r="B18" s="74"/>
      <c r="C18" s="74"/>
      <c r="D18" s="27">
        <v>213.8</v>
      </c>
      <c r="E18" s="27">
        <v>949</v>
      </c>
      <c r="F18" s="33">
        <v>209.35</v>
      </c>
      <c r="G18" s="33">
        <v>509</v>
      </c>
      <c r="H18" s="33">
        <v>0</v>
      </c>
      <c r="I18" s="23">
        <v>0</v>
      </c>
      <c r="J18" s="34">
        <v>20</v>
      </c>
      <c r="K18" s="33">
        <v>20</v>
      </c>
      <c r="L18" s="23">
        <v>0</v>
      </c>
      <c r="M18" s="23">
        <f t="shared" si="0"/>
        <v>40</v>
      </c>
      <c r="N18" s="2"/>
    </row>
    <row r="19" spans="1:15" ht="19.5" customHeight="1">
      <c r="A19" s="30">
        <v>42781</v>
      </c>
      <c r="B19" s="74"/>
      <c r="C19" s="74"/>
      <c r="D19" s="27">
        <v>213.8</v>
      </c>
      <c r="E19" s="27">
        <v>949</v>
      </c>
      <c r="F19" s="33">
        <v>209.32</v>
      </c>
      <c r="G19" s="33">
        <v>507</v>
      </c>
      <c r="H19" s="33">
        <v>10</v>
      </c>
      <c r="I19" s="23">
        <v>0</v>
      </c>
      <c r="J19" s="34">
        <v>20</v>
      </c>
      <c r="K19" s="33">
        <v>20</v>
      </c>
      <c r="L19" s="23">
        <v>0</v>
      </c>
      <c r="M19" s="23">
        <f t="shared" si="0"/>
        <v>40</v>
      </c>
      <c r="N19" s="2"/>
    </row>
    <row r="20" spans="1:15" ht="19.5" customHeight="1">
      <c r="A20" s="30">
        <v>42782</v>
      </c>
      <c r="B20" s="74"/>
      <c r="C20" s="74"/>
      <c r="D20" s="27">
        <v>213.8</v>
      </c>
      <c r="E20" s="27">
        <v>949</v>
      </c>
      <c r="F20" s="33">
        <v>209.24</v>
      </c>
      <c r="G20" s="33">
        <v>500</v>
      </c>
      <c r="H20" s="33">
        <v>0</v>
      </c>
      <c r="I20" s="23">
        <v>0</v>
      </c>
      <c r="J20" s="34">
        <v>20</v>
      </c>
      <c r="K20" s="33">
        <v>20</v>
      </c>
      <c r="L20" s="23">
        <v>0</v>
      </c>
      <c r="M20" s="23">
        <f t="shared" si="0"/>
        <v>40</v>
      </c>
      <c r="N20" s="2"/>
    </row>
    <row r="21" spans="1:15" ht="19.5" customHeight="1">
      <c r="A21" s="30">
        <v>42783</v>
      </c>
      <c r="B21" s="74"/>
      <c r="C21" s="74"/>
      <c r="D21" s="27">
        <v>213.8</v>
      </c>
      <c r="E21" s="27">
        <v>949</v>
      </c>
      <c r="F21" s="33">
        <v>209.19</v>
      </c>
      <c r="G21" s="33">
        <v>495</v>
      </c>
      <c r="H21" s="33">
        <v>0</v>
      </c>
      <c r="I21" s="23">
        <v>0</v>
      </c>
      <c r="J21" s="34">
        <v>20</v>
      </c>
      <c r="K21" s="33">
        <v>20</v>
      </c>
      <c r="L21" s="23">
        <v>0</v>
      </c>
      <c r="M21" s="23">
        <f t="shared" si="0"/>
        <v>40</v>
      </c>
      <c r="N21" s="2"/>
    </row>
    <row r="22" spans="1:15" ht="19.5" customHeight="1">
      <c r="A22" s="30">
        <v>42784</v>
      </c>
      <c r="B22" s="74"/>
      <c r="C22" s="74"/>
      <c r="D22" s="27">
        <v>213.8</v>
      </c>
      <c r="E22" s="27">
        <v>949</v>
      </c>
      <c r="F22" s="33">
        <v>209.18</v>
      </c>
      <c r="G22" s="33">
        <v>493</v>
      </c>
      <c r="H22" s="33">
        <v>0</v>
      </c>
      <c r="I22" s="23">
        <v>0</v>
      </c>
      <c r="J22" s="34">
        <v>0</v>
      </c>
      <c r="K22" s="33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30">
        <v>42785</v>
      </c>
      <c r="B23" s="74"/>
      <c r="C23" s="74"/>
      <c r="D23" s="27">
        <v>213.8</v>
      </c>
      <c r="E23" s="27">
        <v>949</v>
      </c>
      <c r="F23" s="33">
        <v>209.18</v>
      </c>
      <c r="G23" s="33">
        <v>493</v>
      </c>
      <c r="H23" s="33">
        <v>0</v>
      </c>
      <c r="I23" s="23">
        <v>0</v>
      </c>
      <c r="J23" s="34">
        <v>0</v>
      </c>
      <c r="K23" s="33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30">
        <v>42786</v>
      </c>
      <c r="B24" s="74"/>
      <c r="C24" s="74"/>
      <c r="D24" s="27">
        <v>213.8</v>
      </c>
      <c r="E24" s="27">
        <v>949</v>
      </c>
      <c r="F24" s="33">
        <v>209.18</v>
      </c>
      <c r="G24" s="33">
        <v>493</v>
      </c>
      <c r="H24" s="33">
        <v>40</v>
      </c>
      <c r="I24" s="23">
        <v>0</v>
      </c>
      <c r="J24" s="34">
        <v>20</v>
      </c>
      <c r="K24" s="33">
        <v>20</v>
      </c>
      <c r="L24" s="23">
        <v>0</v>
      </c>
      <c r="M24" s="23">
        <f t="shared" si="0"/>
        <v>40</v>
      </c>
      <c r="N24" s="2"/>
    </row>
    <row r="25" spans="1:15" ht="19.5" customHeight="1">
      <c r="A25" s="30">
        <v>42787</v>
      </c>
      <c r="B25" s="74"/>
      <c r="C25" s="74"/>
      <c r="D25" s="27">
        <v>213.8</v>
      </c>
      <c r="E25" s="27">
        <v>949</v>
      </c>
      <c r="F25" s="33">
        <v>209.1</v>
      </c>
      <c r="G25" s="33">
        <v>483</v>
      </c>
      <c r="H25" s="33">
        <v>40</v>
      </c>
      <c r="I25" s="23">
        <v>0</v>
      </c>
      <c r="J25" s="34">
        <v>20</v>
      </c>
      <c r="K25" s="33">
        <v>20</v>
      </c>
      <c r="L25" s="23">
        <v>0</v>
      </c>
      <c r="M25" s="23">
        <f t="shared" si="0"/>
        <v>40</v>
      </c>
      <c r="N25" s="2"/>
    </row>
    <row r="26" spans="1:15" ht="19.5" customHeight="1">
      <c r="A26" s="30">
        <v>42788</v>
      </c>
      <c r="B26" s="74"/>
      <c r="C26" s="74"/>
      <c r="D26" s="27">
        <v>213.8</v>
      </c>
      <c r="E26" s="27">
        <v>949</v>
      </c>
      <c r="F26" s="33">
        <v>209.02</v>
      </c>
      <c r="G26" s="33">
        <v>480</v>
      </c>
      <c r="H26" s="33">
        <v>0</v>
      </c>
      <c r="I26" s="23">
        <v>0</v>
      </c>
      <c r="J26" s="34">
        <v>20</v>
      </c>
      <c r="K26" s="33">
        <v>20</v>
      </c>
      <c r="L26" s="23">
        <v>0</v>
      </c>
      <c r="M26" s="23">
        <f t="shared" si="0"/>
        <v>40</v>
      </c>
      <c r="N26" s="2"/>
      <c r="O26" s="17"/>
    </row>
    <row r="27" spans="1:15" ht="19.5" customHeight="1">
      <c r="A27" s="30">
        <v>42789</v>
      </c>
      <c r="B27" s="74"/>
      <c r="C27" s="74"/>
      <c r="D27" s="27">
        <v>213.8</v>
      </c>
      <c r="E27" s="27">
        <v>949</v>
      </c>
      <c r="F27" s="33">
        <v>208.94</v>
      </c>
      <c r="G27" s="33">
        <v>474</v>
      </c>
      <c r="H27" s="33">
        <v>40</v>
      </c>
      <c r="I27" s="23">
        <v>0</v>
      </c>
      <c r="J27" s="34">
        <v>20</v>
      </c>
      <c r="K27" s="33">
        <v>20</v>
      </c>
      <c r="L27" s="23">
        <v>0</v>
      </c>
      <c r="M27" s="23">
        <f t="shared" si="0"/>
        <v>40</v>
      </c>
      <c r="N27" s="2"/>
    </row>
    <row r="28" spans="1:15" ht="19.5" customHeight="1">
      <c r="A28" s="30">
        <v>42790</v>
      </c>
      <c r="B28" s="74"/>
      <c r="C28" s="74"/>
      <c r="D28" s="27">
        <v>213.8</v>
      </c>
      <c r="E28" s="27">
        <v>949</v>
      </c>
      <c r="F28" s="33">
        <v>208.85</v>
      </c>
      <c r="G28" s="33">
        <v>466</v>
      </c>
      <c r="H28" s="33">
        <v>40</v>
      </c>
      <c r="I28" s="23">
        <v>0</v>
      </c>
      <c r="J28" s="34">
        <v>20</v>
      </c>
      <c r="K28" s="33">
        <v>20</v>
      </c>
      <c r="L28" s="23">
        <v>0</v>
      </c>
      <c r="M28" s="23">
        <f t="shared" si="0"/>
        <v>40</v>
      </c>
      <c r="N28" s="2"/>
    </row>
    <row r="29" spans="1:15" ht="19.5" customHeight="1">
      <c r="A29" s="30">
        <v>42791</v>
      </c>
      <c r="B29" s="74"/>
      <c r="C29" s="74"/>
      <c r="D29" s="27">
        <v>213.8</v>
      </c>
      <c r="E29" s="27">
        <v>949</v>
      </c>
      <c r="F29" s="33">
        <v>208.82</v>
      </c>
      <c r="G29" s="33">
        <v>461</v>
      </c>
      <c r="H29" s="33">
        <v>40</v>
      </c>
      <c r="I29" s="23">
        <v>0</v>
      </c>
      <c r="J29" s="34">
        <v>20</v>
      </c>
      <c r="K29" s="33">
        <v>20</v>
      </c>
      <c r="L29" s="23">
        <v>0</v>
      </c>
      <c r="M29" s="23">
        <f t="shared" si="0"/>
        <v>40</v>
      </c>
      <c r="N29" s="2"/>
    </row>
    <row r="30" spans="1:15" ht="19.5" customHeight="1">
      <c r="A30" s="30">
        <v>42792</v>
      </c>
      <c r="B30" s="74"/>
      <c r="C30" s="74"/>
      <c r="D30" s="27">
        <v>213.8</v>
      </c>
      <c r="E30" s="27">
        <v>949</v>
      </c>
      <c r="F30" s="33">
        <v>208.7</v>
      </c>
      <c r="G30" s="33">
        <v>455</v>
      </c>
      <c r="H30" s="33">
        <v>0</v>
      </c>
      <c r="I30" s="23">
        <v>0</v>
      </c>
      <c r="J30" s="34">
        <v>20</v>
      </c>
      <c r="K30" s="33">
        <v>20</v>
      </c>
      <c r="L30" s="23">
        <v>0</v>
      </c>
      <c r="M30" s="23">
        <f t="shared" si="0"/>
        <v>40</v>
      </c>
      <c r="N30" s="2"/>
    </row>
    <row r="31" spans="1:15" ht="21" customHeight="1">
      <c r="A31" s="30">
        <v>42793</v>
      </c>
      <c r="B31" s="74"/>
      <c r="C31" s="74"/>
      <c r="D31" s="27">
        <v>213.8</v>
      </c>
      <c r="E31" s="27">
        <v>949</v>
      </c>
      <c r="F31" s="33">
        <v>208.63</v>
      </c>
      <c r="G31" s="33">
        <v>450</v>
      </c>
      <c r="H31" s="33">
        <v>0</v>
      </c>
      <c r="I31" s="23">
        <v>0</v>
      </c>
      <c r="J31" s="34">
        <v>20</v>
      </c>
      <c r="K31" s="33">
        <v>20</v>
      </c>
      <c r="L31" s="23">
        <v>0</v>
      </c>
      <c r="M31" s="23">
        <f t="shared" si="0"/>
        <v>40</v>
      </c>
      <c r="N31" s="2"/>
    </row>
    <row r="32" spans="1:15" ht="21" customHeight="1">
      <c r="A32" s="30">
        <v>42794</v>
      </c>
      <c r="B32" s="74"/>
      <c r="C32" s="74"/>
      <c r="D32" s="27">
        <v>213.8</v>
      </c>
      <c r="E32" s="27">
        <v>949</v>
      </c>
      <c r="F32" s="33">
        <v>208.58</v>
      </c>
      <c r="G32" s="33">
        <v>446</v>
      </c>
      <c r="H32" s="33">
        <v>0</v>
      </c>
      <c r="I32" s="23">
        <v>0</v>
      </c>
      <c r="J32" s="34">
        <v>20</v>
      </c>
      <c r="K32" s="33">
        <v>20</v>
      </c>
      <c r="L32" s="23">
        <v>0</v>
      </c>
      <c r="M32" s="23">
        <f t="shared" si="0"/>
        <v>40</v>
      </c>
      <c r="N32" s="2"/>
    </row>
    <row r="33" spans="1:15" ht="21" customHeight="1">
      <c r="A33" s="10"/>
      <c r="B33" s="11"/>
      <c r="C33" s="11"/>
      <c r="D33" s="12"/>
      <c r="E33" s="29"/>
      <c r="F33" s="13"/>
      <c r="G33" s="12"/>
      <c r="H33" s="14">
        <f>SUM(H5:H32)</f>
        <v>220</v>
      </c>
      <c r="I33" s="14">
        <f t="shared" ref="I33:M33" si="1">SUM(I5:I32)</f>
        <v>0</v>
      </c>
      <c r="J33" s="14">
        <f t="shared" si="1"/>
        <v>505</v>
      </c>
      <c r="K33" s="14">
        <f t="shared" si="1"/>
        <v>490</v>
      </c>
      <c r="L33" s="14">
        <f t="shared" si="1"/>
        <v>0</v>
      </c>
      <c r="M33" s="14">
        <f t="shared" si="1"/>
        <v>995</v>
      </c>
      <c r="N33" s="16"/>
      <c r="O33" s="18"/>
    </row>
    <row r="34" spans="1:15" ht="47.25" customHeight="1">
      <c r="A34" s="3"/>
      <c r="B34" s="4"/>
      <c r="C34" s="5"/>
      <c r="D34" s="5"/>
      <c r="E34" s="29"/>
      <c r="F34" s="5"/>
      <c r="G34" s="5"/>
      <c r="H34" s="5">
        <f>H33/11574</f>
        <v>1.9008121651978571E-2</v>
      </c>
      <c r="I34" s="5"/>
      <c r="J34" s="5">
        <f>J33/11574</f>
        <v>4.3632279246587177E-2</v>
      </c>
      <c r="K34" s="5">
        <f>K33/11574</f>
        <v>4.2336270952134096E-2</v>
      </c>
      <c r="L34" s="25"/>
      <c r="M34" s="25"/>
      <c r="N34" s="7"/>
    </row>
    <row r="35" spans="1:15" ht="15.75" customHeight="1">
      <c r="A35" s="71" t="s">
        <v>9</v>
      </c>
      <c r="B35" s="66"/>
      <c r="C35" s="66"/>
      <c r="D35" s="66"/>
      <c r="E35" s="29"/>
      <c r="J35" s="71" t="s">
        <v>10</v>
      </c>
      <c r="K35" s="66"/>
      <c r="L35" s="66"/>
      <c r="M35" s="66"/>
      <c r="N35" s="7"/>
    </row>
    <row r="36" spans="1:15" ht="15.75" customHeight="1">
      <c r="A36" s="72" t="s">
        <v>16</v>
      </c>
      <c r="B36" s="66"/>
      <c r="C36" s="66"/>
      <c r="D36" s="66"/>
      <c r="J36" s="72" t="s">
        <v>16</v>
      </c>
      <c r="K36" s="66"/>
      <c r="L36" s="66"/>
      <c r="M36" s="66"/>
      <c r="N36" s="7"/>
    </row>
    <row r="37" spans="1:15" ht="15.75" customHeight="1">
      <c r="A37" s="65" t="s">
        <v>17</v>
      </c>
      <c r="B37" s="66"/>
      <c r="C37" s="66"/>
      <c r="D37" s="66"/>
      <c r="J37" s="65" t="s">
        <v>17</v>
      </c>
      <c r="K37" s="66"/>
      <c r="L37" s="66"/>
      <c r="M37" s="66"/>
      <c r="N37" s="7"/>
    </row>
    <row r="38" spans="1:15" ht="15.75" customHeight="1">
      <c r="N38" s="7"/>
    </row>
    <row r="39" spans="1:15" ht="15.75" customHeight="1"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</sheetData>
  <mergeCells count="20">
    <mergeCell ref="A37:D37"/>
    <mergeCell ref="J37:M37"/>
    <mergeCell ref="N3:N4"/>
    <mergeCell ref="B5:B32"/>
    <mergeCell ref="C5:C32"/>
    <mergeCell ref="A35:D35"/>
    <mergeCell ref="J35:M35"/>
    <mergeCell ref="A36:D36"/>
    <mergeCell ref="J36:M36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22" zoomScale="60" workbookViewId="0">
      <selection activeCell="O36" sqref="O36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59"/>
      <c r="B4" s="59"/>
      <c r="C4" s="59"/>
      <c r="D4" s="5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8">
        <v>42795</v>
      </c>
      <c r="B5" s="68" t="s">
        <v>11</v>
      </c>
      <c r="C5" s="68" t="s">
        <v>12</v>
      </c>
      <c r="D5" s="21">
        <v>213.8</v>
      </c>
      <c r="E5" s="27">
        <v>949</v>
      </c>
      <c r="F5" s="33">
        <v>208.53</v>
      </c>
      <c r="G5" s="33">
        <v>442</v>
      </c>
      <c r="H5" s="33">
        <v>0</v>
      </c>
      <c r="I5" s="23">
        <v>0</v>
      </c>
      <c r="J5" s="34">
        <v>0</v>
      </c>
      <c r="K5" s="35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42796</v>
      </c>
      <c r="B6" s="69"/>
      <c r="C6" s="69"/>
      <c r="D6" s="21">
        <v>213.8</v>
      </c>
      <c r="E6" s="27">
        <v>949</v>
      </c>
      <c r="F6" s="33">
        <v>208.53</v>
      </c>
      <c r="G6" s="33">
        <v>442</v>
      </c>
      <c r="H6" s="33">
        <v>0</v>
      </c>
      <c r="I6" s="23">
        <v>0</v>
      </c>
      <c r="J6" s="34">
        <v>0</v>
      </c>
      <c r="K6" s="36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42797</v>
      </c>
      <c r="B7" s="69"/>
      <c r="C7" s="69"/>
      <c r="D7" s="21">
        <v>213.8</v>
      </c>
      <c r="E7" s="27">
        <v>949</v>
      </c>
      <c r="F7" s="33">
        <v>208.52</v>
      </c>
      <c r="G7" s="33">
        <v>442</v>
      </c>
      <c r="H7" s="33">
        <v>0</v>
      </c>
      <c r="I7" s="23">
        <v>0</v>
      </c>
      <c r="J7" s="34">
        <v>0</v>
      </c>
      <c r="K7" s="36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42798</v>
      </c>
      <c r="B8" s="69"/>
      <c r="C8" s="69"/>
      <c r="D8" s="21">
        <v>213.8</v>
      </c>
      <c r="E8" s="27">
        <v>949</v>
      </c>
      <c r="F8" s="33">
        <v>208.5</v>
      </c>
      <c r="G8" s="33">
        <v>440</v>
      </c>
      <c r="H8" s="33">
        <v>0</v>
      </c>
      <c r="I8" s="23">
        <v>0</v>
      </c>
      <c r="J8" s="34">
        <v>0</v>
      </c>
      <c r="K8" s="36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42799</v>
      </c>
      <c r="B9" s="69"/>
      <c r="C9" s="69"/>
      <c r="D9" s="21">
        <v>213.8</v>
      </c>
      <c r="E9" s="27">
        <v>949</v>
      </c>
      <c r="F9" s="33">
        <v>208.5</v>
      </c>
      <c r="G9" s="33">
        <v>440</v>
      </c>
      <c r="H9" s="33">
        <v>0</v>
      </c>
      <c r="I9" s="23">
        <v>0</v>
      </c>
      <c r="J9" s="34">
        <v>0</v>
      </c>
      <c r="K9" s="36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42800</v>
      </c>
      <c r="B10" s="69"/>
      <c r="C10" s="69"/>
      <c r="D10" s="21">
        <v>213.8</v>
      </c>
      <c r="E10" s="27">
        <v>949</v>
      </c>
      <c r="F10" s="33">
        <v>208.5</v>
      </c>
      <c r="G10" s="33">
        <v>440</v>
      </c>
      <c r="H10" s="33">
        <v>0</v>
      </c>
      <c r="I10" s="23">
        <v>0</v>
      </c>
      <c r="J10" s="34">
        <v>0</v>
      </c>
      <c r="K10" s="36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42801</v>
      </c>
      <c r="B11" s="69"/>
      <c r="C11" s="69"/>
      <c r="D11" s="21">
        <v>213.8</v>
      </c>
      <c r="E11" s="27">
        <v>949</v>
      </c>
      <c r="F11" s="33">
        <v>208.52</v>
      </c>
      <c r="G11" s="33">
        <v>442</v>
      </c>
      <c r="H11" s="33">
        <v>16</v>
      </c>
      <c r="I11" s="23">
        <v>0</v>
      </c>
      <c r="J11" s="34">
        <v>0</v>
      </c>
      <c r="K11" s="36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42802</v>
      </c>
      <c r="B12" s="69"/>
      <c r="C12" s="69"/>
      <c r="D12" s="21">
        <v>213.8</v>
      </c>
      <c r="E12" s="27">
        <v>949</v>
      </c>
      <c r="F12" s="33">
        <v>208.5</v>
      </c>
      <c r="G12" s="33">
        <v>440</v>
      </c>
      <c r="H12" s="33">
        <v>0</v>
      </c>
      <c r="I12" s="23">
        <v>0</v>
      </c>
      <c r="J12" s="34">
        <v>0</v>
      </c>
      <c r="K12" s="36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42803</v>
      </c>
      <c r="B13" s="69"/>
      <c r="C13" s="69"/>
      <c r="D13" s="21">
        <v>213.8</v>
      </c>
      <c r="E13" s="27">
        <v>949</v>
      </c>
      <c r="F13" s="33">
        <v>208.53</v>
      </c>
      <c r="G13" s="33">
        <v>442</v>
      </c>
      <c r="H13" s="33">
        <v>24</v>
      </c>
      <c r="I13" s="23">
        <v>0</v>
      </c>
      <c r="J13" s="34">
        <v>0</v>
      </c>
      <c r="K13" s="36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42804</v>
      </c>
      <c r="B14" s="69"/>
      <c r="C14" s="69"/>
      <c r="D14" s="21">
        <v>213.8</v>
      </c>
      <c r="E14" s="27">
        <v>949</v>
      </c>
      <c r="F14" s="33">
        <v>208.5</v>
      </c>
      <c r="G14" s="33">
        <v>440</v>
      </c>
      <c r="H14" s="33">
        <v>0</v>
      </c>
      <c r="I14" s="23">
        <v>0</v>
      </c>
      <c r="J14" s="34">
        <v>0</v>
      </c>
      <c r="K14" s="36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42805</v>
      </c>
      <c r="B15" s="69"/>
      <c r="C15" s="69"/>
      <c r="D15" s="21">
        <v>213.8</v>
      </c>
      <c r="E15" s="27">
        <v>949</v>
      </c>
      <c r="F15" s="33">
        <v>208.53</v>
      </c>
      <c r="G15" s="33">
        <v>442</v>
      </c>
      <c r="H15" s="33">
        <v>0</v>
      </c>
      <c r="I15" s="23">
        <v>0</v>
      </c>
      <c r="J15" s="34">
        <v>0</v>
      </c>
      <c r="K15" s="36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42806</v>
      </c>
      <c r="B16" s="69"/>
      <c r="C16" s="69"/>
      <c r="D16" s="21">
        <v>213.8</v>
      </c>
      <c r="E16" s="27">
        <v>949</v>
      </c>
      <c r="F16" s="33">
        <v>208.5</v>
      </c>
      <c r="G16" s="33">
        <v>440</v>
      </c>
      <c r="H16" s="33">
        <v>0</v>
      </c>
      <c r="I16" s="23">
        <v>0</v>
      </c>
      <c r="J16" s="34">
        <v>30</v>
      </c>
      <c r="K16" s="36">
        <v>0</v>
      </c>
      <c r="L16" s="23">
        <v>0</v>
      </c>
      <c r="M16" s="23">
        <f t="shared" si="0"/>
        <v>30</v>
      </c>
      <c r="N16" s="2"/>
    </row>
    <row r="17" spans="1:15" ht="19.5" customHeight="1">
      <c r="A17" s="8">
        <v>42807</v>
      </c>
      <c r="B17" s="69"/>
      <c r="C17" s="69"/>
      <c r="D17" s="21">
        <v>213.8</v>
      </c>
      <c r="E17" s="27">
        <v>949</v>
      </c>
      <c r="F17" s="33">
        <v>208.44</v>
      </c>
      <c r="G17" s="33">
        <v>436</v>
      </c>
      <c r="H17" s="33">
        <v>0</v>
      </c>
      <c r="I17" s="23">
        <v>0</v>
      </c>
      <c r="J17" s="34">
        <v>30</v>
      </c>
      <c r="K17" s="36">
        <v>0</v>
      </c>
      <c r="L17" s="23">
        <v>0</v>
      </c>
      <c r="M17" s="23">
        <f t="shared" si="0"/>
        <v>30</v>
      </c>
      <c r="N17" s="2"/>
    </row>
    <row r="18" spans="1:15" ht="19.5" customHeight="1">
      <c r="A18" s="8">
        <v>42808</v>
      </c>
      <c r="B18" s="69"/>
      <c r="C18" s="69"/>
      <c r="D18" s="21">
        <v>213.8</v>
      </c>
      <c r="E18" s="27">
        <v>949</v>
      </c>
      <c r="F18" s="33">
        <v>208.4</v>
      </c>
      <c r="G18" s="33">
        <v>433</v>
      </c>
      <c r="H18" s="33">
        <v>0</v>
      </c>
      <c r="I18" s="23">
        <v>0</v>
      </c>
      <c r="J18" s="34">
        <v>30</v>
      </c>
      <c r="K18" s="36">
        <v>0</v>
      </c>
      <c r="L18" s="23">
        <v>0</v>
      </c>
      <c r="M18" s="23">
        <f t="shared" si="0"/>
        <v>30</v>
      </c>
      <c r="N18" s="2"/>
    </row>
    <row r="19" spans="1:15" ht="19.5" customHeight="1">
      <c r="A19" s="8">
        <v>42809</v>
      </c>
      <c r="B19" s="69"/>
      <c r="C19" s="69"/>
      <c r="D19" s="21">
        <v>213.8</v>
      </c>
      <c r="E19" s="27">
        <v>949</v>
      </c>
      <c r="F19" s="33">
        <v>208.37</v>
      </c>
      <c r="G19" s="33">
        <v>431</v>
      </c>
      <c r="H19" s="33">
        <v>0</v>
      </c>
      <c r="I19" s="23">
        <v>0</v>
      </c>
      <c r="J19" s="34">
        <v>30</v>
      </c>
      <c r="K19" s="36">
        <v>0</v>
      </c>
      <c r="L19" s="23">
        <v>0</v>
      </c>
      <c r="M19" s="23">
        <f t="shared" si="0"/>
        <v>30</v>
      </c>
      <c r="N19" s="2"/>
    </row>
    <row r="20" spans="1:15" ht="19.5" customHeight="1">
      <c r="A20" s="8">
        <v>42810</v>
      </c>
      <c r="B20" s="69"/>
      <c r="C20" s="69"/>
      <c r="D20" s="21">
        <v>213.8</v>
      </c>
      <c r="E20" s="27">
        <v>949</v>
      </c>
      <c r="F20" s="33">
        <v>208.34</v>
      </c>
      <c r="G20" s="33">
        <v>429</v>
      </c>
      <c r="H20" s="33">
        <v>0</v>
      </c>
      <c r="I20" s="23">
        <v>0</v>
      </c>
      <c r="J20" s="34">
        <v>30</v>
      </c>
      <c r="K20" s="36">
        <v>0</v>
      </c>
      <c r="L20" s="23">
        <v>0</v>
      </c>
      <c r="M20" s="23">
        <f t="shared" si="0"/>
        <v>30</v>
      </c>
      <c r="N20" s="2"/>
    </row>
    <row r="21" spans="1:15" ht="19.5" customHeight="1">
      <c r="A21" s="8">
        <v>42811</v>
      </c>
      <c r="B21" s="69"/>
      <c r="C21" s="69"/>
      <c r="D21" s="21">
        <v>213.8</v>
      </c>
      <c r="E21" s="27">
        <v>949</v>
      </c>
      <c r="F21" s="33">
        <v>208.34</v>
      </c>
      <c r="G21" s="33">
        <v>429</v>
      </c>
      <c r="H21" s="33">
        <v>0</v>
      </c>
      <c r="I21" s="23">
        <v>0</v>
      </c>
      <c r="J21" s="34">
        <v>0</v>
      </c>
      <c r="K21" s="36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42812</v>
      </c>
      <c r="B22" s="69"/>
      <c r="C22" s="69"/>
      <c r="D22" s="21">
        <v>213.8</v>
      </c>
      <c r="E22" s="27">
        <v>949</v>
      </c>
      <c r="F22" s="33">
        <v>208.34</v>
      </c>
      <c r="G22" s="33">
        <v>429</v>
      </c>
      <c r="H22" s="33">
        <v>0</v>
      </c>
      <c r="I22" s="23">
        <v>0</v>
      </c>
      <c r="J22" s="34">
        <v>0</v>
      </c>
      <c r="K22" s="36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42813</v>
      </c>
      <c r="B23" s="69"/>
      <c r="C23" s="69"/>
      <c r="D23" s="21">
        <v>213.8</v>
      </c>
      <c r="E23" s="27">
        <v>949</v>
      </c>
      <c r="F23" s="33">
        <v>208.34</v>
      </c>
      <c r="G23" s="33">
        <v>429</v>
      </c>
      <c r="H23" s="33">
        <v>0</v>
      </c>
      <c r="I23" s="23">
        <v>0</v>
      </c>
      <c r="J23" s="34">
        <v>0</v>
      </c>
      <c r="K23" s="36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42814</v>
      </c>
      <c r="B24" s="69"/>
      <c r="C24" s="69"/>
      <c r="D24" s="21">
        <v>213.8</v>
      </c>
      <c r="E24" s="27">
        <v>949</v>
      </c>
      <c r="F24" s="33">
        <v>208.33</v>
      </c>
      <c r="G24" s="33">
        <v>428</v>
      </c>
      <c r="H24" s="33">
        <v>0</v>
      </c>
      <c r="I24" s="23">
        <v>0</v>
      </c>
      <c r="J24" s="34">
        <v>0</v>
      </c>
      <c r="K24" s="36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42815</v>
      </c>
      <c r="B25" s="69"/>
      <c r="C25" s="69"/>
      <c r="D25" s="21">
        <v>213.8</v>
      </c>
      <c r="E25" s="27">
        <v>949</v>
      </c>
      <c r="F25" s="33">
        <v>208.33</v>
      </c>
      <c r="G25" s="33">
        <v>428</v>
      </c>
      <c r="H25" s="33">
        <v>0</v>
      </c>
      <c r="I25" s="23">
        <v>0</v>
      </c>
      <c r="J25" s="34">
        <v>0</v>
      </c>
      <c r="K25" s="36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42816</v>
      </c>
      <c r="B26" s="69"/>
      <c r="C26" s="69"/>
      <c r="D26" s="21">
        <v>213.8</v>
      </c>
      <c r="E26" s="27">
        <v>949</v>
      </c>
      <c r="F26" s="33">
        <v>208.33</v>
      </c>
      <c r="G26" s="33">
        <v>428</v>
      </c>
      <c r="H26" s="33">
        <v>0</v>
      </c>
      <c r="I26" s="23">
        <v>0</v>
      </c>
      <c r="J26" s="34">
        <v>0</v>
      </c>
      <c r="K26" s="36">
        <v>0</v>
      </c>
      <c r="L26" s="23">
        <v>0</v>
      </c>
      <c r="M26" s="23">
        <f t="shared" si="0"/>
        <v>0</v>
      </c>
      <c r="N26" s="2"/>
      <c r="O26" s="17"/>
    </row>
    <row r="27" spans="1:15" ht="19.5" customHeight="1">
      <c r="A27" s="8">
        <v>42817</v>
      </c>
      <c r="B27" s="69"/>
      <c r="C27" s="69"/>
      <c r="D27" s="21">
        <v>213.8</v>
      </c>
      <c r="E27" s="27">
        <v>949</v>
      </c>
      <c r="F27" s="33">
        <v>208.3</v>
      </c>
      <c r="G27" s="33">
        <v>426</v>
      </c>
      <c r="H27" s="33">
        <v>0</v>
      </c>
      <c r="I27" s="23">
        <v>0</v>
      </c>
      <c r="J27" s="34">
        <v>20</v>
      </c>
      <c r="K27" s="36">
        <v>0</v>
      </c>
      <c r="L27" s="23">
        <v>0</v>
      </c>
      <c r="M27" s="23">
        <f t="shared" si="0"/>
        <v>20</v>
      </c>
      <c r="N27" s="2"/>
    </row>
    <row r="28" spans="1:15" ht="19.5" customHeight="1">
      <c r="A28" s="8">
        <v>42818</v>
      </c>
      <c r="B28" s="69"/>
      <c r="C28" s="69"/>
      <c r="D28" s="21">
        <v>213.8</v>
      </c>
      <c r="E28" s="27">
        <v>949</v>
      </c>
      <c r="F28" s="33">
        <v>208.24</v>
      </c>
      <c r="G28" s="33">
        <v>422</v>
      </c>
      <c r="H28" s="33">
        <v>0</v>
      </c>
      <c r="I28" s="23">
        <v>0</v>
      </c>
      <c r="J28" s="34">
        <v>20</v>
      </c>
      <c r="K28" s="36">
        <v>0</v>
      </c>
      <c r="L28" s="23">
        <v>0</v>
      </c>
      <c r="M28" s="23">
        <f t="shared" si="0"/>
        <v>20</v>
      </c>
      <c r="N28" s="2"/>
    </row>
    <row r="29" spans="1:15" ht="19.5" customHeight="1">
      <c r="A29" s="8">
        <v>42819</v>
      </c>
      <c r="B29" s="69"/>
      <c r="C29" s="69"/>
      <c r="D29" s="21">
        <v>213.8</v>
      </c>
      <c r="E29" s="27">
        <v>949</v>
      </c>
      <c r="F29" s="33">
        <v>208.2</v>
      </c>
      <c r="G29" s="33">
        <v>419</v>
      </c>
      <c r="H29" s="33">
        <v>0</v>
      </c>
      <c r="I29" s="23">
        <v>0</v>
      </c>
      <c r="J29" s="34">
        <v>20</v>
      </c>
      <c r="K29" s="36">
        <v>0</v>
      </c>
      <c r="L29" s="23">
        <v>0</v>
      </c>
      <c r="M29" s="23">
        <f t="shared" si="0"/>
        <v>20</v>
      </c>
      <c r="N29" s="2"/>
    </row>
    <row r="30" spans="1:15" ht="19.5" customHeight="1">
      <c r="A30" s="8">
        <v>42820</v>
      </c>
      <c r="B30" s="69"/>
      <c r="C30" s="69"/>
      <c r="D30" s="21">
        <v>213.8</v>
      </c>
      <c r="E30" s="27">
        <v>949</v>
      </c>
      <c r="F30" s="33">
        <v>208.19</v>
      </c>
      <c r="G30" s="33">
        <v>418</v>
      </c>
      <c r="H30" s="33">
        <v>0</v>
      </c>
      <c r="I30" s="23">
        <v>0</v>
      </c>
      <c r="J30" s="34">
        <v>20</v>
      </c>
      <c r="K30" s="36">
        <v>0</v>
      </c>
      <c r="L30" s="23">
        <v>0</v>
      </c>
      <c r="M30" s="23">
        <f t="shared" si="0"/>
        <v>20</v>
      </c>
      <c r="N30" s="2"/>
    </row>
    <row r="31" spans="1:15" ht="21" customHeight="1">
      <c r="A31" s="8">
        <v>42821</v>
      </c>
      <c r="B31" s="69"/>
      <c r="C31" s="69"/>
      <c r="D31" s="21">
        <v>213.8</v>
      </c>
      <c r="E31" s="27">
        <v>949</v>
      </c>
      <c r="F31" s="33">
        <v>208.15</v>
      </c>
      <c r="G31" s="33">
        <v>415</v>
      </c>
      <c r="H31" s="33">
        <v>0</v>
      </c>
      <c r="I31" s="23">
        <v>0</v>
      </c>
      <c r="J31" s="34">
        <v>20</v>
      </c>
      <c r="K31" s="36">
        <v>0</v>
      </c>
      <c r="L31" s="23">
        <v>0</v>
      </c>
      <c r="M31" s="23">
        <f t="shared" si="0"/>
        <v>20</v>
      </c>
      <c r="N31" s="2"/>
    </row>
    <row r="32" spans="1:15" ht="21" customHeight="1">
      <c r="A32" s="8">
        <v>42822</v>
      </c>
      <c r="B32" s="69"/>
      <c r="C32" s="69"/>
      <c r="D32" s="21">
        <v>213.8</v>
      </c>
      <c r="E32" s="27">
        <v>949</v>
      </c>
      <c r="F32" s="33">
        <v>208.12</v>
      </c>
      <c r="G32" s="33">
        <v>413</v>
      </c>
      <c r="H32" s="33">
        <v>5</v>
      </c>
      <c r="I32" s="23">
        <v>0</v>
      </c>
      <c r="J32" s="34">
        <v>30</v>
      </c>
      <c r="K32" s="36">
        <v>0</v>
      </c>
      <c r="L32" s="23">
        <v>0</v>
      </c>
      <c r="M32" s="23">
        <f t="shared" si="0"/>
        <v>30</v>
      </c>
      <c r="N32" s="2"/>
    </row>
    <row r="33" spans="1:15" ht="21" customHeight="1">
      <c r="A33" s="8">
        <v>42823</v>
      </c>
      <c r="B33" s="69"/>
      <c r="C33" s="69"/>
      <c r="D33" s="21">
        <v>213.8</v>
      </c>
      <c r="E33" s="27">
        <v>949</v>
      </c>
      <c r="F33" s="33">
        <v>208.08</v>
      </c>
      <c r="G33" s="33">
        <v>411</v>
      </c>
      <c r="H33" s="33">
        <v>0</v>
      </c>
      <c r="I33" s="23">
        <v>0</v>
      </c>
      <c r="J33" s="34">
        <v>30</v>
      </c>
      <c r="K33" s="36">
        <v>0</v>
      </c>
      <c r="L33" s="23">
        <v>0</v>
      </c>
      <c r="M33" s="23">
        <f t="shared" si="0"/>
        <v>30</v>
      </c>
      <c r="N33" s="2"/>
    </row>
    <row r="34" spans="1:15" ht="21" customHeight="1">
      <c r="A34" s="8">
        <v>42824</v>
      </c>
      <c r="B34" s="69"/>
      <c r="C34" s="69"/>
      <c r="D34" s="21">
        <v>213.8</v>
      </c>
      <c r="E34" s="28">
        <v>949</v>
      </c>
      <c r="F34" s="33">
        <v>208.04</v>
      </c>
      <c r="G34" s="33">
        <v>408</v>
      </c>
      <c r="H34" s="33">
        <v>0</v>
      </c>
      <c r="I34" s="23">
        <v>0</v>
      </c>
      <c r="J34" s="34">
        <v>30</v>
      </c>
      <c r="K34" s="36">
        <v>0</v>
      </c>
      <c r="L34" s="23">
        <v>0</v>
      </c>
      <c r="M34" s="23">
        <f t="shared" si="0"/>
        <v>30</v>
      </c>
      <c r="N34" s="2"/>
    </row>
    <row r="35" spans="1:15" ht="21" customHeight="1">
      <c r="A35" s="8">
        <v>42825</v>
      </c>
      <c r="B35" s="70"/>
      <c r="C35" s="70"/>
      <c r="D35" s="22">
        <v>213.8</v>
      </c>
      <c r="E35" s="27">
        <v>949</v>
      </c>
      <c r="F35" s="33">
        <v>208.04</v>
      </c>
      <c r="G35" s="33">
        <v>408</v>
      </c>
      <c r="H35" s="33">
        <v>0</v>
      </c>
      <c r="I35" s="31">
        <v>0</v>
      </c>
      <c r="J35" s="34">
        <v>30</v>
      </c>
      <c r="K35" s="33">
        <v>0</v>
      </c>
      <c r="L35" s="23">
        <v>0</v>
      </c>
      <c r="M35" s="23">
        <f t="shared" si="0"/>
        <v>30</v>
      </c>
      <c r="N35" s="2"/>
    </row>
    <row r="36" spans="1:15" ht="21" customHeight="1">
      <c r="A36" s="10"/>
      <c r="B36" s="11"/>
      <c r="C36" s="11"/>
      <c r="D36" s="12"/>
      <c r="E36" s="12"/>
      <c r="F36" s="13"/>
      <c r="G36" s="12"/>
      <c r="H36" s="14">
        <f>SUM(H5:H35)</f>
        <v>45</v>
      </c>
      <c r="I36" s="14">
        <f t="shared" ref="I36:M36" si="1">SUM(I5:I35)</f>
        <v>0</v>
      </c>
      <c r="J36" s="14">
        <f t="shared" si="1"/>
        <v>370</v>
      </c>
      <c r="K36" s="14">
        <f t="shared" si="1"/>
        <v>0</v>
      </c>
      <c r="L36" s="14">
        <f t="shared" si="1"/>
        <v>0</v>
      </c>
      <c r="M36" s="14">
        <f t="shared" si="1"/>
        <v>370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3.8880248833592537E-3</v>
      </c>
      <c r="I37" s="5"/>
      <c r="J37" s="5">
        <f>J36/11574</f>
        <v>3.1968204596509418E-2</v>
      </c>
      <c r="K37" s="5">
        <f>K36/11574</f>
        <v>0</v>
      </c>
      <c r="L37" s="25"/>
      <c r="M37" s="25"/>
      <c r="N37" s="7"/>
    </row>
    <row r="38" spans="1:15" ht="15.75" customHeight="1">
      <c r="A38" s="71" t="s">
        <v>9</v>
      </c>
      <c r="B38" s="66"/>
      <c r="C38" s="66"/>
      <c r="D38" s="66"/>
      <c r="J38" s="71" t="s">
        <v>10</v>
      </c>
      <c r="K38" s="66"/>
      <c r="L38" s="66"/>
      <c r="M38" s="66"/>
      <c r="N38" s="7"/>
    </row>
    <row r="39" spans="1:15" ht="15.75" customHeight="1">
      <c r="A39" s="72" t="s">
        <v>16</v>
      </c>
      <c r="B39" s="66"/>
      <c r="C39" s="66"/>
      <c r="D39" s="66"/>
      <c r="J39" s="72" t="s">
        <v>16</v>
      </c>
      <c r="K39" s="66"/>
      <c r="L39" s="66"/>
      <c r="M39" s="66"/>
      <c r="N39" s="7"/>
    </row>
    <row r="40" spans="1:15" ht="15.75" customHeight="1">
      <c r="A40" s="65" t="s">
        <v>17</v>
      </c>
      <c r="B40" s="66"/>
      <c r="C40" s="66"/>
      <c r="D40" s="66"/>
      <c r="J40" s="65" t="s">
        <v>17</v>
      </c>
      <c r="K40" s="66"/>
      <c r="L40" s="66"/>
      <c r="M40" s="66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27" zoomScale="60" workbookViewId="0">
      <selection activeCell="H50" sqref="H50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69"/>
      <c r="B4" s="69"/>
      <c r="C4" s="69"/>
      <c r="D4" s="69"/>
      <c r="E4" s="64"/>
      <c r="F4" s="69"/>
      <c r="G4" s="69"/>
      <c r="H4" s="69"/>
      <c r="I4" s="37" t="s">
        <v>15</v>
      </c>
      <c r="J4" s="37" t="s">
        <v>13</v>
      </c>
      <c r="K4" s="32" t="s">
        <v>18</v>
      </c>
      <c r="L4" s="37" t="s">
        <v>14</v>
      </c>
      <c r="M4" s="69"/>
      <c r="N4" s="69"/>
    </row>
    <row r="5" spans="1:14" ht="19.5" customHeight="1">
      <c r="A5" s="30">
        <v>42826</v>
      </c>
      <c r="B5" s="73" t="s">
        <v>11</v>
      </c>
      <c r="C5" s="73" t="s">
        <v>12</v>
      </c>
      <c r="D5" s="27">
        <v>213.8</v>
      </c>
      <c r="E5" s="27">
        <v>949</v>
      </c>
      <c r="F5" s="38">
        <v>208.02</v>
      </c>
      <c r="G5" s="38">
        <v>405</v>
      </c>
      <c r="H5" s="38">
        <v>0</v>
      </c>
      <c r="I5" s="39">
        <v>0</v>
      </c>
      <c r="J5" s="40">
        <v>30</v>
      </c>
      <c r="K5" s="41">
        <v>0</v>
      </c>
      <c r="L5" s="39">
        <v>0</v>
      </c>
      <c r="M5" s="39">
        <f>L5+K5+J5+I5</f>
        <v>30</v>
      </c>
      <c r="N5" s="42"/>
    </row>
    <row r="6" spans="1:14" ht="19.5" customHeight="1">
      <c r="A6" s="30">
        <v>42827</v>
      </c>
      <c r="B6" s="74"/>
      <c r="C6" s="74"/>
      <c r="D6" s="27">
        <v>213.8</v>
      </c>
      <c r="E6" s="27">
        <v>949</v>
      </c>
      <c r="F6" s="38">
        <v>207.87</v>
      </c>
      <c r="G6" s="38">
        <v>396</v>
      </c>
      <c r="H6" s="38">
        <v>0</v>
      </c>
      <c r="I6" s="39">
        <v>0</v>
      </c>
      <c r="J6" s="40">
        <v>0</v>
      </c>
      <c r="K6" s="41">
        <v>0</v>
      </c>
      <c r="L6" s="39">
        <v>0</v>
      </c>
      <c r="M6" s="39">
        <f t="shared" ref="M6:M34" si="0">L6+K6+J6+I6</f>
        <v>0</v>
      </c>
      <c r="N6" s="42"/>
    </row>
    <row r="7" spans="1:14" ht="19.5" customHeight="1">
      <c r="A7" s="30">
        <v>42828</v>
      </c>
      <c r="B7" s="74"/>
      <c r="C7" s="74"/>
      <c r="D7" s="27">
        <v>213.8</v>
      </c>
      <c r="E7" s="27">
        <v>949</v>
      </c>
      <c r="F7" s="38">
        <v>207.87</v>
      </c>
      <c r="G7" s="38">
        <v>395</v>
      </c>
      <c r="H7" s="38">
        <v>0</v>
      </c>
      <c r="I7" s="39">
        <v>0</v>
      </c>
      <c r="J7" s="40">
        <v>0</v>
      </c>
      <c r="K7" s="41">
        <v>0</v>
      </c>
      <c r="L7" s="39">
        <v>0</v>
      </c>
      <c r="M7" s="39">
        <f t="shared" si="0"/>
        <v>0</v>
      </c>
      <c r="N7" s="42"/>
    </row>
    <row r="8" spans="1:14" ht="19.5" customHeight="1">
      <c r="A8" s="30">
        <v>42829</v>
      </c>
      <c r="B8" s="74"/>
      <c r="C8" s="74"/>
      <c r="D8" s="27">
        <v>213.8</v>
      </c>
      <c r="E8" s="27">
        <v>949</v>
      </c>
      <c r="F8" s="38">
        <v>207.87</v>
      </c>
      <c r="G8" s="38">
        <v>395</v>
      </c>
      <c r="H8" s="38">
        <v>0</v>
      </c>
      <c r="I8" s="39">
        <v>0</v>
      </c>
      <c r="J8" s="40">
        <v>0</v>
      </c>
      <c r="K8" s="41">
        <v>0</v>
      </c>
      <c r="L8" s="39">
        <v>0</v>
      </c>
      <c r="M8" s="39">
        <f t="shared" si="0"/>
        <v>0</v>
      </c>
      <c r="N8" s="42"/>
    </row>
    <row r="9" spans="1:14" ht="19.5" customHeight="1">
      <c r="A9" s="30">
        <v>42830</v>
      </c>
      <c r="B9" s="74"/>
      <c r="C9" s="74"/>
      <c r="D9" s="27">
        <v>213.8</v>
      </c>
      <c r="E9" s="27">
        <v>949</v>
      </c>
      <c r="F9" s="38">
        <v>207.87</v>
      </c>
      <c r="G9" s="38">
        <v>395</v>
      </c>
      <c r="H9" s="38">
        <v>0</v>
      </c>
      <c r="I9" s="39">
        <v>0</v>
      </c>
      <c r="J9" s="40">
        <v>0</v>
      </c>
      <c r="K9" s="41">
        <v>0</v>
      </c>
      <c r="L9" s="39">
        <v>0</v>
      </c>
      <c r="M9" s="39">
        <f t="shared" si="0"/>
        <v>0</v>
      </c>
      <c r="N9" s="42"/>
    </row>
    <row r="10" spans="1:14" ht="19.5" customHeight="1">
      <c r="A10" s="30">
        <v>42831</v>
      </c>
      <c r="B10" s="74"/>
      <c r="C10" s="74"/>
      <c r="D10" s="27">
        <v>213.8</v>
      </c>
      <c r="E10" s="27">
        <v>949</v>
      </c>
      <c r="F10" s="38">
        <v>207.87</v>
      </c>
      <c r="G10" s="38">
        <v>395</v>
      </c>
      <c r="H10" s="38">
        <v>0</v>
      </c>
      <c r="I10" s="39">
        <v>0</v>
      </c>
      <c r="J10" s="40">
        <v>0</v>
      </c>
      <c r="K10" s="41">
        <v>0</v>
      </c>
      <c r="L10" s="39">
        <v>0</v>
      </c>
      <c r="M10" s="39">
        <f t="shared" si="0"/>
        <v>0</v>
      </c>
      <c r="N10" s="42"/>
    </row>
    <row r="11" spans="1:14" ht="19.5" customHeight="1">
      <c r="A11" s="30">
        <v>42832</v>
      </c>
      <c r="B11" s="74"/>
      <c r="C11" s="74"/>
      <c r="D11" s="27">
        <v>213.8</v>
      </c>
      <c r="E11" s="27">
        <v>949</v>
      </c>
      <c r="F11" s="38">
        <v>207.87</v>
      </c>
      <c r="G11" s="38">
        <v>395</v>
      </c>
      <c r="H11" s="38">
        <v>0</v>
      </c>
      <c r="I11" s="39">
        <v>0</v>
      </c>
      <c r="J11" s="40">
        <v>3</v>
      </c>
      <c r="K11" s="41">
        <v>0</v>
      </c>
      <c r="L11" s="39">
        <v>0</v>
      </c>
      <c r="M11" s="39">
        <f t="shared" si="0"/>
        <v>3</v>
      </c>
      <c r="N11" s="42"/>
    </row>
    <row r="12" spans="1:14" ht="19.5" customHeight="1">
      <c r="A12" s="30">
        <v>42833</v>
      </c>
      <c r="B12" s="74"/>
      <c r="C12" s="74"/>
      <c r="D12" s="27">
        <v>213.8</v>
      </c>
      <c r="E12" s="27">
        <v>949</v>
      </c>
      <c r="F12" s="38">
        <v>207.87</v>
      </c>
      <c r="G12" s="38">
        <v>395</v>
      </c>
      <c r="H12" s="38">
        <v>3</v>
      </c>
      <c r="I12" s="39">
        <v>0</v>
      </c>
      <c r="J12" s="40">
        <v>3</v>
      </c>
      <c r="K12" s="41">
        <v>0</v>
      </c>
      <c r="L12" s="39">
        <v>0</v>
      </c>
      <c r="M12" s="39">
        <f t="shared" si="0"/>
        <v>3</v>
      </c>
      <c r="N12" s="42"/>
    </row>
    <row r="13" spans="1:14" ht="19.5" customHeight="1">
      <c r="A13" s="30">
        <v>42834</v>
      </c>
      <c r="B13" s="74"/>
      <c r="C13" s="74"/>
      <c r="D13" s="27">
        <v>213.8</v>
      </c>
      <c r="E13" s="27">
        <v>949</v>
      </c>
      <c r="F13" s="38">
        <v>207.88</v>
      </c>
      <c r="G13" s="38">
        <v>396</v>
      </c>
      <c r="H13" s="38">
        <v>11</v>
      </c>
      <c r="I13" s="39">
        <v>0</v>
      </c>
      <c r="J13" s="40">
        <v>3</v>
      </c>
      <c r="K13" s="41">
        <v>0</v>
      </c>
      <c r="L13" s="39">
        <v>0</v>
      </c>
      <c r="M13" s="39">
        <f t="shared" si="0"/>
        <v>3</v>
      </c>
      <c r="N13" s="42"/>
    </row>
    <row r="14" spans="1:14" ht="19.5" customHeight="1">
      <c r="A14" s="30">
        <v>42835</v>
      </c>
      <c r="B14" s="74"/>
      <c r="C14" s="74"/>
      <c r="D14" s="27">
        <v>213.8</v>
      </c>
      <c r="E14" s="27">
        <v>949</v>
      </c>
      <c r="F14" s="38">
        <v>207.88</v>
      </c>
      <c r="G14" s="38">
        <v>396</v>
      </c>
      <c r="H14" s="38">
        <v>3</v>
      </c>
      <c r="I14" s="39">
        <v>0</v>
      </c>
      <c r="J14" s="40">
        <v>3</v>
      </c>
      <c r="K14" s="41">
        <v>0</v>
      </c>
      <c r="L14" s="39">
        <v>0</v>
      </c>
      <c r="M14" s="39">
        <f t="shared" si="0"/>
        <v>3</v>
      </c>
      <c r="N14" s="42"/>
    </row>
    <row r="15" spans="1:14" ht="19.5" customHeight="1">
      <c r="A15" s="30">
        <v>42836</v>
      </c>
      <c r="B15" s="74"/>
      <c r="C15" s="74"/>
      <c r="D15" s="27">
        <v>213.8</v>
      </c>
      <c r="E15" s="27">
        <v>949</v>
      </c>
      <c r="F15" s="38">
        <v>207.88</v>
      </c>
      <c r="G15" s="38">
        <v>396</v>
      </c>
      <c r="H15" s="38">
        <v>3</v>
      </c>
      <c r="I15" s="39">
        <v>0</v>
      </c>
      <c r="J15" s="40">
        <v>3</v>
      </c>
      <c r="K15" s="41">
        <v>0</v>
      </c>
      <c r="L15" s="39">
        <v>0</v>
      </c>
      <c r="M15" s="39">
        <f t="shared" si="0"/>
        <v>3</v>
      </c>
      <c r="N15" s="42"/>
    </row>
    <row r="16" spans="1:14" ht="19.5" customHeight="1">
      <c r="A16" s="30">
        <v>42837</v>
      </c>
      <c r="B16" s="74"/>
      <c r="C16" s="74"/>
      <c r="D16" s="27">
        <v>213.8</v>
      </c>
      <c r="E16" s="27">
        <v>949</v>
      </c>
      <c r="F16" s="38">
        <v>207.87</v>
      </c>
      <c r="G16" s="38">
        <v>395</v>
      </c>
      <c r="H16" s="38">
        <v>0</v>
      </c>
      <c r="I16" s="39">
        <v>0</v>
      </c>
      <c r="J16" s="40">
        <v>3</v>
      </c>
      <c r="K16" s="41">
        <v>0</v>
      </c>
      <c r="L16" s="39">
        <v>0</v>
      </c>
      <c r="M16" s="39">
        <f t="shared" si="0"/>
        <v>3</v>
      </c>
      <c r="N16" s="42"/>
    </row>
    <row r="17" spans="1:15" ht="19.5" customHeight="1">
      <c r="A17" s="30">
        <v>42838</v>
      </c>
      <c r="B17" s="74"/>
      <c r="C17" s="74"/>
      <c r="D17" s="27">
        <v>213.8</v>
      </c>
      <c r="E17" s="27">
        <v>949</v>
      </c>
      <c r="F17" s="38">
        <v>207.87</v>
      </c>
      <c r="G17" s="38">
        <v>395</v>
      </c>
      <c r="H17" s="38">
        <v>3</v>
      </c>
      <c r="I17" s="39">
        <v>0</v>
      </c>
      <c r="J17" s="40">
        <v>15</v>
      </c>
      <c r="K17" s="41">
        <v>0</v>
      </c>
      <c r="L17" s="39">
        <v>0</v>
      </c>
      <c r="M17" s="39">
        <f t="shared" si="0"/>
        <v>15</v>
      </c>
      <c r="N17" s="42"/>
    </row>
    <row r="18" spans="1:15" ht="19.5" customHeight="1">
      <c r="A18" s="30">
        <v>42839</v>
      </c>
      <c r="B18" s="74"/>
      <c r="C18" s="74"/>
      <c r="D18" s="27">
        <v>213.8</v>
      </c>
      <c r="E18" s="27">
        <v>949</v>
      </c>
      <c r="F18" s="38">
        <v>207.85</v>
      </c>
      <c r="G18" s="38">
        <v>394</v>
      </c>
      <c r="H18" s="38">
        <v>0</v>
      </c>
      <c r="I18" s="39">
        <v>0</v>
      </c>
      <c r="J18" s="40">
        <v>15</v>
      </c>
      <c r="K18" s="41">
        <v>0</v>
      </c>
      <c r="L18" s="39">
        <v>0</v>
      </c>
      <c r="M18" s="39">
        <f t="shared" si="0"/>
        <v>15</v>
      </c>
      <c r="N18" s="42"/>
    </row>
    <row r="19" spans="1:15" ht="19.5" customHeight="1">
      <c r="A19" s="30">
        <v>42840</v>
      </c>
      <c r="B19" s="74"/>
      <c r="C19" s="74"/>
      <c r="D19" s="27">
        <v>213.8</v>
      </c>
      <c r="E19" s="27">
        <v>949</v>
      </c>
      <c r="F19" s="38">
        <v>207.85</v>
      </c>
      <c r="G19" s="38">
        <v>394</v>
      </c>
      <c r="H19" s="38">
        <v>15</v>
      </c>
      <c r="I19" s="39">
        <v>0</v>
      </c>
      <c r="J19" s="40">
        <v>15</v>
      </c>
      <c r="K19" s="41">
        <v>0</v>
      </c>
      <c r="L19" s="39">
        <v>0</v>
      </c>
      <c r="M19" s="39">
        <f t="shared" si="0"/>
        <v>15</v>
      </c>
      <c r="N19" s="42"/>
    </row>
    <row r="20" spans="1:15" ht="19.5" customHeight="1">
      <c r="A20" s="30">
        <v>42841</v>
      </c>
      <c r="B20" s="74"/>
      <c r="C20" s="74"/>
      <c r="D20" s="27">
        <v>213.8</v>
      </c>
      <c r="E20" s="27">
        <v>949</v>
      </c>
      <c r="F20" s="38">
        <v>207.85</v>
      </c>
      <c r="G20" s="38">
        <v>394</v>
      </c>
      <c r="H20" s="38">
        <v>15</v>
      </c>
      <c r="I20" s="39">
        <v>0</v>
      </c>
      <c r="J20" s="40">
        <v>20</v>
      </c>
      <c r="K20" s="41">
        <v>0</v>
      </c>
      <c r="L20" s="39">
        <v>0</v>
      </c>
      <c r="M20" s="39">
        <f t="shared" si="0"/>
        <v>20</v>
      </c>
      <c r="N20" s="42"/>
    </row>
    <row r="21" spans="1:15" ht="19.5" customHeight="1">
      <c r="A21" s="30">
        <v>42842</v>
      </c>
      <c r="B21" s="74"/>
      <c r="C21" s="74"/>
      <c r="D21" s="27">
        <v>213.8</v>
      </c>
      <c r="E21" s="27">
        <v>949</v>
      </c>
      <c r="F21" s="38">
        <v>207.82</v>
      </c>
      <c r="G21" s="38">
        <v>392</v>
      </c>
      <c r="H21" s="38">
        <v>0</v>
      </c>
      <c r="I21" s="39">
        <v>0</v>
      </c>
      <c r="J21" s="40">
        <v>20</v>
      </c>
      <c r="K21" s="41">
        <v>0</v>
      </c>
      <c r="L21" s="39">
        <v>0</v>
      </c>
      <c r="M21" s="39">
        <f t="shared" si="0"/>
        <v>20</v>
      </c>
      <c r="N21" s="42"/>
    </row>
    <row r="22" spans="1:15" ht="19.5" customHeight="1">
      <c r="A22" s="30">
        <v>42843</v>
      </c>
      <c r="B22" s="74"/>
      <c r="C22" s="74"/>
      <c r="D22" s="27">
        <v>213.8</v>
      </c>
      <c r="E22" s="27">
        <v>949</v>
      </c>
      <c r="F22" s="38">
        <v>207.77</v>
      </c>
      <c r="G22" s="38">
        <v>388</v>
      </c>
      <c r="H22" s="38">
        <v>0</v>
      </c>
      <c r="I22" s="39">
        <v>0</v>
      </c>
      <c r="J22" s="40">
        <v>40</v>
      </c>
      <c r="K22" s="41">
        <v>0</v>
      </c>
      <c r="L22" s="39">
        <v>0</v>
      </c>
      <c r="M22" s="39">
        <f t="shared" si="0"/>
        <v>40</v>
      </c>
      <c r="N22" s="42"/>
    </row>
    <row r="23" spans="1:15" ht="19.5" customHeight="1">
      <c r="A23" s="30">
        <v>42844</v>
      </c>
      <c r="B23" s="74"/>
      <c r="C23" s="74"/>
      <c r="D23" s="27">
        <v>213.8</v>
      </c>
      <c r="E23" s="27">
        <v>949</v>
      </c>
      <c r="F23" s="38">
        <v>207.73</v>
      </c>
      <c r="G23" s="38">
        <v>385</v>
      </c>
      <c r="H23" s="38">
        <v>0</v>
      </c>
      <c r="I23" s="39">
        <v>0</v>
      </c>
      <c r="J23" s="40">
        <v>40</v>
      </c>
      <c r="K23" s="41">
        <v>0</v>
      </c>
      <c r="L23" s="39">
        <v>0</v>
      </c>
      <c r="M23" s="39">
        <f t="shared" si="0"/>
        <v>40</v>
      </c>
      <c r="N23" s="42"/>
    </row>
    <row r="24" spans="1:15" ht="19.5" customHeight="1">
      <c r="A24" s="30">
        <v>42845</v>
      </c>
      <c r="B24" s="74"/>
      <c r="C24" s="74"/>
      <c r="D24" s="27">
        <v>213.8</v>
      </c>
      <c r="E24" s="27">
        <v>949</v>
      </c>
      <c r="F24" s="38">
        <v>207.67</v>
      </c>
      <c r="G24" s="38">
        <v>381</v>
      </c>
      <c r="H24" s="38">
        <v>0</v>
      </c>
      <c r="I24" s="39">
        <v>0</v>
      </c>
      <c r="J24" s="40">
        <v>40</v>
      </c>
      <c r="K24" s="41">
        <v>0</v>
      </c>
      <c r="L24" s="39">
        <v>0</v>
      </c>
      <c r="M24" s="39">
        <f t="shared" si="0"/>
        <v>40</v>
      </c>
      <c r="N24" s="42"/>
    </row>
    <row r="25" spans="1:15" ht="19.5" customHeight="1">
      <c r="A25" s="30">
        <v>42846</v>
      </c>
      <c r="B25" s="74"/>
      <c r="C25" s="74"/>
      <c r="D25" s="27">
        <v>213.8</v>
      </c>
      <c r="E25" s="27">
        <v>949</v>
      </c>
      <c r="F25" s="38">
        <v>207.6</v>
      </c>
      <c r="G25" s="38">
        <v>376</v>
      </c>
      <c r="H25" s="38">
        <v>0</v>
      </c>
      <c r="I25" s="39">
        <v>0</v>
      </c>
      <c r="J25" s="40">
        <v>40</v>
      </c>
      <c r="K25" s="41">
        <v>0</v>
      </c>
      <c r="L25" s="39">
        <v>0</v>
      </c>
      <c r="M25" s="39">
        <f t="shared" si="0"/>
        <v>40</v>
      </c>
      <c r="N25" s="42"/>
    </row>
    <row r="26" spans="1:15" ht="19.5" customHeight="1">
      <c r="A26" s="30">
        <v>42847</v>
      </c>
      <c r="B26" s="74"/>
      <c r="C26" s="74"/>
      <c r="D26" s="27">
        <v>213.8</v>
      </c>
      <c r="E26" s="27">
        <v>949</v>
      </c>
      <c r="F26" s="38">
        <v>207.53</v>
      </c>
      <c r="G26" s="38">
        <v>371</v>
      </c>
      <c r="H26" s="38">
        <v>0</v>
      </c>
      <c r="I26" s="39">
        <v>0</v>
      </c>
      <c r="J26" s="40">
        <v>40</v>
      </c>
      <c r="K26" s="41">
        <v>0</v>
      </c>
      <c r="L26" s="39">
        <v>0</v>
      </c>
      <c r="M26" s="39">
        <f t="shared" si="0"/>
        <v>40</v>
      </c>
      <c r="N26" s="42"/>
      <c r="O26" s="17"/>
    </row>
    <row r="27" spans="1:15" ht="19.5" customHeight="1">
      <c r="A27" s="30">
        <v>42848</v>
      </c>
      <c r="B27" s="74"/>
      <c r="C27" s="74"/>
      <c r="D27" s="27">
        <v>213.8</v>
      </c>
      <c r="E27" s="27">
        <v>949</v>
      </c>
      <c r="F27" s="38">
        <v>207.49</v>
      </c>
      <c r="G27" s="38">
        <v>368</v>
      </c>
      <c r="H27" s="38">
        <v>0</v>
      </c>
      <c r="I27" s="39">
        <v>0</v>
      </c>
      <c r="J27" s="40">
        <v>40</v>
      </c>
      <c r="K27" s="41">
        <v>0</v>
      </c>
      <c r="L27" s="39">
        <v>0</v>
      </c>
      <c r="M27" s="39">
        <f t="shared" si="0"/>
        <v>40</v>
      </c>
      <c r="N27" s="42"/>
    </row>
    <row r="28" spans="1:15" ht="19.5" customHeight="1">
      <c r="A28" s="30">
        <v>42849</v>
      </c>
      <c r="B28" s="74"/>
      <c r="C28" s="74"/>
      <c r="D28" s="27">
        <v>213.8</v>
      </c>
      <c r="E28" s="27">
        <v>949</v>
      </c>
      <c r="F28" s="38">
        <v>207.44</v>
      </c>
      <c r="G28" s="38">
        <v>365</v>
      </c>
      <c r="H28" s="38">
        <v>0</v>
      </c>
      <c r="I28" s="39">
        <v>0</v>
      </c>
      <c r="J28" s="40">
        <v>40</v>
      </c>
      <c r="K28" s="41">
        <v>0</v>
      </c>
      <c r="L28" s="39">
        <v>0</v>
      </c>
      <c r="M28" s="39">
        <f t="shared" si="0"/>
        <v>40</v>
      </c>
      <c r="N28" s="42"/>
    </row>
    <row r="29" spans="1:15" ht="19.5" customHeight="1">
      <c r="A29" s="30">
        <v>42850</v>
      </c>
      <c r="B29" s="74"/>
      <c r="C29" s="74"/>
      <c r="D29" s="27">
        <v>213.8</v>
      </c>
      <c r="E29" s="27">
        <v>949</v>
      </c>
      <c r="F29" s="38">
        <v>207.38</v>
      </c>
      <c r="G29" s="38">
        <v>360</v>
      </c>
      <c r="H29" s="38">
        <v>0</v>
      </c>
      <c r="I29" s="39">
        <v>0</v>
      </c>
      <c r="J29" s="40">
        <v>40</v>
      </c>
      <c r="K29" s="41">
        <v>0</v>
      </c>
      <c r="L29" s="39">
        <v>0</v>
      </c>
      <c r="M29" s="39">
        <f t="shared" si="0"/>
        <v>40</v>
      </c>
      <c r="N29" s="42"/>
    </row>
    <row r="30" spans="1:15" ht="19.5" customHeight="1">
      <c r="A30" s="30">
        <v>42851</v>
      </c>
      <c r="B30" s="74"/>
      <c r="C30" s="74"/>
      <c r="D30" s="27">
        <v>213.8</v>
      </c>
      <c r="E30" s="27">
        <v>949</v>
      </c>
      <c r="F30" s="38">
        <v>207.32</v>
      </c>
      <c r="G30" s="38">
        <v>356</v>
      </c>
      <c r="H30" s="38">
        <v>0</v>
      </c>
      <c r="I30" s="39">
        <v>0</v>
      </c>
      <c r="J30" s="40">
        <v>40</v>
      </c>
      <c r="K30" s="41">
        <v>0</v>
      </c>
      <c r="L30" s="39">
        <v>0</v>
      </c>
      <c r="M30" s="39">
        <f t="shared" si="0"/>
        <v>40</v>
      </c>
      <c r="N30" s="42"/>
    </row>
    <row r="31" spans="1:15" ht="21" customHeight="1">
      <c r="A31" s="30">
        <v>42852</v>
      </c>
      <c r="B31" s="74"/>
      <c r="C31" s="74"/>
      <c r="D31" s="27">
        <v>213.8</v>
      </c>
      <c r="E31" s="27">
        <v>949</v>
      </c>
      <c r="F31" s="38">
        <v>207.25</v>
      </c>
      <c r="G31" s="38">
        <v>351</v>
      </c>
      <c r="H31" s="38">
        <v>0</v>
      </c>
      <c r="I31" s="39">
        <v>0</v>
      </c>
      <c r="J31" s="40">
        <v>40</v>
      </c>
      <c r="K31" s="41">
        <v>0</v>
      </c>
      <c r="L31" s="39">
        <v>0</v>
      </c>
      <c r="M31" s="39">
        <f t="shared" si="0"/>
        <v>40</v>
      </c>
      <c r="N31" s="42"/>
    </row>
    <row r="32" spans="1:15" ht="21" customHeight="1">
      <c r="A32" s="30">
        <v>42853</v>
      </c>
      <c r="B32" s="74"/>
      <c r="C32" s="74"/>
      <c r="D32" s="27">
        <v>213.8</v>
      </c>
      <c r="E32" s="27">
        <v>949</v>
      </c>
      <c r="F32" s="38">
        <v>207.2</v>
      </c>
      <c r="G32" s="38">
        <v>347</v>
      </c>
      <c r="H32" s="38">
        <v>0</v>
      </c>
      <c r="I32" s="39">
        <v>0</v>
      </c>
      <c r="J32" s="40">
        <v>40</v>
      </c>
      <c r="K32" s="41">
        <v>0</v>
      </c>
      <c r="L32" s="39">
        <v>0</v>
      </c>
      <c r="M32" s="39">
        <f t="shared" si="0"/>
        <v>40</v>
      </c>
      <c r="N32" s="42"/>
    </row>
    <row r="33" spans="1:15" ht="21" customHeight="1">
      <c r="A33" s="30">
        <v>42854</v>
      </c>
      <c r="B33" s="74"/>
      <c r="C33" s="74"/>
      <c r="D33" s="27">
        <v>213.8</v>
      </c>
      <c r="E33" s="27">
        <v>949</v>
      </c>
      <c r="F33" s="38">
        <v>207.14</v>
      </c>
      <c r="G33" s="38">
        <v>343</v>
      </c>
      <c r="H33" s="38">
        <v>0</v>
      </c>
      <c r="I33" s="39">
        <v>0</v>
      </c>
      <c r="J33" s="40">
        <v>40</v>
      </c>
      <c r="K33" s="41">
        <v>0</v>
      </c>
      <c r="L33" s="39">
        <v>0</v>
      </c>
      <c r="M33" s="39">
        <f t="shared" si="0"/>
        <v>40</v>
      </c>
      <c r="N33" s="42"/>
    </row>
    <row r="34" spans="1:15" ht="21" customHeight="1">
      <c r="A34" s="30">
        <v>42855</v>
      </c>
      <c r="B34" s="74"/>
      <c r="C34" s="74"/>
      <c r="D34" s="27">
        <v>213.8</v>
      </c>
      <c r="E34" s="27">
        <v>949</v>
      </c>
      <c r="F34" s="38">
        <v>207.07</v>
      </c>
      <c r="G34" s="38">
        <v>338</v>
      </c>
      <c r="H34" s="38">
        <v>0</v>
      </c>
      <c r="I34" s="39">
        <v>0</v>
      </c>
      <c r="J34" s="40">
        <v>40</v>
      </c>
      <c r="K34" s="41">
        <v>0</v>
      </c>
      <c r="L34" s="39">
        <v>0</v>
      </c>
      <c r="M34" s="39">
        <f t="shared" si="0"/>
        <v>40</v>
      </c>
      <c r="N34" s="42"/>
    </row>
    <row r="35" spans="1:15" ht="21" customHeight="1">
      <c r="A35" s="10"/>
      <c r="B35" s="11"/>
      <c r="C35" s="11"/>
      <c r="D35" s="12"/>
      <c r="E35" s="29"/>
      <c r="F35" s="13"/>
      <c r="G35" s="12"/>
      <c r="H35" s="14">
        <f>SUM(H5:H34)</f>
        <v>53</v>
      </c>
      <c r="I35" s="14">
        <f t="shared" ref="I35:M35" si="1">SUM(I5:I34)</f>
        <v>0</v>
      </c>
      <c r="J35" s="14">
        <f t="shared" si="1"/>
        <v>653</v>
      </c>
      <c r="K35" s="14">
        <f t="shared" si="1"/>
        <v>0</v>
      </c>
      <c r="L35" s="14">
        <f t="shared" si="1"/>
        <v>0</v>
      </c>
      <c r="M35" s="14">
        <f t="shared" si="1"/>
        <v>653</v>
      </c>
      <c r="N35" s="16"/>
      <c r="O35" s="18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4.5792293070675656E-3</v>
      </c>
      <c r="I36" s="5"/>
      <c r="J36" s="5">
        <f>J35/11574</f>
        <v>5.6419561085190945E-2</v>
      </c>
      <c r="K36" s="5">
        <f>K35/11574</f>
        <v>0</v>
      </c>
      <c r="L36" s="25"/>
      <c r="M36" s="25"/>
      <c r="N36" s="7"/>
    </row>
    <row r="37" spans="1:15" ht="15.75" customHeight="1">
      <c r="A37" s="71" t="s">
        <v>9</v>
      </c>
      <c r="B37" s="66"/>
      <c r="C37" s="66"/>
      <c r="D37" s="66"/>
      <c r="J37" s="71" t="s">
        <v>10</v>
      </c>
      <c r="K37" s="66"/>
      <c r="L37" s="66"/>
      <c r="M37" s="66"/>
      <c r="N37" s="7"/>
    </row>
    <row r="38" spans="1:15" ht="15.75" customHeight="1">
      <c r="A38" s="72" t="s">
        <v>16</v>
      </c>
      <c r="B38" s="66"/>
      <c r="C38" s="66"/>
      <c r="D38" s="66"/>
      <c r="J38" s="72" t="s">
        <v>16</v>
      </c>
      <c r="K38" s="66"/>
      <c r="L38" s="66"/>
      <c r="M38" s="66"/>
      <c r="N38" s="7"/>
    </row>
    <row r="39" spans="1:15" ht="15.75" customHeight="1">
      <c r="A39" s="65" t="s">
        <v>17</v>
      </c>
      <c r="B39" s="66"/>
      <c r="C39" s="66"/>
      <c r="D39" s="66"/>
      <c r="J39" s="65" t="s">
        <v>17</v>
      </c>
      <c r="K39" s="66"/>
      <c r="L39" s="66"/>
      <c r="M39" s="66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30" zoomScale="60" workbookViewId="0">
      <selection activeCell="J55" sqref="J55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59"/>
      <c r="B4" s="59"/>
      <c r="C4" s="59"/>
      <c r="D4" s="5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8">
        <v>42856</v>
      </c>
      <c r="B5" s="68" t="s">
        <v>11</v>
      </c>
      <c r="C5" s="68" t="s">
        <v>12</v>
      </c>
      <c r="D5" s="21">
        <v>213.8</v>
      </c>
      <c r="E5" s="27">
        <v>949</v>
      </c>
      <c r="F5" s="33">
        <v>207.03</v>
      </c>
      <c r="G5" s="33">
        <v>336</v>
      </c>
      <c r="H5" s="33">
        <v>0</v>
      </c>
      <c r="I5" s="23">
        <v>0</v>
      </c>
      <c r="J5" s="34">
        <v>40</v>
      </c>
      <c r="K5" s="35">
        <v>0</v>
      </c>
      <c r="L5" s="23">
        <v>0</v>
      </c>
      <c r="M5" s="23">
        <f>L5+K5+J5+I5</f>
        <v>40</v>
      </c>
      <c r="N5" s="2"/>
    </row>
    <row r="6" spans="1:14" ht="19.5" customHeight="1">
      <c r="A6" s="8">
        <v>42857</v>
      </c>
      <c r="B6" s="69"/>
      <c r="C6" s="69"/>
      <c r="D6" s="21">
        <v>213.8</v>
      </c>
      <c r="E6" s="27">
        <v>949</v>
      </c>
      <c r="F6" s="33">
        <v>206.97</v>
      </c>
      <c r="G6" s="33">
        <v>332</v>
      </c>
      <c r="H6" s="33">
        <v>0</v>
      </c>
      <c r="I6" s="23">
        <v>0</v>
      </c>
      <c r="J6" s="34">
        <v>40</v>
      </c>
      <c r="K6" s="36">
        <v>0</v>
      </c>
      <c r="L6" s="23">
        <v>0</v>
      </c>
      <c r="M6" s="23">
        <f t="shared" ref="M6:M35" si="0">L6+K6+J6+I6</f>
        <v>40</v>
      </c>
      <c r="N6" s="2"/>
    </row>
    <row r="7" spans="1:14" ht="19.5" customHeight="1">
      <c r="A7" s="8">
        <v>42858</v>
      </c>
      <c r="B7" s="69"/>
      <c r="C7" s="69"/>
      <c r="D7" s="21">
        <v>213.8</v>
      </c>
      <c r="E7" s="27">
        <v>949</v>
      </c>
      <c r="F7" s="33">
        <v>206.92</v>
      </c>
      <c r="G7" s="33">
        <v>328</v>
      </c>
      <c r="H7" s="33">
        <v>0</v>
      </c>
      <c r="I7" s="23">
        <v>0</v>
      </c>
      <c r="J7" s="34">
        <v>40</v>
      </c>
      <c r="K7" s="36">
        <v>0</v>
      </c>
      <c r="L7" s="23">
        <v>0</v>
      </c>
      <c r="M7" s="23">
        <f t="shared" si="0"/>
        <v>40</v>
      </c>
      <c r="N7" s="2"/>
    </row>
    <row r="8" spans="1:14" ht="19.5" customHeight="1">
      <c r="A8" s="8">
        <v>42859</v>
      </c>
      <c r="B8" s="69"/>
      <c r="C8" s="69"/>
      <c r="D8" s="21">
        <v>213.8</v>
      </c>
      <c r="E8" s="27">
        <v>949</v>
      </c>
      <c r="F8" s="33">
        <v>206.87</v>
      </c>
      <c r="G8" s="33">
        <v>324</v>
      </c>
      <c r="H8" s="33">
        <v>0</v>
      </c>
      <c r="I8" s="23">
        <v>0</v>
      </c>
      <c r="J8" s="34">
        <v>40</v>
      </c>
      <c r="K8" s="36">
        <v>0</v>
      </c>
      <c r="L8" s="23">
        <v>0</v>
      </c>
      <c r="M8" s="23">
        <f t="shared" si="0"/>
        <v>40</v>
      </c>
      <c r="N8" s="2"/>
    </row>
    <row r="9" spans="1:14" ht="19.5" customHeight="1">
      <c r="A9" s="8">
        <v>42860</v>
      </c>
      <c r="B9" s="69"/>
      <c r="C9" s="69"/>
      <c r="D9" s="21">
        <v>213.8</v>
      </c>
      <c r="E9" s="27">
        <v>949</v>
      </c>
      <c r="F9" s="33">
        <v>206.83</v>
      </c>
      <c r="G9" s="33">
        <v>321</v>
      </c>
      <c r="H9" s="33">
        <v>0</v>
      </c>
      <c r="I9" s="23">
        <v>0</v>
      </c>
      <c r="J9" s="34">
        <v>40</v>
      </c>
      <c r="K9" s="36">
        <v>0</v>
      </c>
      <c r="L9" s="23">
        <v>0</v>
      </c>
      <c r="M9" s="23">
        <f t="shared" si="0"/>
        <v>40</v>
      </c>
      <c r="N9" s="2"/>
    </row>
    <row r="10" spans="1:14" ht="19.5" customHeight="1">
      <c r="A10" s="8">
        <v>42861</v>
      </c>
      <c r="B10" s="69"/>
      <c r="C10" s="69"/>
      <c r="D10" s="21">
        <v>213.8</v>
      </c>
      <c r="E10" s="27">
        <v>949</v>
      </c>
      <c r="F10" s="33">
        <v>206.76</v>
      </c>
      <c r="G10" s="33">
        <v>317</v>
      </c>
      <c r="H10" s="33">
        <v>0</v>
      </c>
      <c r="I10" s="23">
        <v>0</v>
      </c>
      <c r="J10" s="34">
        <v>40</v>
      </c>
      <c r="K10" s="36">
        <v>0</v>
      </c>
      <c r="L10" s="23">
        <v>0</v>
      </c>
      <c r="M10" s="23">
        <f t="shared" si="0"/>
        <v>40</v>
      </c>
      <c r="N10" s="2"/>
    </row>
    <row r="11" spans="1:14" ht="19.5" customHeight="1">
      <c r="A11" s="8">
        <v>42862</v>
      </c>
      <c r="B11" s="69"/>
      <c r="C11" s="69"/>
      <c r="D11" s="21">
        <v>213.8</v>
      </c>
      <c r="E11" s="27">
        <v>949</v>
      </c>
      <c r="F11" s="33">
        <v>206.71</v>
      </c>
      <c r="G11" s="33">
        <v>314</v>
      </c>
      <c r="H11" s="33">
        <v>0</v>
      </c>
      <c r="I11" s="23">
        <v>0</v>
      </c>
      <c r="J11" s="34">
        <v>30</v>
      </c>
      <c r="K11" s="36">
        <v>0</v>
      </c>
      <c r="L11" s="23">
        <v>0</v>
      </c>
      <c r="M11" s="23">
        <f t="shared" si="0"/>
        <v>30</v>
      </c>
      <c r="N11" s="2"/>
    </row>
    <row r="12" spans="1:14" ht="19.5" customHeight="1">
      <c r="A12" s="8">
        <v>42863</v>
      </c>
      <c r="B12" s="69"/>
      <c r="C12" s="69"/>
      <c r="D12" s="21">
        <v>213.8</v>
      </c>
      <c r="E12" s="27">
        <v>949</v>
      </c>
      <c r="F12" s="33">
        <v>206.68</v>
      </c>
      <c r="G12" s="33">
        <v>314</v>
      </c>
      <c r="H12" s="33">
        <v>20</v>
      </c>
      <c r="I12" s="23">
        <v>0</v>
      </c>
      <c r="J12" s="34">
        <v>30</v>
      </c>
      <c r="K12" s="36">
        <v>0</v>
      </c>
      <c r="L12" s="23">
        <v>0</v>
      </c>
      <c r="M12" s="23">
        <f t="shared" si="0"/>
        <v>30</v>
      </c>
      <c r="N12" s="2"/>
    </row>
    <row r="13" spans="1:14" ht="19.5" customHeight="1">
      <c r="A13" s="8">
        <v>42864</v>
      </c>
      <c r="B13" s="69"/>
      <c r="C13" s="69"/>
      <c r="D13" s="21">
        <v>213.8</v>
      </c>
      <c r="E13" s="27">
        <v>949</v>
      </c>
      <c r="F13" s="33">
        <v>206.63</v>
      </c>
      <c r="G13" s="33">
        <v>309</v>
      </c>
      <c r="H13" s="33">
        <v>0</v>
      </c>
      <c r="I13" s="23">
        <v>0</v>
      </c>
      <c r="J13" s="34">
        <v>40</v>
      </c>
      <c r="K13" s="36">
        <v>0</v>
      </c>
      <c r="L13" s="23">
        <v>0</v>
      </c>
      <c r="M13" s="23">
        <f t="shared" si="0"/>
        <v>40</v>
      </c>
      <c r="N13" s="2"/>
    </row>
    <row r="14" spans="1:14" ht="19.5" customHeight="1">
      <c r="A14" s="8">
        <v>42865</v>
      </c>
      <c r="B14" s="69"/>
      <c r="C14" s="69"/>
      <c r="D14" s="21">
        <v>213.8</v>
      </c>
      <c r="E14" s="27">
        <v>949</v>
      </c>
      <c r="F14" s="33">
        <v>206.57</v>
      </c>
      <c r="G14" s="33">
        <v>305</v>
      </c>
      <c r="H14" s="33">
        <v>0</v>
      </c>
      <c r="I14" s="23">
        <v>0</v>
      </c>
      <c r="J14" s="34">
        <v>40</v>
      </c>
      <c r="K14" s="36">
        <v>0</v>
      </c>
      <c r="L14" s="23">
        <v>0</v>
      </c>
      <c r="M14" s="23">
        <f t="shared" si="0"/>
        <v>40</v>
      </c>
      <c r="N14" s="2"/>
    </row>
    <row r="15" spans="1:14" ht="19.5" customHeight="1">
      <c r="A15" s="8">
        <v>42866</v>
      </c>
      <c r="B15" s="69"/>
      <c r="C15" s="69"/>
      <c r="D15" s="21">
        <v>213.8</v>
      </c>
      <c r="E15" s="27">
        <v>949</v>
      </c>
      <c r="F15" s="33">
        <v>206.52</v>
      </c>
      <c r="G15" s="33">
        <v>303</v>
      </c>
      <c r="H15" s="33">
        <v>0</v>
      </c>
      <c r="I15" s="23">
        <v>0</v>
      </c>
      <c r="J15" s="34">
        <v>30</v>
      </c>
      <c r="K15" s="36">
        <v>0</v>
      </c>
      <c r="L15" s="23">
        <v>0</v>
      </c>
      <c r="M15" s="23">
        <f t="shared" si="0"/>
        <v>30</v>
      </c>
      <c r="N15" s="2"/>
    </row>
    <row r="16" spans="1:14" ht="19.5" customHeight="1">
      <c r="A16" s="8">
        <v>42867</v>
      </c>
      <c r="B16" s="69"/>
      <c r="C16" s="69"/>
      <c r="D16" s="21">
        <v>213.8</v>
      </c>
      <c r="E16" s="27">
        <v>949</v>
      </c>
      <c r="F16" s="33">
        <v>206.46</v>
      </c>
      <c r="G16" s="33">
        <v>299</v>
      </c>
      <c r="H16" s="33">
        <v>0</v>
      </c>
      <c r="I16" s="23">
        <v>0</v>
      </c>
      <c r="J16" s="34">
        <v>35</v>
      </c>
      <c r="K16" s="36">
        <v>0</v>
      </c>
      <c r="L16" s="23">
        <v>0</v>
      </c>
      <c r="M16" s="23">
        <f t="shared" si="0"/>
        <v>35</v>
      </c>
      <c r="N16" s="2"/>
    </row>
    <row r="17" spans="1:15" ht="19.5" customHeight="1">
      <c r="A17" s="8">
        <v>42868</v>
      </c>
      <c r="B17" s="69"/>
      <c r="C17" s="69"/>
      <c r="D17" s="21">
        <v>213.8</v>
      </c>
      <c r="E17" s="27">
        <v>949</v>
      </c>
      <c r="F17" s="33">
        <v>206.39</v>
      </c>
      <c r="G17" s="33">
        <v>295</v>
      </c>
      <c r="H17" s="33">
        <v>0</v>
      </c>
      <c r="I17" s="23">
        <v>0</v>
      </c>
      <c r="J17" s="34">
        <v>30</v>
      </c>
      <c r="K17" s="36">
        <v>0</v>
      </c>
      <c r="L17" s="23">
        <v>0</v>
      </c>
      <c r="M17" s="23">
        <f t="shared" si="0"/>
        <v>30</v>
      </c>
      <c r="N17" s="2"/>
    </row>
    <row r="18" spans="1:15" ht="19.5" customHeight="1">
      <c r="A18" s="8">
        <v>42869</v>
      </c>
      <c r="B18" s="69"/>
      <c r="C18" s="69"/>
      <c r="D18" s="21">
        <v>213.8</v>
      </c>
      <c r="E18" s="27">
        <v>949</v>
      </c>
      <c r="F18" s="33">
        <v>206.36</v>
      </c>
      <c r="G18" s="33">
        <v>293</v>
      </c>
      <c r="H18" s="33">
        <v>0</v>
      </c>
      <c r="I18" s="23">
        <v>0</v>
      </c>
      <c r="J18" s="34">
        <v>20</v>
      </c>
      <c r="K18" s="36">
        <v>0</v>
      </c>
      <c r="L18" s="23">
        <v>0</v>
      </c>
      <c r="M18" s="23">
        <f t="shared" si="0"/>
        <v>20</v>
      </c>
      <c r="N18" s="2"/>
    </row>
    <row r="19" spans="1:15" ht="19.5" customHeight="1">
      <c r="A19" s="8">
        <v>42870</v>
      </c>
      <c r="B19" s="69"/>
      <c r="C19" s="69"/>
      <c r="D19" s="21">
        <v>213.8</v>
      </c>
      <c r="E19" s="27">
        <v>949</v>
      </c>
      <c r="F19" s="33">
        <v>206.36</v>
      </c>
      <c r="G19" s="33">
        <v>293</v>
      </c>
      <c r="H19" s="33">
        <v>20</v>
      </c>
      <c r="I19" s="23">
        <v>0</v>
      </c>
      <c r="J19" s="34">
        <v>20</v>
      </c>
      <c r="K19" s="36">
        <v>0</v>
      </c>
      <c r="L19" s="23">
        <v>0</v>
      </c>
      <c r="M19" s="23">
        <f t="shared" si="0"/>
        <v>20</v>
      </c>
      <c r="N19" s="2"/>
    </row>
    <row r="20" spans="1:15" ht="19.5" customHeight="1">
      <c r="A20" s="8">
        <v>42871</v>
      </c>
      <c r="B20" s="69"/>
      <c r="C20" s="69"/>
      <c r="D20" s="21">
        <v>213.8</v>
      </c>
      <c r="E20" s="27">
        <v>949</v>
      </c>
      <c r="F20" s="33">
        <v>206.32</v>
      </c>
      <c r="G20" s="33">
        <v>291</v>
      </c>
      <c r="H20" s="33">
        <v>0</v>
      </c>
      <c r="I20" s="23">
        <v>0</v>
      </c>
      <c r="J20" s="34">
        <v>20</v>
      </c>
      <c r="K20" s="36">
        <v>0</v>
      </c>
      <c r="L20" s="23">
        <v>0</v>
      </c>
      <c r="M20" s="23">
        <f t="shared" si="0"/>
        <v>20</v>
      </c>
      <c r="N20" s="2"/>
    </row>
    <row r="21" spans="1:15" ht="19.5" customHeight="1">
      <c r="A21" s="8">
        <v>42872</v>
      </c>
      <c r="B21" s="69"/>
      <c r="C21" s="69"/>
      <c r="D21" s="21">
        <v>213.8</v>
      </c>
      <c r="E21" s="27">
        <v>949</v>
      </c>
      <c r="F21" s="33">
        <v>206.29</v>
      </c>
      <c r="G21" s="33">
        <v>289</v>
      </c>
      <c r="H21" s="33">
        <v>0</v>
      </c>
      <c r="I21" s="23">
        <v>0</v>
      </c>
      <c r="J21" s="34">
        <v>20</v>
      </c>
      <c r="K21" s="36">
        <v>0</v>
      </c>
      <c r="L21" s="23">
        <v>0</v>
      </c>
      <c r="M21" s="23">
        <f t="shared" si="0"/>
        <v>20</v>
      </c>
      <c r="N21" s="2"/>
    </row>
    <row r="22" spans="1:15" ht="19.5" customHeight="1">
      <c r="A22" s="8">
        <v>42873</v>
      </c>
      <c r="B22" s="69"/>
      <c r="C22" s="69"/>
      <c r="D22" s="21">
        <v>213.8</v>
      </c>
      <c r="E22" s="27">
        <v>949</v>
      </c>
      <c r="F22" s="33">
        <v>206.27</v>
      </c>
      <c r="G22" s="33">
        <v>288</v>
      </c>
      <c r="H22" s="33">
        <v>0</v>
      </c>
      <c r="I22" s="23">
        <v>0</v>
      </c>
      <c r="J22" s="34">
        <v>20</v>
      </c>
      <c r="K22" s="36">
        <v>0</v>
      </c>
      <c r="L22" s="23">
        <v>0</v>
      </c>
      <c r="M22" s="23">
        <f t="shared" si="0"/>
        <v>20</v>
      </c>
      <c r="N22" s="2"/>
    </row>
    <row r="23" spans="1:15" ht="19.5" customHeight="1">
      <c r="A23" s="8">
        <v>42874</v>
      </c>
      <c r="B23" s="69"/>
      <c r="C23" s="69"/>
      <c r="D23" s="21">
        <v>213.8</v>
      </c>
      <c r="E23" s="27">
        <v>949</v>
      </c>
      <c r="F23" s="33">
        <v>206.25</v>
      </c>
      <c r="G23" s="33">
        <v>287</v>
      </c>
      <c r="H23" s="33">
        <v>0</v>
      </c>
      <c r="I23" s="23">
        <v>0</v>
      </c>
      <c r="J23" s="34">
        <v>20</v>
      </c>
      <c r="K23" s="36">
        <v>0</v>
      </c>
      <c r="L23" s="23">
        <v>0</v>
      </c>
      <c r="M23" s="23">
        <f t="shared" si="0"/>
        <v>20</v>
      </c>
      <c r="N23" s="2"/>
    </row>
    <row r="24" spans="1:15" ht="19.5" customHeight="1">
      <c r="A24" s="8">
        <v>42875</v>
      </c>
      <c r="B24" s="69"/>
      <c r="C24" s="69"/>
      <c r="D24" s="21">
        <v>213.8</v>
      </c>
      <c r="E24" s="27">
        <v>949</v>
      </c>
      <c r="F24" s="33">
        <v>206.23</v>
      </c>
      <c r="G24" s="33">
        <v>285</v>
      </c>
      <c r="H24" s="33">
        <v>0</v>
      </c>
      <c r="I24" s="23">
        <v>0</v>
      </c>
      <c r="J24" s="34">
        <v>10</v>
      </c>
      <c r="K24" s="36">
        <v>0</v>
      </c>
      <c r="L24" s="23">
        <v>0</v>
      </c>
      <c r="M24" s="23">
        <f t="shared" si="0"/>
        <v>10</v>
      </c>
      <c r="N24" s="2"/>
    </row>
    <row r="25" spans="1:15" ht="19.5" customHeight="1">
      <c r="A25" s="8">
        <v>42876</v>
      </c>
      <c r="B25" s="69"/>
      <c r="C25" s="69"/>
      <c r="D25" s="21">
        <v>213.8</v>
      </c>
      <c r="E25" s="27">
        <v>949</v>
      </c>
      <c r="F25" s="33">
        <v>206.21</v>
      </c>
      <c r="G25" s="33">
        <v>284</v>
      </c>
      <c r="H25" s="33">
        <v>0</v>
      </c>
      <c r="I25" s="23">
        <v>0</v>
      </c>
      <c r="J25" s="34">
        <v>10</v>
      </c>
      <c r="K25" s="36">
        <v>0</v>
      </c>
      <c r="L25" s="23">
        <v>0</v>
      </c>
      <c r="M25" s="23">
        <f t="shared" si="0"/>
        <v>10</v>
      </c>
      <c r="N25" s="2"/>
    </row>
    <row r="26" spans="1:15" ht="19.5" customHeight="1">
      <c r="A26" s="8">
        <v>42877</v>
      </c>
      <c r="B26" s="69"/>
      <c r="C26" s="69"/>
      <c r="D26" s="21">
        <v>213.8</v>
      </c>
      <c r="E26" s="27">
        <v>949</v>
      </c>
      <c r="F26" s="33">
        <v>206.21</v>
      </c>
      <c r="G26" s="33">
        <v>284</v>
      </c>
      <c r="H26" s="33">
        <v>10</v>
      </c>
      <c r="I26" s="23">
        <v>0</v>
      </c>
      <c r="J26" s="34">
        <v>10</v>
      </c>
      <c r="K26" s="36">
        <v>0</v>
      </c>
      <c r="L26" s="23">
        <v>0</v>
      </c>
      <c r="M26" s="23">
        <f t="shared" si="0"/>
        <v>10</v>
      </c>
      <c r="N26" s="2"/>
      <c r="O26" s="17"/>
    </row>
    <row r="27" spans="1:15" ht="19.5" customHeight="1">
      <c r="A27" s="8">
        <v>42878</v>
      </c>
      <c r="B27" s="69"/>
      <c r="C27" s="69"/>
      <c r="D27" s="21">
        <v>213.8</v>
      </c>
      <c r="E27" s="27">
        <v>949</v>
      </c>
      <c r="F27" s="33">
        <v>206.22</v>
      </c>
      <c r="G27" s="33">
        <v>285</v>
      </c>
      <c r="H27" s="33">
        <v>14</v>
      </c>
      <c r="I27" s="23">
        <v>0</v>
      </c>
      <c r="J27" s="34">
        <v>10</v>
      </c>
      <c r="K27" s="36">
        <v>0</v>
      </c>
      <c r="L27" s="23">
        <v>0</v>
      </c>
      <c r="M27" s="23">
        <f t="shared" si="0"/>
        <v>10</v>
      </c>
      <c r="N27" s="2"/>
    </row>
    <row r="28" spans="1:15" ht="19.5" customHeight="1">
      <c r="A28" s="8">
        <v>42879</v>
      </c>
      <c r="B28" s="69"/>
      <c r="C28" s="69"/>
      <c r="D28" s="21">
        <v>213.8</v>
      </c>
      <c r="E28" s="27">
        <v>949</v>
      </c>
      <c r="F28" s="33">
        <v>206.21</v>
      </c>
      <c r="G28" s="33">
        <v>284</v>
      </c>
      <c r="H28" s="33">
        <v>6</v>
      </c>
      <c r="I28" s="23">
        <v>0</v>
      </c>
      <c r="J28" s="34">
        <v>10</v>
      </c>
      <c r="K28" s="36">
        <v>0</v>
      </c>
      <c r="L28" s="23">
        <v>0</v>
      </c>
      <c r="M28" s="23">
        <f t="shared" si="0"/>
        <v>10</v>
      </c>
      <c r="N28" s="2"/>
    </row>
    <row r="29" spans="1:15" ht="19.5" customHeight="1">
      <c r="A29" s="8">
        <v>42880</v>
      </c>
      <c r="B29" s="69"/>
      <c r="C29" s="69"/>
      <c r="D29" s="21">
        <v>213.8</v>
      </c>
      <c r="E29" s="27">
        <v>949</v>
      </c>
      <c r="F29" s="33">
        <v>206.19</v>
      </c>
      <c r="G29" s="33">
        <v>283</v>
      </c>
      <c r="H29" s="33">
        <v>0</v>
      </c>
      <c r="I29" s="23">
        <v>0</v>
      </c>
      <c r="J29" s="34">
        <v>10</v>
      </c>
      <c r="K29" s="36">
        <v>0</v>
      </c>
      <c r="L29" s="23">
        <v>0</v>
      </c>
      <c r="M29" s="23">
        <f t="shared" si="0"/>
        <v>10</v>
      </c>
      <c r="N29" s="2"/>
    </row>
    <row r="30" spans="1:15" ht="19.5" customHeight="1">
      <c r="A30" s="8">
        <v>42881</v>
      </c>
      <c r="B30" s="69"/>
      <c r="C30" s="69"/>
      <c r="D30" s="21">
        <v>213.8</v>
      </c>
      <c r="E30" s="27">
        <v>949</v>
      </c>
      <c r="F30" s="33">
        <v>206.18</v>
      </c>
      <c r="G30" s="33">
        <v>282</v>
      </c>
      <c r="H30" s="33">
        <v>6</v>
      </c>
      <c r="I30" s="23">
        <v>0</v>
      </c>
      <c r="J30" s="34">
        <v>10</v>
      </c>
      <c r="K30" s="36">
        <v>0</v>
      </c>
      <c r="L30" s="23">
        <v>0</v>
      </c>
      <c r="M30" s="23">
        <f t="shared" si="0"/>
        <v>10</v>
      </c>
      <c r="N30" s="2"/>
    </row>
    <row r="31" spans="1:15" ht="21" customHeight="1">
      <c r="A31" s="8">
        <v>42882</v>
      </c>
      <c r="B31" s="69"/>
      <c r="C31" s="69"/>
      <c r="D31" s="21">
        <v>213.8</v>
      </c>
      <c r="E31" s="27">
        <v>949</v>
      </c>
      <c r="F31" s="33">
        <v>206.19</v>
      </c>
      <c r="G31" s="33">
        <v>283</v>
      </c>
      <c r="H31" s="33">
        <v>14</v>
      </c>
      <c r="I31" s="23">
        <v>0</v>
      </c>
      <c r="J31" s="34">
        <v>10</v>
      </c>
      <c r="K31" s="36">
        <v>0</v>
      </c>
      <c r="L31" s="23">
        <v>0</v>
      </c>
      <c r="M31" s="23">
        <f t="shared" si="0"/>
        <v>10</v>
      </c>
      <c r="N31" s="2"/>
    </row>
    <row r="32" spans="1:15" ht="21" customHeight="1">
      <c r="A32" s="8">
        <v>42883</v>
      </c>
      <c r="B32" s="69"/>
      <c r="C32" s="69"/>
      <c r="D32" s="21">
        <v>213.8</v>
      </c>
      <c r="E32" s="27">
        <v>949</v>
      </c>
      <c r="F32" s="33">
        <v>206.21</v>
      </c>
      <c r="G32" s="33">
        <v>284</v>
      </c>
      <c r="H32" s="33">
        <v>26</v>
      </c>
      <c r="I32" s="23">
        <v>0</v>
      </c>
      <c r="J32" s="34">
        <v>10</v>
      </c>
      <c r="K32" s="36">
        <v>0</v>
      </c>
      <c r="L32" s="23">
        <v>0</v>
      </c>
      <c r="M32" s="23">
        <f t="shared" si="0"/>
        <v>10</v>
      </c>
      <c r="N32" s="2"/>
    </row>
    <row r="33" spans="1:15" ht="21" customHeight="1">
      <c r="A33" s="8">
        <v>42884</v>
      </c>
      <c r="B33" s="69"/>
      <c r="C33" s="69"/>
      <c r="D33" s="21">
        <v>213.8</v>
      </c>
      <c r="E33" s="27">
        <v>949</v>
      </c>
      <c r="F33" s="33">
        <v>206.19</v>
      </c>
      <c r="G33" s="33">
        <v>283</v>
      </c>
      <c r="H33" s="33">
        <v>0</v>
      </c>
      <c r="I33" s="23">
        <v>0</v>
      </c>
      <c r="J33" s="34">
        <v>10</v>
      </c>
      <c r="K33" s="36">
        <v>0</v>
      </c>
      <c r="L33" s="23">
        <v>0</v>
      </c>
      <c r="M33" s="23">
        <f t="shared" si="0"/>
        <v>10</v>
      </c>
      <c r="N33" s="2"/>
    </row>
    <row r="34" spans="1:15" ht="21" customHeight="1">
      <c r="A34" s="8">
        <v>42885</v>
      </c>
      <c r="B34" s="69"/>
      <c r="C34" s="69"/>
      <c r="D34" s="21">
        <v>213.8</v>
      </c>
      <c r="E34" s="27">
        <v>949</v>
      </c>
      <c r="F34" s="33">
        <v>206.19</v>
      </c>
      <c r="G34" s="33">
        <v>283</v>
      </c>
      <c r="H34" s="33">
        <v>10</v>
      </c>
      <c r="I34" s="23">
        <v>0</v>
      </c>
      <c r="J34" s="34">
        <v>10</v>
      </c>
      <c r="K34" s="36">
        <v>0</v>
      </c>
      <c r="L34" s="23">
        <v>0</v>
      </c>
      <c r="M34" s="23">
        <f t="shared" si="0"/>
        <v>10</v>
      </c>
      <c r="N34" s="2"/>
    </row>
    <row r="35" spans="1:15" ht="21" customHeight="1">
      <c r="A35" s="8">
        <v>42886</v>
      </c>
      <c r="B35" s="70"/>
      <c r="C35" s="70"/>
      <c r="D35" s="22">
        <v>213.8</v>
      </c>
      <c r="E35" s="27">
        <v>949</v>
      </c>
      <c r="F35" s="33">
        <v>206.18</v>
      </c>
      <c r="G35" s="33">
        <v>282</v>
      </c>
      <c r="H35" s="33">
        <v>6</v>
      </c>
      <c r="I35" s="23">
        <v>0</v>
      </c>
      <c r="J35" s="34">
        <v>10</v>
      </c>
      <c r="K35" s="33">
        <v>0</v>
      </c>
      <c r="L35" s="23">
        <v>0</v>
      </c>
      <c r="M35" s="23">
        <f t="shared" si="0"/>
        <v>10</v>
      </c>
      <c r="N35" s="2"/>
    </row>
    <row r="36" spans="1:15" ht="21" customHeight="1">
      <c r="A36" s="10"/>
      <c r="B36" s="11"/>
      <c r="C36" s="11"/>
      <c r="D36" s="12"/>
      <c r="E36" s="12"/>
      <c r="F36" s="13"/>
      <c r="G36" s="12"/>
      <c r="H36" s="14">
        <f>SUM(H5:H35)</f>
        <v>132</v>
      </c>
      <c r="I36" s="14">
        <f t="shared" ref="I36:M36" si="1">SUM(I5:I35)</f>
        <v>0</v>
      </c>
      <c r="J36" s="14">
        <f t="shared" si="1"/>
        <v>715</v>
      </c>
      <c r="K36" s="14">
        <f t="shared" si="1"/>
        <v>0</v>
      </c>
      <c r="L36" s="14">
        <f t="shared" si="1"/>
        <v>0</v>
      </c>
      <c r="M36" s="14">
        <f t="shared" si="1"/>
        <v>715</v>
      </c>
      <c r="N36" s="14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1.1404872991187144E-2</v>
      </c>
      <c r="I37" s="5"/>
      <c r="J37" s="5">
        <f>J36/11574</f>
        <v>6.1776395368930363E-2</v>
      </c>
      <c r="K37" s="5">
        <f>K36/11574</f>
        <v>0</v>
      </c>
      <c r="L37" s="25"/>
      <c r="M37" s="25"/>
      <c r="N37" s="7"/>
    </row>
    <row r="38" spans="1:15" ht="15.75" customHeight="1">
      <c r="A38" s="71" t="s">
        <v>9</v>
      </c>
      <c r="B38" s="66"/>
      <c r="C38" s="66"/>
      <c r="D38" s="66"/>
      <c r="J38" s="71" t="s">
        <v>10</v>
      </c>
      <c r="K38" s="66"/>
      <c r="L38" s="66"/>
      <c r="M38" s="66"/>
      <c r="N38" s="7"/>
    </row>
    <row r="39" spans="1:15" ht="15.75" customHeight="1">
      <c r="A39" s="72" t="s">
        <v>16</v>
      </c>
      <c r="B39" s="66"/>
      <c r="C39" s="66"/>
      <c r="D39" s="66"/>
      <c r="J39" s="72" t="s">
        <v>16</v>
      </c>
      <c r="K39" s="66"/>
      <c r="L39" s="66"/>
      <c r="M39" s="66"/>
      <c r="N39" s="7"/>
    </row>
    <row r="40" spans="1:15" ht="15.75" customHeight="1">
      <c r="A40" s="65" t="s">
        <v>17</v>
      </c>
      <c r="B40" s="66"/>
      <c r="C40" s="66"/>
      <c r="D40" s="66"/>
      <c r="J40" s="65" t="s">
        <v>17</v>
      </c>
      <c r="K40" s="66"/>
      <c r="L40" s="66"/>
      <c r="M40" s="66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22" zoomScale="60" workbookViewId="0">
      <selection activeCell="T29" sqref="T29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69"/>
      <c r="B4" s="69"/>
      <c r="C4" s="69"/>
      <c r="D4" s="69"/>
      <c r="E4" s="64"/>
      <c r="F4" s="69"/>
      <c r="G4" s="69"/>
      <c r="H4" s="6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30">
        <v>42887</v>
      </c>
      <c r="B5" s="73" t="s">
        <v>11</v>
      </c>
      <c r="C5" s="73" t="s">
        <v>12</v>
      </c>
      <c r="D5" s="27">
        <v>213.8</v>
      </c>
      <c r="E5" s="27">
        <v>949</v>
      </c>
      <c r="F5" s="38">
        <v>206.17</v>
      </c>
      <c r="G5" s="38">
        <v>282</v>
      </c>
      <c r="H5" s="38">
        <v>8</v>
      </c>
      <c r="I5" s="31">
        <v>0</v>
      </c>
      <c r="J5" s="34">
        <v>10</v>
      </c>
      <c r="K5" s="35">
        <v>0</v>
      </c>
      <c r="L5" s="23">
        <v>0</v>
      </c>
      <c r="M5" s="23">
        <f>L5+K5+J5+I5</f>
        <v>10</v>
      </c>
      <c r="N5" s="2"/>
    </row>
    <row r="6" spans="1:14" ht="19.5" customHeight="1">
      <c r="A6" s="30">
        <v>42888</v>
      </c>
      <c r="B6" s="74"/>
      <c r="C6" s="74"/>
      <c r="D6" s="27">
        <v>213.8</v>
      </c>
      <c r="E6" s="27">
        <v>949</v>
      </c>
      <c r="F6" s="38">
        <v>206.17</v>
      </c>
      <c r="G6" s="38">
        <v>282</v>
      </c>
      <c r="H6" s="38">
        <v>10</v>
      </c>
      <c r="I6" s="31">
        <v>0</v>
      </c>
      <c r="J6" s="34">
        <v>10</v>
      </c>
      <c r="K6" s="36">
        <v>0</v>
      </c>
      <c r="L6" s="23">
        <v>0</v>
      </c>
      <c r="M6" s="23">
        <f t="shared" ref="M6:M34" si="0">L6+K6+J6+I6</f>
        <v>10</v>
      </c>
      <c r="N6" s="2"/>
    </row>
    <row r="7" spans="1:14" ht="19.5" customHeight="1">
      <c r="A7" s="30">
        <v>42889</v>
      </c>
      <c r="B7" s="74"/>
      <c r="C7" s="74"/>
      <c r="D7" s="27">
        <v>213.8</v>
      </c>
      <c r="E7" s="27">
        <v>949</v>
      </c>
      <c r="F7" s="38">
        <v>206.18</v>
      </c>
      <c r="G7" s="38">
        <v>282</v>
      </c>
      <c r="H7" s="38">
        <v>18</v>
      </c>
      <c r="I7" s="31">
        <v>0</v>
      </c>
      <c r="J7" s="34">
        <v>10</v>
      </c>
      <c r="K7" s="36">
        <v>0</v>
      </c>
      <c r="L7" s="23">
        <v>0</v>
      </c>
      <c r="M7" s="23">
        <f t="shared" si="0"/>
        <v>10</v>
      </c>
      <c r="N7" s="2"/>
    </row>
    <row r="8" spans="1:14" ht="19.5" customHeight="1">
      <c r="A8" s="30">
        <v>42890</v>
      </c>
      <c r="B8" s="74"/>
      <c r="C8" s="74"/>
      <c r="D8" s="27">
        <v>213.8</v>
      </c>
      <c r="E8" s="27">
        <v>949</v>
      </c>
      <c r="F8" s="38">
        <v>206.18</v>
      </c>
      <c r="G8" s="38">
        <v>282</v>
      </c>
      <c r="H8" s="38">
        <v>10</v>
      </c>
      <c r="I8" s="31">
        <v>0</v>
      </c>
      <c r="J8" s="34">
        <v>10</v>
      </c>
      <c r="K8" s="36">
        <v>0</v>
      </c>
      <c r="L8" s="23">
        <v>0</v>
      </c>
      <c r="M8" s="23">
        <f t="shared" si="0"/>
        <v>10</v>
      </c>
      <c r="N8" s="2"/>
    </row>
    <row r="9" spans="1:14" ht="19.5" customHeight="1">
      <c r="A9" s="30">
        <v>42891</v>
      </c>
      <c r="B9" s="74"/>
      <c r="C9" s="74"/>
      <c r="D9" s="27">
        <v>213.8</v>
      </c>
      <c r="E9" s="27">
        <v>949</v>
      </c>
      <c r="F9" s="38">
        <v>206.17</v>
      </c>
      <c r="G9" s="38">
        <v>282</v>
      </c>
      <c r="H9" s="38">
        <v>8</v>
      </c>
      <c r="I9" s="31">
        <v>0</v>
      </c>
      <c r="J9" s="34">
        <v>10</v>
      </c>
      <c r="K9" s="36">
        <v>0</v>
      </c>
      <c r="L9" s="23">
        <v>0</v>
      </c>
      <c r="M9" s="23">
        <f t="shared" si="0"/>
        <v>10</v>
      </c>
      <c r="N9" s="2"/>
    </row>
    <row r="10" spans="1:14" ht="19.5" customHeight="1">
      <c r="A10" s="30">
        <v>42892</v>
      </c>
      <c r="B10" s="74"/>
      <c r="C10" s="74"/>
      <c r="D10" s="27">
        <v>213.8</v>
      </c>
      <c r="E10" s="27">
        <v>949</v>
      </c>
      <c r="F10" s="38">
        <v>206.19</v>
      </c>
      <c r="G10" s="38">
        <v>283</v>
      </c>
      <c r="H10" s="38">
        <v>22</v>
      </c>
      <c r="I10" s="31">
        <v>0</v>
      </c>
      <c r="J10" s="34">
        <v>10</v>
      </c>
      <c r="K10" s="36">
        <v>0</v>
      </c>
      <c r="L10" s="23">
        <v>0</v>
      </c>
      <c r="M10" s="23">
        <f t="shared" si="0"/>
        <v>10</v>
      </c>
      <c r="N10" s="2"/>
    </row>
    <row r="11" spans="1:14" ht="19.5" customHeight="1">
      <c r="A11" s="30">
        <v>42893</v>
      </c>
      <c r="B11" s="74"/>
      <c r="C11" s="74"/>
      <c r="D11" s="27">
        <v>213.8</v>
      </c>
      <c r="E11" s="27">
        <v>949</v>
      </c>
      <c r="F11" s="38">
        <v>206.89</v>
      </c>
      <c r="G11" s="38">
        <v>289</v>
      </c>
      <c r="H11" s="38">
        <v>80</v>
      </c>
      <c r="I11" s="31">
        <v>0</v>
      </c>
      <c r="J11" s="34">
        <v>10</v>
      </c>
      <c r="K11" s="36">
        <v>0</v>
      </c>
      <c r="L11" s="23">
        <v>0</v>
      </c>
      <c r="M11" s="23">
        <f t="shared" si="0"/>
        <v>10</v>
      </c>
      <c r="N11" s="2"/>
    </row>
    <row r="12" spans="1:14" ht="19.5" customHeight="1">
      <c r="A12" s="30">
        <v>42894</v>
      </c>
      <c r="B12" s="74"/>
      <c r="C12" s="74"/>
      <c r="D12" s="27">
        <v>213.8</v>
      </c>
      <c r="E12" s="27">
        <v>949</v>
      </c>
      <c r="F12" s="38">
        <v>206.41</v>
      </c>
      <c r="G12" s="38">
        <v>296</v>
      </c>
      <c r="H12" s="38">
        <v>95</v>
      </c>
      <c r="I12" s="31">
        <v>0</v>
      </c>
      <c r="J12" s="34">
        <v>10</v>
      </c>
      <c r="K12" s="36">
        <v>0</v>
      </c>
      <c r="L12" s="23">
        <v>0</v>
      </c>
      <c r="M12" s="23">
        <f t="shared" si="0"/>
        <v>10</v>
      </c>
      <c r="N12" s="2"/>
    </row>
    <row r="13" spans="1:14" ht="19.5" customHeight="1">
      <c r="A13" s="30">
        <v>42895</v>
      </c>
      <c r="B13" s="74"/>
      <c r="C13" s="74"/>
      <c r="D13" s="27">
        <v>213.8</v>
      </c>
      <c r="E13" s="27">
        <v>949</v>
      </c>
      <c r="F13" s="38">
        <v>206.48</v>
      </c>
      <c r="G13" s="38">
        <v>300</v>
      </c>
      <c r="H13" s="38">
        <v>55</v>
      </c>
      <c r="I13" s="31">
        <v>0</v>
      </c>
      <c r="J13" s="34">
        <v>10</v>
      </c>
      <c r="K13" s="36">
        <v>0</v>
      </c>
      <c r="L13" s="23">
        <v>0</v>
      </c>
      <c r="M13" s="23">
        <f t="shared" si="0"/>
        <v>10</v>
      </c>
      <c r="N13" s="2"/>
    </row>
    <row r="14" spans="1:14" ht="19.5" customHeight="1">
      <c r="A14" s="30">
        <v>42896</v>
      </c>
      <c r="B14" s="74"/>
      <c r="C14" s="74"/>
      <c r="D14" s="27">
        <v>213.8</v>
      </c>
      <c r="E14" s="27">
        <v>949</v>
      </c>
      <c r="F14" s="38">
        <v>206.59</v>
      </c>
      <c r="G14" s="38">
        <v>307</v>
      </c>
      <c r="H14" s="38">
        <v>88</v>
      </c>
      <c r="I14" s="31">
        <v>0</v>
      </c>
      <c r="J14" s="34">
        <v>10</v>
      </c>
      <c r="K14" s="36">
        <v>0</v>
      </c>
      <c r="L14" s="23">
        <v>0</v>
      </c>
      <c r="M14" s="23">
        <f t="shared" si="0"/>
        <v>10</v>
      </c>
      <c r="N14" s="2"/>
    </row>
    <row r="15" spans="1:14" ht="19.5" customHeight="1">
      <c r="A15" s="30">
        <v>42897</v>
      </c>
      <c r="B15" s="74"/>
      <c r="C15" s="74"/>
      <c r="D15" s="27">
        <v>213.8</v>
      </c>
      <c r="E15" s="27">
        <v>949</v>
      </c>
      <c r="F15" s="38">
        <v>206.72</v>
      </c>
      <c r="G15" s="38">
        <v>315</v>
      </c>
      <c r="H15" s="38">
        <v>100</v>
      </c>
      <c r="I15" s="31">
        <v>0</v>
      </c>
      <c r="J15" s="34">
        <v>10</v>
      </c>
      <c r="K15" s="36">
        <v>0</v>
      </c>
      <c r="L15" s="23">
        <v>0</v>
      </c>
      <c r="M15" s="23">
        <f t="shared" si="0"/>
        <v>10</v>
      </c>
      <c r="N15" s="2"/>
    </row>
    <row r="16" spans="1:14" ht="19.5" customHeight="1">
      <c r="A16" s="30">
        <v>42898</v>
      </c>
      <c r="B16" s="74"/>
      <c r="C16" s="74"/>
      <c r="D16" s="27">
        <v>213.8</v>
      </c>
      <c r="E16" s="27">
        <v>949</v>
      </c>
      <c r="F16" s="38">
        <v>206.76</v>
      </c>
      <c r="G16" s="38">
        <v>317</v>
      </c>
      <c r="H16" s="38">
        <v>39</v>
      </c>
      <c r="I16" s="31">
        <v>0</v>
      </c>
      <c r="J16" s="34">
        <v>10</v>
      </c>
      <c r="K16" s="36">
        <v>0</v>
      </c>
      <c r="L16" s="23">
        <v>0</v>
      </c>
      <c r="M16" s="23">
        <f t="shared" si="0"/>
        <v>10</v>
      </c>
      <c r="N16" s="2"/>
    </row>
    <row r="17" spans="1:15" ht="19.5" customHeight="1">
      <c r="A17" s="30">
        <v>42899</v>
      </c>
      <c r="B17" s="74"/>
      <c r="C17" s="74"/>
      <c r="D17" s="27">
        <v>213.8</v>
      </c>
      <c r="E17" s="27">
        <v>949</v>
      </c>
      <c r="F17" s="38">
        <v>206.77</v>
      </c>
      <c r="G17" s="38">
        <v>317</v>
      </c>
      <c r="H17" s="38">
        <v>14</v>
      </c>
      <c r="I17" s="31">
        <v>0</v>
      </c>
      <c r="J17" s="34">
        <v>10</v>
      </c>
      <c r="K17" s="36">
        <v>0</v>
      </c>
      <c r="L17" s="23">
        <v>0</v>
      </c>
      <c r="M17" s="23">
        <f t="shared" si="0"/>
        <v>10</v>
      </c>
      <c r="N17" s="2"/>
    </row>
    <row r="18" spans="1:15" ht="19.5" customHeight="1">
      <c r="A18" s="30">
        <v>42900</v>
      </c>
      <c r="B18" s="74"/>
      <c r="C18" s="74"/>
      <c r="D18" s="27">
        <v>213.8</v>
      </c>
      <c r="E18" s="27">
        <v>949</v>
      </c>
      <c r="F18" s="38">
        <v>206.83</v>
      </c>
      <c r="G18" s="38">
        <v>321</v>
      </c>
      <c r="H18" s="38">
        <v>55</v>
      </c>
      <c r="I18" s="31">
        <v>0</v>
      </c>
      <c r="J18" s="34">
        <v>10</v>
      </c>
      <c r="K18" s="36">
        <v>0</v>
      </c>
      <c r="L18" s="23">
        <v>0</v>
      </c>
      <c r="M18" s="23">
        <f t="shared" si="0"/>
        <v>10</v>
      </c>
      <c r="N18" s="2"/>
    </row>
    <row r="19" spans="1:15" ht="19.5" customHeight="1">
      <c r="A19" s="30">
        <v>42901</v>
      </c>
      <c r="B19" s="74"/>
      <c r="C19" s="74"/>
      <c r="D19" s="27">
        <v>213.8</v>
      </c>
      <c r="E19" s="27">
        <v>949</v>
      </c>
      <c r="F19" s="38">
        <v>206.86</v>
      </c>
      <c r="G19" s="38">
        <v>326</v>
      </c>
      <c r="H19" s="38">
        <v>34</v>
      </c>
      <c r="I19" s="31">
        <v>0</v>
      </c>
      <c r="J19" s="34">
        <v>10</v>
      </c>
      <c r="K19" s="36">
        <v>0</v>
      </c>
      <c r="L19" s="23">
        <v>0</v>
      </c>
      <c r="M19" s="23">
        <f t="shared" si="0"/>
        <v>10</v>
      </c>
      <c r="N19" s="2"/>
    </row>
    <row r="20" spans="1:15" ht="19.5" customHeight="1">
      <c r="A20" s="30">
        <v>42902</v>
      </c>
      <c r="B20" s="74"/>
      <c r="C20" s="74"/>
      <c r="D20" s="27">
        <v>213.8</v>
      </c>
      <c r="E20" s="27">
        <v>949</v>
      </c>
      <c r="F20" s="38">
        <v>207.27</v>
      </c>
      <c r="G20" s="38">
        <v>358</v>
      </c>
      <c r="H20" s="38">
        <v>314</v>
      </c>
      <c r="I20" s="31">
        <v>0</v>
      </c>
      <c r="J20" s="34">
        <v>10</v>
      </c>
      <c r="K20" s="36">
        <v>0</v>
      </c>
      <c r="L20" s="23">
        <v>0</v>
      </c>
      <c r="M20" s="23">
        <f t="shared" si="0"/>
        <v>10</v>
      </c>
      <c r="N20" s="2"/>
    </row>
    <row r="21" spans="1:15" ht="19.5" customHeight="1">
      <c r="A21" s="30">
        <v>42903</v>
      </c>
      <c r="B21" s="74"/>
      <c r="C21" s="74"/>
      <c r="D21" s="27">
        <v>213.8</v>
      </c>
      <c r="E21" s="27">
        <v>949</v>
      </c>
      <c r="F21" s="38">
        <v>207.34</v>
      </c>
      <c r="G21" s="38">
        <v>358</v>
      </c>
      <c r="H21" s="38">
        <v>61</v>
      </c>
      <c r="I21" s="31">
        <v>0</v>
      </c>
      <c r="J21" s="34">
        <v>0</v>
      </c>
      <c r="K21" s="36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30">
        <v>42904</v>
      </c>
      <c r="B22" s="74"/>
      <c r="C22" s="74"/>
      <c r="D22" s="27">
        <v>213.8</v>
      </c>
      <c r="E22" s="27">
        <v>949</v>
      </c>
      <c r="F22" s="38">
        <v>207.38</v>
      </c>
      <c r="G22" s="38">
        <v>361</v>
      </c>
      <c r="H22" s="38">
        <v>32</v>
      </c>
      <c r="I22" s="31">
        <v>0</v>
      </c>
      <c r="J22" s="34">
        <v>0</v>
      </c>
      <c r="K22" s="36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30">
        <v>42905</v>
      </c>
      <c r="B23" s="74"/>
      <c r="C23" s="74"/>
      <c r="D23" s="27">
        <v>213.8</v>
      </c>
      <c r="E23" s="27">
        <v>949</v>
      </c>
      <c r="F23" s="38">
        <v>207.38</v>
      </c>
      <c r="G23" s="38">
        <v>361</v>
      </c>
      <c r="H23" s="38">
        <v>0</v>
      </c>
      <c r="I23" s="31">
        <v>0</v>
      </c>
      <c r="J23" s="34">
        <v>0</v>
      </c>
      <c r="K23" s="36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30">
        <v>42906</v>
      </c>
      <c r="B24" s="74"/>
      <c r="C24" s="74"/>
      <c r="D24" s="27">
        <v>213.8</v>
      </c>
      <c r="E24" s="27">
        <v>949</v>
      </c>
      <c r="F24" s="38">
        <v>207.42</v>
      </c>
      <c r="G24" s="38">
        <v>364</v>
      </c>
      <c r="H24" s="38">
        <v>33</v>
      </c>
      <c r="I24" s="31">
        <v>0</v>
      </c>
      <c r="J24" s="34">
        <v>0</v>
      </c>
      <c r="K24" s="36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30">
        <v>42907</v>
      </c>
      <c r="B25" s="74"/>
      <c r="C25" s="74"/>
      <c r="D25" s="27">
        <v>213.8</v>
      </c>
      <c r="E25" s="27">
        <v>949</v>
      </c>
      <c r="F25" s="38">
        <v>207.43</v>
      </c>
      <c r="G25" s="38">
        <v>364</v>
      </c>
      <c r="H25" s="38">
        <v>8</v>
      </c>
      <c r="I25" s="31">
        <v>0</v>
      </c>
      <c r="J25" s="34">
        <v>0</v>
      </c>
      <c r="K25" s="36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30">
        <v>42908</v>
      </c>
      <c r="B26" s="74"/>
      <c r="C26" s="74"/>
      <c r="D26" s="27">
        <v>213.8</v>
      </c>
      <c r="E26" s="27">
        <v>949</v>
      </c>
      <c r="F26" s="38">
        <v>207.43</v>
      </c>
      <c r="G26" s="38">
        <v>364</v>
      </c>
      <c r="H26" s="38">
        <v>0</v>
      </c>
      <c r="I26" s="31">
        <v>0</v>
      </c>
      <c r="J26" s="34">
        <v>0</v>
      </c>
      <c r="K26" s="36">
        <v>0</v>
      </c>
      <c r="L26" s="23">
        <v>0</v>
      </c>
      <c r="M26" s="23">
        <f t="shared" si="0"/>
        <v>0</v>
      </c>
      <c r="N26" s="2"/>
      <c r="O26" s="17"/>
    </row>
    <row r="27" spans="1:15" ht="19.5" customHeight="1">
      <c r="A27" s="30">
        <v>42909</v>
      </c>
      <c r="B27" s="74"/>
      <c r="C27" s="74"/>
      <c r="D27" s="27">
        <v>213.8</v>
      </c>
      <c r="E27" s="27">
        <v>949</v>
      </c>
      <c r="F27" s="38">
        <v>207.43</v>
      </c>
      <c r="G27" s="38">
        <v>364</v>
      </c>
      <c r="H27" s="38">
        <v>0</v>
      </c>
      <c r="I27" s="31">
        <v>0</v>
      </c>
      <c r="J27" s="34">
        <v>0</v>
      </c>
      <c r="K27" s="36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30">
        <v>42910</v>
      </c>
      <c r="B28" s="74"/>
      <c r="C28" s="74"/>
      <c r="D28" s="27">
        <v>213.8</v>
      </c>
      <c r="E28" s="27">
        <v>949</v>
      </c>
      <c r="F28" s="38">
        <v>207.43</v>
      </c>
      <c r="G28" s="38">
        <v>364</v>
      </c>
      <c r="H28" s="38">
        <v>0</v>
      </c>
      <c r="I28" s="31">
        <v>0</v>
      </c>
      <c r="J28" s="34">
        <v>0</v>
      </c>
      <c r="K28" s="36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30">
        <v>42911</v>
      </c>
      <c r="B29" s="74"/>
      <c r="C29" s="74"/>
      <c r="D29" s="27">
        <v>213.8</v>
      </c>
      <c r="E29" s="27">
        <v>949</v>
      </c>
      <c r="F29" s="38">
        <v>207.44</v>
      </c>
      <c r="G29" s="38">
        <v>365</v>
      </c>
      <c r="H29" s="38">
        <v>8.1999999999999993</v>
      </c>
      <c r="I29" s="31">
        <v>0</v>
      </c>
      <c r="J29" s="34">
        <v>0</v>
      </c>
      <c r="K29" s="36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30">
        <v>42912</v>
      </c>
      <c r="B30" s="74"/>
      <c r="C30" s="74"/>
      <c r="D30" s="27">
        <v>213.8</v>
      </c>
      <c r="E30" s="27">
        <v>949</v>
      </c>
      <c r="F30" s="38">
        <v>207.57</v>
      </c>
      <c r="G30" s="38">
        <v>374</v>
      </c>
      <c r="H30" s="38">
        <v>10</v>
      </c>
      <c r="I30" s="31">
        <v>0</v>
      </c>
      <c r="J30" s="34">
        <v>0</v>
      </c>
      <c r="K30" s="36">
        <v>0</v>
      </c>
      <c r="L30" s="23">
        <v>0</v>
      </c>
      <c r="M30" s="23">
        <f t="shared" si="0"/>
        <v>0</v>
      </c>
      <c r="N30" s="2"/>
    </row>
    <row r="31" spans="1:15" ht="21" customHeight="1">
      <c r="A31" s="30">
        <v>42913</v>
      </c>
      <c r="B31" s="74"/>
      <c r="C31" s="74"/>
      <c r="D31" s="27">
        <v>213.8</v>
      </c>
      <c r="E31" s="27">
        <v>949</v>
      </c>
      <c r="F31" s="38">
        <v>207.59</v>
      </c>
      <c r="G31" s="38">
        <v>376</v>
      </c>
      <c r="H31" s="38">
        <v>16</v>
      </c>
      <c r="I31" s="31">
        <v>0</v>
      </c>
      <c r="J31" s="34">
        <v>0</v>
      </c>
      <c r="K31" s="36">
        <v>0</v>
      </c>
      <c r="L31" s="23">
        <v>0</v>
      </c>
      <c r="M31" s="23">
        <f t="shared" si="0"/>
        <v>0</v>
      </c>
      <c r="N31" s="2"/>
    </row>
    <row r="32" spans="1:15" ht="21" customHeight="1">
      <c r="A32" s="30">
        <v>42914</v>
      </c>
      <c r="B32" s="74"/>
      <c r="C32" s="74"/>
      <c r="D32" s="27">
        <v>213.8</v>
      </c>
      <c r="E32" s="27">
        <v>949</v>
      </c>
      <c r="F32" s="38">
        <v>207.62</v>
      </c>
      <c r="G32" s="38">
        <v>378</v>
      </c>
      <c r="H32" s="38">
        <v>25</v>
      </c>
      <c r="I32" s="31">
        <v>0</v>
      </c>
      <c r="J32" s="34">
        <v>0</v>
      </c>
      <c r="K32" s="36">
        <v>0</v>
      </c>
      <c r="L32" s="23">
        <v>0</v>
      </c>
      <c r="M32" s="23">
        <f t="shared" si="0"/>
        <v>0</v>
      </c>
      <c r="N32" s="2"/>
    </row>
    <row r="33" spans="1:15" ht="21" customHeight="1">
      <c r="A33" s="30">
        <v>42915</v>
      </c>
      <c r="B33" s="74"/>
      <c r="C33" s="74"/>
      <c r="D33" s="27">
        <v>213.8</v>
      </c>
      <c r="E33" s="27">
        <v>949</v>
      </c>
      <c r="F33" s="38">
        <v>207.65</v>
      </c>
      <c r="G33" s="38">
        <v>380</v>
      </c>
      <c r="H33" s="38">
        <v>25</v>
      </c>
      <c r="I33" s="31">
        <v>0</v>
      </c>
      <c r="J33" s="34">
        <v>0</v>
      </c>
      <c r="K33" s="36">
        <v>0</v>
      </c>
      <c r="L33" s="23">
        <v>0</v>
      </c>
      <c r="M33" s="23">
        <f t="shared" si="0"/>
        <v>0</v>
      </c>
      <c r="N33" s="2"/>
    </row>
    <row r="34" spans="1:15" ht="21" customHeight="1">
      <c r="A34" s="30">
        <v>42916</v>
      </c>
      <c r="B34" s="74"/>
      <c r="C34" s="74"/>
      <c r="D34" s="27">
        <v>213.8</v>
      </c>
      <c r="E34" s="27">
        <v>949</v>
      </c>
      <c r="F34" s="38">
        <v>207.65</v>
      </c>
      <c r="G34" s="38">
        <v>380</v>
      </c>
      <c r="H34" s="38">
        <v>0</v>
      </c>
      <c r="I34" s="31">
        <v>0</v>
      </c>
      <c r="J34" s="34">
        <v>0</v>
      </c>
      <c r="K34" s="36">
        <v>0</v>
      </c>
      <c r="L34" s="23">
        <v>0</v>
      </c>
      <c r="M34" s="23">
        <f t="shared" si="0"/>
        <v>0</v>
      </c>
      <c r="N34" s="2"/>
    </row>
    <row r="35" spans="1:15" ht="21" customHeight="1">
      <c r="A35" s="10"/>
      <c r="B35" s="11"/>
      <c r="C35" s="11"/>
      <c r="D35" s="12"/>
      <c r="E35" s="29"/>
      <c r="F35" s="13"/>
      <c r="G35" s="12"/>
      <c r="H35" s="14">
        <f>SUM(H5:H34)</f>
        <v>1168.2</v>
      </c>
      <c r="I35" s="14">
        <f t="shared" ref="I35:M35" si="1">SUM(I5:I34)</f>
        <v>0</v>
      </c>
      <c r="J35" s="14">
        <f t="shared" si="1"/>
        <v>160</v>
      </c>
      <c r="K35" s="14">
        <f t="shared" si="1"/>
        <v>0</v>
      </c>
      <c r="L35" s="14">
        <f t="shared" si="1"/>
        <v>0</v>
      </c>
      <c r="M35" s="14">
        <f t="shared" si="1"/>
        <v>160</v>
      </c>
      <c r="N35" s="16"/>
      <c r="O35" s="18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0.10093312597200622</v>
      </c>
      <c r="I36" s="5"/>
      <c r="J36" s="5">
        <f>J35/11574</f>
        <v>1.3824088474166234E-2</v>
      </c>
      <c r="K36" s="5">
        <f>K35/11574</f>
        <v>0</v>
      </c>
      <c r="L36" s="25"/>
      <c r="M36" s="25"/>
      <c r="N36" s="7"/>
    </row>
    <row r="37" spans="1:15" ht="15.75" customHeight="1">
      <c r="A37" s="71" t="s">
        <v>9</v>
      </c>
      <c r="B37" s="66"/>
      <c r="C37" s="66"/>
      <c r="D37" s="66"/>
      <c r="J37" s="71" t="s">
        <v>10</v>
      </c>
      <c r="K37" s="66"/>
      <c r="L37" s="66"/>
      <c r="M37" s="66"/>
      <c r="N37" s="7"/>
    </row>
    <row r="38" spans="1:15" ht="15.75" customHeight="1">
      <c r="A38" s="72" t="s">
        <v>16</v>
      </c>
      <c r="B38" s="66"/>
      <c r="C38" s="66"/>
      <c r="D38" s="66"/>
      <c r="J38" s="72" t="s">
        <v>16</v>
      </c>
      <c r="K38" s="66"/>
      <c r="L38" s="66"/>
      <c r="M38" s="66"/>
      <c r="N38" s="7"/>
    </row>
    <row r="39" spans="1:15" ht="15.75" customHeight="1">
      <c r="A39" s="65" t="s">
        <v>17</v>
      </c>
      <c r="B39" s="66"/>
      <c r="C39" s="66"/>
      <c r="D39" s="66"/>
      <c r="J39" s="65" t="s">
        <v>17</v>
      </c>
      <c r="K39" s="66"/>
      <c r="L39" s="66"/>
      <c r="M39" s="66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6" zoomScale="60" workbookViewId="0">
      <selection activeCell="E24" sqref="E24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59"/>
      <c r="B4" s="59"/>
      <c r="C4" s="59"/>
      <c r="D4" s="5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8">
        <v>42917</v>
      </c>
      <c r="B5" s="68" t="s">
        <v>11</v>
      </c>
      <c r="C5" s="68" t="s">
        <v>12</v>
      </c>
      <c r="D5" s="21">
        <v>213.8</v>
      </c>
      <c r="E5" s="27">
        <v>949</v>
      </c>
      <c r="F5" s="33">
        <v>207.68</v>
      </c>
      <c r="G5" s="33">
        <v>382</v>
      </c>
      <c r="H5" s="33">
        <v>24</v>
      </c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42918</v>
      </c>
      <c r="B6" s="69"/>
      <c r="C6" s="69"/>
      <c r="D6" s="21">
        <v>213.8</v>
      </c>
      <c r="E6" s="27">
        <v>949</v>
      </c>
      <c r="F6" s="33">
        <v>207.7</v>
      </c>
      <c r="G6" s="33">
        <v>383</v>
      </c>
      <c r="H6" s="33">
        <v>17</v>
      </c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42919</v>
      </c>
      <c r="B7" s="69"/>
      <c r="C7" s="69"/>
      <c r="D7" s="21">
        <v>213.8</v>
      </c>
      <c r="E7" s="27">
        <v>949</v>
      </c>
      <c r="F7" s="33">
        <v>207.74</v>
      </c>
      <c r="G7" s="33">
        <v>386</v>
      </c>
      <c r="H7" s="33">
        <v>33</v>
      </c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42920</v>
      </c>
      <c r="B8" s="69"/>
      <c r="C8" s="69"/>
      <c r="D8" s="21">
        <v>213.8</v>
      </c>
      <c r="E8" s="27">
        <v>949</v>
      </c>
      <c r="F8" s="33">
        <v>207.8</v>
      </c>
      <c r="G8" s="33">
        <v>391</v>
      </c>
      <c r="H8" s="33">
        <v>53</v>
      </c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42921</v>
      </c>
      <c r="B9" s="69"/>
      <c r="C9" s="69"/>
      <c r="D9" s="21">
        <v>213.8</v>
      </c>
      <c r="E9" s="27">
        <v>949</v>
      </c>
      <c r="F9" s="33">
        <v>207.84</v>
      </c>
      <c r="G9" s="33">
        <v>394</v>
      </c>
      <c r="H9" s="33">
        <v>33</v>
      </c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42922</v>
      </c>
      <c r="B10" s="69"/>
      <c r="C10" s="69"/>
      <c r="D10" s="21">
        <v>213.8</v>
      </c>
      <c r="E10" s="27">
        <v>949</v>
      </c>
      <c r="F10" s="33">
        <v>207.89</v>
      </c>
      <c r="G10" s="33">
        <v>397</v>
      </c>
      <c r="H10" s="33">
        <v>41</v>
      </c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42923</v>
      </c>
      <c r="B11" s="69"/>
      <c r="C11" s="69"/>
      <c r="D11" s="21">
        <v>213.8</v>
      </c>
      <c r="E11" s="27">
        <v>949</v>
      </c>
      <c r="F11" s="33">
        <v>207.9</v>
      </c>
      <c r="G11" s="33">
        <v>398</v>
      </c>
      <c r="H11" s="33">
        <v>8</v>
      </c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42924</v>
      </c>
      <c r="B12" s="69"/>
      <c r="C12" s="69"/>
      <c r="D12" s="21">
        <v>213.8</v>
      </c>
      <c r="E12" s="27">
        <v>949</v>
      </c>
      <c r="F12" s="33">
        <v>207.92</v>
      </c>
      <c r="G12" s="33">
        <v>399</v>
      </c>
      <c r="H12" s="33">
        <v>16</v>
      </c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42925</v>
      </c>
      <c r="B13" s="69"/>
      <c r="C13" s="69"/>
      <c r="D13" s="21">
        <v>213.8</v>
      </c>
      <c r="E13" s="27">
        <v>949</v>
      </c>
      <c r="F13" s="33">
        <v>207.93</v>
      </c>
      <c r="G13" s="33">
        <v>400</v>
      </c>
      <c r="H13" s="33">
        <v>8</v>
      </c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42926</v>
      </c>
      <c r="B14" s="69"/>
      <c r="C14" s="69"/>
      <c r="D14" s="21">
        <v>213.8</v>
      </c>
      <c r="E14" s="27">
        <v>949</v>
      </c>
      <c r="F14" s="33">
        <v>207.94</v>
      </c>
      <c r="G14" s="33">
        <v>401</v>
      </c>
      <c r="H14" s="33">
        <v>8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42927</v>
      </c>
      <c r="B15" s="69"/>
      <c r="C15" s="69"/>
      <c r="D15" s="21">
        <v>213.8</v>
      </c>
      <c r="E15" s="27">
        <v>949</v>
      </c>
      <c r="F15" s="33">
        <v>207.97</v>
      </c>
      <c r="G15" s="33">
        <v>403</v>
      </c>
      <c r="H15" s="33">
        <v>25</v>
      </c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42928</v>
      </c>
      <c r="B16" s="69"/>
      <c r="C16" s="69"/>
      <c r="D16" s="21">
        <v>213.8</v>
      </c>
      <c r="E16" s="27">
        <v>949</v>
      </c>
      <c r="F16" s="33">
        <v>207.97</v>
      </c>
      <c r="G16" s="33">
        <v>403</v>
      </c>
      <c r="H16" s="33">
        <v>0</v>
      </c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42929</v>
      </c>
      <c r="B17" s="69"/>
      <c r="C17" s="69"/>
      <c r="D17" s="21">
        <v>213.8</v>
      </c>
      <c r="E17" s="27">
        <v>949</v>
      </c>
      <c r="F17" s="33">
        <v>207.97</v>
      </c>
      <c r="G17" s="33">
        <v>403</v>
      </c>
      <c r="H17" s="33">
        <v>0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42930</v>
      </c>
      <c r="B18" s="69"/>
      <c r="C18" s="69"/>
      <c r="D18" s="21">
        <v>213.8</v>
      </c>
      <c r="E18" s="27">
        <v>949</v>
      </c>
      <c r="F18" s="33">
        <v>207.97</v>
      </c>
      <c r="G18" s="33">
        <v>403</v>
      </c>
      <c r="H18" s="33">
        <v>0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42931</v>
      </c>
      <c r="B19" s="69"/>
      <c r="C19" s="69"/>
      <c r="D19" s="21">
        <v>213.8</v>
      </c>
      <c r="E19" s="27">
        <v>949</v>
      </c>
      <c r="F19" s="33">
        <v>207.97</v>
      </c>
      <c r="G19" s="33">
        <v>403</v>
      </c>
      <c r="H19" s="33">
        <v>0</v>
      </c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42932</v>
      </c>
      <c r="B20" s="69"/>
      <c r="C20" s="69"/>
      <c r="D20" s="21">
        <v>213.8</v>
      </c>
      <c r="E20" s="27">
        <v>949</v>
      </c>
      <c r="F20" s="33">
        <v>207.97</v>
      </c>
      <c r="G20" s="33">
        <v>403</v>
      </c>
      <c r="H20" s="33">
        <v>0</v>
      </c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42933</v>
      </c>
      <c r="B21" s="69"/>
      <c r="C21" s="69"/>
      <c r="D21" s="21">
        <v>213.8</v>
      </c>
      <c r="E21" s="27">
        <v>949</v>
      </c>
      <c r="F21" s="33">
        <v>207.99</v>
      </c>
      <c r="G21" s="33">
        <v>404</v>
      </c>
      <c r="H21" s="33">
        <v>16</v>
      </c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42934</v>
      </c>
      <c r="B22" s="69"/>
      <c r="C22" s="69"/>
      <c r="D22" s="21">
        <v>213.8</v>
      </c>
      <c r="E22" s="27">
        <v>949</v>
      </c>
      <c r="F22" s="33">
        <v>208.07</v>
      </c>
      <c r="G22" s="33">
        <v>410</v>
      </c>
      <c r="H22" s="33">
        <v>25</v>
      </c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42935</v>
      </c>
      <c r="B23" s="69"/>
      <c r="C23" s="69"/>
      <c r="D23" s="21">
        <v>213.8</v>
      </c>
      <c r="E23" s="27">
        <v>949</v>
      </c>
      <c r="F23" s="33">
        <v>208.13</v>
      </c>
      <c r="G23" s="43">
        <v>415</v>
      </c>
      <c r="H23" s="33">
        <v>74</v>
      </c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42936</v>
      </c>
      <c r="B24" s="69"/>
      <c r="C24" s="69"/>
      <c r="D24" s="21">
        <v>213.8</v>
      </c>
      <c r="E24" s="27">
        <v>949</v>
      </c>
      <c r="F24" s="33">
        <v>208.2</v>
      </c>
      <c r="G24" s="44">
        <v>419</v>
      </c>
      <c r="H24" s="33">
        <v>57</v>
      </c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42937</v>
      </c>
      <c r="B25" s="69"/>
      <c r="C25" s="69"/>
      <c r="D25" s="21">
        <v>213.8</v>
      </c>
      <c r="E25" s="27">
        <v>949</v>
      </c>
      <c r="F25" s="33">
        <v>208.14</v>
      </c>
      <c r="G25" s="44">
        <v>422</v>
      </c>
      <c r="H25" s="33">
        <v>24</v>
      </c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42938</v>
      </c>
      <c r="B26" s="69"/>
      <c r="C26" s="69"/>
      <c r="D26" s="21">
        <v>213.8</v>
      </c>
      <c r="E26" s="27">
        <v>949</v>
      </c>
      <c r="F26" s="33">
        <v>208.24</v>
      </c>
      <c r="G26" s="44">
        <v>422</v>
      </c>
      <c r="H26" s="33">
        <v>0</v>
      </c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7"/>
    </row>
    <row r="27" spans="1:15" ht="19.5" customHeight="1">
      <c r="A27" s="8">
        <v>42939</v>
      </c>
      <c r="B27" s="69"/>
      <c r="C27" s="69"/>
      <c r="D27" s="21">
        <v>213.8</v>
      </c>
      <c r="E27" s="27">
        <v>949</v>
      </c>
      <c r="F27" s="33">
        <v>208.27</v>
      </c>
      <c r="G27" s="44">
        <v>424</v>
      </c>
      <c r="H27" s="33">
        <v>33</v>
      </c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8">
        <v>42940</v>
      </c>
      <c r="B28" s="69"/>
      <c r="C28" s="69"/>
      <c r="D28" s="21">
        <v>213.8</v>
      </c>
      <c r="E28" s="27">
        <v>949</v>
      </c>
      <c r="F28" s="33">
        <v>208.27</v>
      </c>
      <c r="G28" s="44">
        <v>424</v>
      </c>
      <c r="H28" s="33">
        <v>0</v>
      </c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8">
        <v>42941</v>
      </c>
      <c r="B29" s="69"/>
      <c r="C29" s="69"/>
      <c r="D29" s="21">
        <v>213.8</v>
      </c>
      <c r="E29" s="27">
        <v>949</v>
      </c>
      <c r="F29" s="33">
        <v>208.28</v>
      </c>
      <c r="G29" s="44">
        <v>425</v>
      </c>
      <c r="H29" s="33">
        <v>8</v>
      </c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8">
        <v>42942</v>
      </c>
      <c r="B30" s="69"/>
      <c r="C30" s="69"/>
      <c r="D30" s="21">
        <v>213.8</v>
      </c>
      <c r="E30" s="27">
        <v>949</v>
      </c>
      <c r="F30" s="33">
        <v>208.23</v>
      </c>
      <c r="G30" s="44">
        <v>425</v>
      </c>
      <c r="H30" s="33">
        <v>0</v>
      </c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8">
        <v>42943</v>
      </c>
      <c r="B31" s="69"/>
      <c r="C31" s="69"/>
      <c r="D31" s="21">
        <v>213.8</v>
      </c>
      <c r="E31" s="27">
        <v>949</v>
      </c>
      <c r="F31" s="33">
        <v>208.23</v>
      </c>
      <c r="G31" s="44">
        <v>425</v>
      </c>
      <c r="H31" s="33">
        <v>0</v>
      </c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8">
        <v>42944</v>
      </c>
      <c r="B32" s="69"/>
      <c r="C32" s="69"/>
      <c r="D32" s="21">
        <v>213.8</v>
      </c>
      <c r="E32" s="27">
        <v>949</v>
      </c>
      <c r="F32" s="33">
        <v>208.23</v>
      </c>
      <c r="G32" s="44">
        <v>425</v>
      </c>
      <c r="H32" s="33">
        <v>0</v>
      </c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8">
        <v>42945</v>
      </c>
      <c r="B33" s="69"/>
      <c r="C33" s="69"/>
      <c r="D33" s="21">
        <v>213.8</v>
      </c>
      <c r="E33" s="27">
        <v>949</v>
      </c>
      <c r="F33" s="33">
        <v>208.23</v>
      </c>
      <c r="G33" s="33">
        <v>422</v>
      </c>
      <c r="H33" s="33">
        <v>0</v>
      </c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8">
        <v>42946</v>
      </c>
      <c r="B34" s="69"/>
      <c r="C34" s="69"/>
      <c r="D34" s="21">
        <v>213.8</v>
      </c>
      <c r="E34" s="27">
        <v>949</v>
      </c>
      <c r="F34" s="33">
        <v>208.18</v>
      </c>
      <c r="G34" s="33">
        <v>418</v>
      </c>
      <c r="H34" s="33">
        <v>0</v>
      </c>
      <c r="I34" s="23">
        <v>0</v>
      </c>
      <c r="J34" s="1">
        <v>20</v>
      </c>
      <c r="K34" s="1">
        <v>20</v>
      </c>
      <c r="L34" s="23">
        <v>0</v>
      </c>
      <c r="M34" s="23">
        <f t="shared" si="0"/>
        <v>40</v>
      </c>
      <c r="N34" s="2"/>
    </row>
    <row r="35" spans="1:15" ht="21" customHeight="1">
      <c r="A35" s="8">
        <v>42947</v>
      </c>
      <c r="B35" s="70"/>
      <c r="C35" s="70"/>
      <c r="D35" s="22">
        <v>213.8</v>
      </c>
      <c r="E35" s="27">
        <v>949</v>
      </c>
      <c r="F35" s="33">
        <v>208.15</v>
      </c>
      <c r="G35" s="33">
        <v>415</v>
      </c>
      <c r="H35" s="33">
        <v>16</v>
      </c>
      <c r="I35" s="23">
        <v>0</v>
      </c>
      <c r="J35" s="1">
        <v>20</v>
      </c>
      <c r="K35" s="1">
        <v>20</v>
      </c>
      <c r="L35" s="23">
        <v>0</v>
      </c>
      <c r="M35" s="23">
        <f t="shared" si="0"/>
        <v>40</v>
      </c>
      <c r="N35" s="2"/>
    </row>
    <row r="36" spans="1:15" ht="21" customHeight="1">
      <c r="A36" s="10"/>
      <c r="B36" s="11"/>
      <c r="C36" s="11"/>
      <c r="D36" s="12"/>
      <c r="E36" s="12"/>
      <c r="F36" s="13"/>
      <c r="G36" s="12"/>
      <c r="H36" s="14">
        <f>SUM(H5:H35)</f>
        <v>519</v>
      </c>
      <c r="I36" s="14"/>
      <c r="J36" s="14">
        <f>SUM(J5:J35)</f>
        <v>40</v>
      </c>
      <c r="K36" s="14">
        <f>SUM(K5:K35)</f>
        <v>40</v>
      </c>
      <c r="L36" s="15"/>
      <c r="M36" s="15"/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4.4841886988076722E-2</v>
      </c>
      <c r="I37" s="5"/>
      <c r="J37" s="5">
        <f>J36/11574</f>
        <v>3.4560221185415585E-3</v>
      </c>
      <c r="K37" s="5">
        <f>K36/11574</f>
        <v>3.4560221185415585E-3</v>
      </c>
      <c r="L37" s="25"/>
      <c r="M37" s="25"/>
      <c r="N37" s="7"/>
    </row>
    <row r="38" spans="1:15" ht="15.75" customHeight="1">
      <c r="A38" s="71" t="s">
        <v>9</v>
      </c>
      <c r="B38" s="66"/>
      <c r="C38" s="66"/>
      <c r="D38" s="66"/>
      <c r="J38" s="71" t="s">
        <v>10</v>
      </c>
      <c r="K38" s="66"/>
      <c r="L38" s="66"/>
      <c r="M38" s="66"/>
      <c r="N38" s="7"/>
    </row>
    <row r="39" spans="1:15" ht="15.75" customHeight="1">
      <c r="A39" s="72" t="s">
        <v>16</v>
      </c>
      <c r="B39" s="66"/>
      <c r="C39" s="66"/>
      <c r="D39" s="66"/>
      <c r="J39" s="72" t="s">
        <v>16</v>
      </c>
      <c r="K39" s="66"/>
      <c r="L39" s="66"/>
      <c r="M39" s="66"/>
      <c r="N39" s="7"/>
    </row>
    <row r="40" spans="1:15" ht="15.75" customHeight="1">
      <c r="A40" s="65" t="s">
        <v>17</v>
      </c>
      <c r="B40" s="66"/>
      <c r="C40" s="66"/>
      <c r="D40" s="66"/>
      <c r="J40" s="65" t="s">
        <v>17</v>
      </c>
      <c r="K40" s="66"/>
      <c r="L40" s="66"/>
      <c r="M40" s="66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9" zoomScale="60" workbookViewId="0">
      <selection activeCell="J9" sqref="J9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59"/>
      <c r="B4" s="59"/>
      <c r="C4" s="59"/>
      <c r="D4" s="5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45">
        <v>42948</v>
      </c>
      <c r="B5" s="68" t="s">
        <v>11</v>
      </c>
      <c r="C5" s="68" t="s">
        <v>12</v>
      </c>
      <c r="D5" s="21">
        <v>213.8</v>
      </c>
      <c r="E5" s="27">
        <v>949</v>
      </c>
      <c r="F5" s="33">
        <v>208.1</v>
      </c>
      <c r="G5" s="33">
        <v>413</v>
      </c>
      <c r="H5" s="33">
        <v>10</v>
      </c>
      <c r="I5" s="23">
        <v>20</v>
      </c>
      <c r="J5" s="34">
        <v>30</v>
      </c>
      <c r="K5" s="33"/>
      <c r="L5" s="23">
        <v>0</v>
      </c>
      <c r="M5" s="23">
        <f>L5+K5+J5+I5</f>
        <v>50</v>
      </c>
      <c r="N5" s="2"/>
    </row>
    <row r="6" spans="1:14" ht="19.5" customHeight="1">
      <c r="A6" s="45">
        <v>42949</v>
      </c>
      <c r="B6" s="69"/>
      <c r="C6" s="69"/>
      <c r="D6" s="21">
        <v>213.8</v>
      </c>
      <c r="E6" s="27">
        <v>949</v>
      </c>
      <c r="F6" s="33">
        <v>208.02</v>
      </c>
      <c r="G6" s="33">
        <v>406</v>
      </c>
      <c r="H6" s="33"/>
      <c r="I6" s="23">
        <v>30</v>
      </c>
      <c r="J6" s="34">
        <v>35</v>
      </c>
      <c r="K6" s="33"/>
      <c r="L6" s="23">
        <v>0</v>
      </c>
      <c r="M6" s="23">
        <f t="shared" ref="M6:M35" si="0">L6+K6+J6+I6</f>
        <v>65</v>
      </c>
      <c r="N6" s="2"/>
    </row>
    <row r="7" spans="1:14" ht="19.5" customHeight="1">
      <c r="A7" s="45">
        <v>42950</v>
      </c>
      <c r="B7" s="69"/>
      <c r="C7" s="69"/>
      <c r="D7" s="21">
        <v>213.8</v>
      </c>
      <c r="E7" s="27">
        <v>949</v>
      </c>
      <c r="F7" s="33">
        <v>207.94</v>
      </c>
      <c r="G7" s="33">
        <v>401</v>
      </c>
      <c r="H7" s="33">
        <v>0</v>
      </c>
      <c r="I7" s="23">
        <v>0</v>
      </c>
      <c r="J7" s="34">
        <v>35</v>
      </c>
      <c r="K7" s="33">
        <v>30</v>
      </c>
      <c r="L7" s="23">
        <v>0</v>
      </c>
      <c r="M7" s="23">
        <f t="shared" si="0"/>
        <v>65</v>
      </c>
      <c r="N7" s="2"/>
    </row>
    <row r="8" spans="1:14" ht="19.5" customHeight="1">
      <c r="A8" s="45">
        <v>42951</v>
      </c>
      <c r="B8" s="69"/>
      <c r="C8" s="69"/>
      <c r="D8" s="21">
        <v>213.8</v>
      </c>
      <c r="E8" s="27">
        <v>949</v>
      </c>
      <c r="F8" s="33">
        <v>207.85</v>
      </c>
      <c r="G8" s="33">
        <v>394</v>
      </c>
      <c r="H8" s="33">
        <v>0</v>
      </c>
      <c r="I8" s="23">
        <v>0</v>
      </c>
      <c r="J8" s="34">
        <v>35</v>
      </c>
      <c r="K8" s="33">
        <v>30</v>
      </c>
      <c r="L8" s="23">
        <v>0</v>
      </c>
      <c r="M8" s="23">
        <f t="shared" si="0"/>
        <v>65</v>
      </c>
      <c r="N8" s="2"/>
    </row>
    <row r="9" spans="1:14" ht="19.5" customHeight="1">
      <c r="A9" s="45">
        <v>42952</v>
      </c>
      <c r="B9" s="69"/>
      <c r="C9" s="69"/>
      <c r="D9" s="21">
        <v>213.8</v>
      </c>
      <c r="E9" s="27">
        <v>949</v>
      </c>
      <c r="F9" s="33">
        <v>207.8</v>
      </c>
      <c r="G9" s="33">
        <v>491</v>
      </c>
      <c r="H9" s="33">
        <v>24</v>
      </c>
      <c r="I9" s="23">
        <v>0</v>
      </c>
      <c r="J9" s="34">
        <v>35</v>
      </c>
      <c r="K9" s="33">
        <v>30</v>
      </c>
      <c r="L9" s="23">
        <v>0</v>
      </c>
      <c r="M9" s="23">
        <f t="shared" si="0"/>
        <v>65</v>
      </c>
      <c r="N9" s="2"/>
    </row>
    <row r="10" spans="1:14" ht="19.5" customHeight="1">
      <c r="A10" s="45">
        <v>42953</v>
      </c>
      <c r="B10" s="69"/>
      <c r="C10" s="69"/>
      <c r="D10" s="21">
        <v>213.8</v>
      </c>
      <c r="E10" s="27">
        <v>949</v>
      </c>
      <c r="F10" s="33">
        <v>207.75</v>
      </c>
      <c r="G10" s="33">
        <v>387</v>
      </c>
      <c r="H10" s="33">
        <v>0</v>
      </c>
      <c r="I10" s="23">
        <v>0</v>
      </c>
      <c r="J10" s="34">
        <v>35</v>
      </c>
      <c r="K10" s="33">
        <v>30</v>
      </c>
      <c r="L10" s="23">
        <v>0</v>
      </c>
      <c r="M10" s="23">
        <f t="shared" si="0"/>
        <v>65</v>
      </c>
      <c r="N10" s="2"/>
    </row>
    <row r="11" spans="1:14" ht="19.5" customHeight="1">
      <c r="A11" s="45">
        <v>42954</v>
      </c>
      <c r="B11" s="69"/>
      <c r="C11" s="69"/>
      <c r="D11" s="21">
        <v>213.8</v>
      </c>
      <c r="E11" s="27">
        <v>949</v>
      </c>
      <c r="F11" s="33">
        <v>207.73</v>
      </c>
      <c r="G11" s="33">
        <v>386</v>
      </c>
      <c r="H11" s="33">
        <v>15</v>
      </c>
      <c r="I11" s="23">
        <v>0</v>
      </c>
      <c r="J11" s="34">
        <v>30</v>
      </c>
      <c r="K11" s="33">
        <v>30</v>
      </c>
      <c r="L11" s="23">
        <v>0</v>
      </c>
      <c r="M11" s="23">
        <f t="shared" si="0"/>
        <v>60</v>
      </c>
      <c r="N11" s="2"/>
    </row>
    <row r="12" spans="1:14" ht="19.5" customHeight="1">
      <c r="A12" s="45">
        <v>42955</v>
      </c>
      <c r="B12" s="69"/>
      <c r="C12" s="69"/>
      <c r="D12" s="21">
        <v>213.8</v>
      </c>
      <c r="E12" s="27">
        <v>949</v>
      </c>
      <c r="F12" s="33">
        <v>207.65</v>
      </c>
      <c r="G12" s="33">
        <v>380</v>
      </c>
      <c r="H12" s="33">
        <v>0</v>
      </c>
      <c r="I12" s="23">
        <v>0</v>
      </c>
      <c r="J12" s="34">
        <v>35</v>
      </c>
      <c r="K12" s="33">
        <v>30</v>
      </c>
      <c r="L12" s="23">
        <v>0</v>
      </c>
      <c r="M12" s="23">
        <f t="shared" si="0"/>
        <v>65</v>
      </c>
      <c r="N12" s="2"/>
    </row>
    <row r="13" spans="1:14" ht="19.5" customHeight="1">
      <c r="A13" s="45">
        <v>42956</v>
      </c>
      <c r="B13" s="69"/>
      <c r="C13" s="69"/>
      <c r="D13" s="21">
        <v>213.8</v>
      </c>
      <c r="E13" s="27">
        <v>949</v>
      </c>
      <c r="F13" s="33">
        <v>207.53</v>
      </c>
      <c r="G13" s="33">
        <v>371</v>
      </c>
      <c r="H13" s="33">
        <v>0</v>
      </c>
      <c r="I13" s="23">
        <v>0</v>
      </c>
      <c r="J13" s="34">
        <v>45</v>
      </c>
      <c r="K13" s="33">
        <v>40</v>
      </c>
      <c r="L13" s="23">
        <v>0</v>
      </c>
      <c r="M13" s="23">
        <f t="shared" si="0"/>
        <v>85</v>
      </c>
      <c r="N13" s="2"/>
    </row>
    <row r="14" spans="1:14" ht="19.5" customHeight="1">
      <c r="A14" s="45">
        <v>42957</v>
      </c>
      <c r="B14" s="69"/>
      <c r="C14" s="69"/>
      <c r="D14" s="21">
        <v>213.8</v>
      </c>
      <c r="E14" s="27">
        <v>949</v>
      </c>
      <c r="F14" s="33">
        <v>207.4</v>
      </c>
      <c r="G14" s="33">
        <v>362</v>
      </c>
      <c r="H14" s="33">
        <v>0</v>
      </c>
      <c r="I14" s="23">
        <v>0</v>
      </c>
      <c r="J14" s="34">
        <v>45</v>
      </c>
      <c r="K14" s="33">
        <v>40</v>
      </c>
      <c r="L14" s="23">
        <v>0</v>
      </c>
      <c r="M14" s="23">
        <f t="shared" si="0"/>
        <v>85</v>
      </c>
      <c r="N14" s="2"/>
    </row>
    <row r="15" spans="1:14" ht="19.5" customHeight="1">
      <c r="A15" s="45">
        <v>42958</v>
      </c>
      <c r="B15" s="69"/>
      <c r="C15" s="69"/>
      <c r="D15" s="21">
        <v>213.8</v>
      </c>
      <c r="E15" s="27">
        <v>949</v>
      </c>
      <c r="F15" s="33">
        <v>207.3</v>
      </c>
      <c r="G15" s="33">
        <v>355</v>
      </c>
      <c r="H15" s="33">
        <v>10</v>
      </c>
      <c r="I15" s="23">
        <v>0</v>
      </c>
      <c r="J15" s="34">
        <v>55</v>
      </c>
      <c r="K15" s="33">
        <v>40</v>
      </c>
      <c r="L15" s="23">
        <v>0</v>
      </c>
      <c r="M15" s="23">
        <f t="shared" si="0"/>
        <v>95</v>
      </c>
      <c r="N15" s="2"/>
    </row>
    <row r="16" spans="1:14" ht="19.5" customHeight="1">
      <c r="A16" s="45">
        <v>42959</v>
      </c>
      <c r="B16" s="69"/>
      <c r="C16" s="69"/>
      <c r="D16" s="21">
        <v>213.8</v>
      </c>
      <c r="E16" s="27">
        <v>949</v>
      </c>
      <c r="F16" s="33">
        <v>207.19</v>
      </c>
      <c r="G16" s="33">
        <v>347</v>
      </c>
      <c r="H16" s="33">
        <v>5</v>
      </c>
      <c r="I16" s="23">
        <v>0</v>
      </c>
      <c r="J16" s="34">
        <v>55</v>
      </c>
      <c r="K16" s="33">
        <v>45</v>
      </c>
      <c r="L16" s="23">
        <v>0</v>
      </c>
      <c r="M16" s="23">
        <f t="shared" si="0"/>
        <v>100</v>
      </c>
      <c r="N16" s="2"/>
    </row>
    <row r="17" spans="1:15" ht="19.5" customHeight="1">
      <c r="A17" s="45">
        <v>42960</v>
      </c>
      <c r="B17" s="69"/>
      <c r="C17" s="69"/>
      <c r="D17" s="21">
        <v>213.8</v>
      </c>
      <c r="E17" s="27">
        <v>949</v>
      </c>
      <c r="F17" s="33">
        <v>207.07</v>
      </c>
      <c r="G17" s="33">
        <v>339</v>
      </c>
      <c r="H17" s="33">
        <v>0</v>
      </c>
      <c r="I17" s="23">
        <v>0</v>
      </c>
      <c r="J17" s="34">
        <v>55</v>
      </c>
      <c r="K17" s="33">
        <v>40</v>
      </c>
      <c r="L17" s="23">
        <v>0</v>
      </c>
      <c r="M17" s="23">
        <f t="shared" si="0"/>
        <v>95</v>
      </c>
      <c r="N17" s="2"/>
    </row>
    <row r="18" spans="1:15" ht="19.5" customHeight="1">
      <c r="A18" s="45">
        <v>42961</v>
      </c>
      <c r="B18" s="69"/>
      <c r="C18" s="69"/>
      <c r="D18" s="21">
        <v>213.8</v>
      </c>
      <c r="E18" s="27">
        <v>949</v>
      </c>
      <c r="F18" s="33">
        <v>206.98</v>
      </c>
      <c r="G18" s="33">
        <v>332</v>
      </c>
      <c r="H18" s="33">
        <v>20</v>
      </c>
      <c r="I18" s="23">
        <v>0</v>
      </c>
      <c r="J18" s="34">
        <v>55</v>
      </c>
      <c r="K18" s="33">
        <v>40</v>
      </c>
      <c r="L18" s="23">
        <v>0</v>
      </c>
      <c r="M18" s="23">
        <f t="shared" si="0"/>
        <v>95</v>
      </c>
      <c r="N18" s="2"/>
    </row>
    <row r="19" spans="1:15" ht="19.5" customHeight="1">
      <c r="A19" s="45">
        <v>42962</v>
      </c>
      <c r="B19" s="69"/>
      <c r="C19" s="69"/>
      <c r="D19" s="21">
        <v>213.8</v>
      </c>
      <c r="E19" s="27">
        <v>949</v>
      </c>
      <c r="F19" s="33">
        <v>206.88</v>
      </c>
      <c r="G19" s="33">
        <v>305</v>
      </c>
      <c r="H19" s="33">
        <v>10</v>
      </c>
      <c r="I19" s="23">
        <v>0</v>
      </c>
      <c r="J19" s="34">
        <v>55</v>
      </c>
      <c r="K19" s="33">
        <v>40</v>
      </c>
      <c r="L19" s="23">
        <v>0</v>
      </c>
      <c r="M19" s="23">
        <f t="shared" si="0"/>
        <v>95</v>
      </c>
      <c r="N19" s="2"/>
    </row>
    <row r="20" spans="1:15" ht="19.5" customHeight="1">
      <c r="A20" s="45">
        <v>42963</v>
      </c>
      <c r="B20" s="69"/>
      <c r="C20" s="69"/>
      <c r="D20" s="21">
        <v>213.8</v>
      </c>
      <c r="E20" s="27">
        <v>949</v>
      </c>
      <c r="F20" s="33">
        <v>206.77</v>
      </c>
      <c r="G20" s="33">
        <v>319</v>
      </c>
      <c r="H20" s="33">
        <v>29</v>
      </c>
      <c r="I20" s="23">
        <v>0</v>
      </c>
      <c r="J20" s="34">
        <v>65</v>
      </c>
      <c r="K20" s="33">
        <v>55</v>
      </c>
      <c r="L20" s="23">
        <v>0</v>
      </c>
      <c r="M20" s="23">
        <f t="shared" si="0"/>
        <v>120</v>
      </c>
      <c r="N20" s="2"/>
    </row>
    <row r="21" spans="1:15" ht="19.5" customHeight="1">
      <c r="A21" s="45">
        <v>42964</v>
      </c>
      <c r="B21" s="69"/>
      <c r="C21" s="69"/>
      <c r="D21" s="21">
        <v>213.8</v>
      </c>
      <c r="E21" s="27">
        <v>949</v>
      </c>
      <c r="F21" s="33">
        <v>206.66</v>
      </c>
      <c r="G21" s="33">
        <v>311</v>
      </c>
      <c r="H21" s="33">
        <v>40</v>
      </c>
      <c r="I21" s="23">
        <v>0</v>
      </c>
      <c r="J21" s="34">
        <v>50</v>
      </c>
      <c r="K21" s="33">
        <v>65</v>
      </c>
      <c r="L21" s="23">
        <v>0</v>
      </c>
      <c r="M21" s="23">
        <f t="shared" si="0"/>
        <v>115</v>
      </c>
      <c r="N21" s="2"/>
    </row>
    <row r="22" spans="1:15" ht="19.5" customHeight="1">
      <c r="A22" s="45">
        <v>42965</v>
      </c>
      <c r="B22" s="69"/>
      <c r="C22" s="69"/>
      <c r="D22" s="21">
        <v>213.8</v>
      </c>
      <c r="E22" s="27">
        <v>949</v>
      </c>
      <c r="F22" s="33">
        <v>206.54</v>
      </c>
      <c r="G22" s="33">
        <v>304</v>
      </c>
      <c r="H22" s="33">
        <v>29</v>
      </c>
      <c r="I22" s="23">
        <v>0</v>
      </c>
      <c r="J22" s="34">
        <v>50</v>
      </c>
      <c r="K22" s="33">
        <v>65</v>
      </c>
      <c r="L22" s="23">
        <v>0</v>
      </c>
      <c r="M22" s="23">
        <f t="shared" si="0"/>
        <v>115</v>
      </c>
      <c r="N22" s="2"/>
    </row>
    <row r="23" spans="1:15" ht="19.5" customHeight="1">
      <c r="A23" s="45">
        <v>42966</v>
      </c>
      <c r="B23" s="69"/>
      <c r="C23" s="69"/>
      <c r="D23" s="21">
        <v>213.8</v>
      </c>
      <c r="E23" s="27">
        <v>949</v>
      </c>
      <c r="F23" s="33">
        <v>206.48</v>
      </c>
      <c r="G23" s="33">
        <v>300</v>
      </c>
      <c r="H23" s="33">
        <v>74</v>
      </c>
      <c r="I23" s="23">
        <v>0</v>
      </c>
      <c r="J23" s="34">
        <v>50</v>
      </c>
      <c r="K23" s="33">
        <v>65</v>
      </c>
      <c r="L23" s="23">
        <v>0</v>
      </c>
      <c r="M23" s="23">
        <f t="shared" si="0"/>
        <v>115</v>
      </c>
      <c r="N23" s="2"/>
    </row>
    <row r="24" spans="1:15" ht="19.5" customHeight="1">
      <c r="A24" s="45">
        <v>42967</v>
      </c>
      <c r="B24" s="69"/>
      <c r="C24" s="69"/>
      <c r="D24" s="21">
        <v>213.8</v>
      </c>
      <c r="E24" s="27">
        <v>949</v>
      </c>
      <c r="F24" s="33">
        <v>206.42</v>
      </c>
      <c r="G24" s="33">
        <v>297</v>
      </c>
      <c r="H24" s="33">
        <v>74</v>
      </c>
      <c r="I24" s="23">
        <v>0</v>
      </c>
      <c r="J24" s="34">
        <v>50</v>
      </c>
      <c r="K24" s="33">
        <v>65</v>
      </c>
      <c r="L24" s="23">
        <v>0</v>
      </c>
      <c r="M24" s="23">
        <f t="shared" si="0"/>
        <v>115</v>
      </c>
      <c r="N24" s="2"/>
    </row>
    <row r="25" spans="1:15" ht="19.5" customHeight="1">
      <c r="A25" s="45">
        <v>42968</v>
      </c>
      <c r="B25" s="69"/>
      <c r="C25" s="69"/>
      <c r="D25" s="21">
        <v>213.8</v>
      </c>
      <c r="E25" s="27">
        <v>949</v>
      </c>
      <c r="F25" s="33">
        <v>206.34</v>
      </c>
      <c r="G25" s="33">
        <v>292</v>
      </c>
      <c r="H25" s="33">
        <v>61</v>
      </c>
      <c r="I25" s="23">
        <v>0</v>
      </c>
      <c r="J25" s="34">
        <v>50</v>
      </c>
      <c r="K25" s="33">
        <v>65</v>
      </c>
      <c r="L25" s="23">
        <v>0</v>
      </c>
      <c r="M25" s="23">
        <f t="shared" si="0"/>
        <v>115</v>
      </c>
      <c r="N25" s="2"/>
    </row>
    <row r="26" spans="1:15" ht="19.5" customHeight="1">
      <c r="A26" s="45">
        <v>42969</v>
      </c>
      <c r="B26" s="69"/>
      <c r="C26" s="69"/>
      <c r="D26" s="21">
        <v>213.8</v>
      </c>
      <c r="E26" s="27">
        <v>949</v>
      </c>
      <c r="F26" s="33">
        <v>206.23</v>
      </c>
      <c r="G26" s="33">
        <v>285</v>
      </c>
      <c r="H26" s="33">
        <v>37</v>
      </c>
      <c r="I26" s="23">
        <v>0</v>
      </c>
      <c r="J26" s="34">
        <v>50</v>
      </c>
      <c r="K26" s="33">
        <v>65</v>
      </c>
      <c r="L26" s="23">
        <v>0</v>
      </c>
      <c r="M26" s="23">
        <f t="shared" si="0"/>
        <v>115</v>
      </c>
      <c r="N26" s="2"/>
      <c r="O26" s="17"/>
    </row>
    <row r="27" spans="1:15" ht="19.5" customHeight="1">
      <c r="A27" s="45">
        <v>42970</v>
      </c>
      <c r="B27" s="69"/>
      <c r="C27" s="69"/>
      <c r="D27" s="21">
        <v>213.8</v>
      </c>
      <c r="E27" s="27">
        <v>949</v>
      </c>
      <c r="F27" s="33">
        <v>206.17</v>
      </c>
      <c r="G27" s="33">
        <v>282</v>
      </c>
      <c r="H27" s="33">
        <v>74</v>
      </c>
      <c r="I27" s="23">
        <v>0</v>
      </c>
      <c r="J27" s="34">
        <v>50</v>
      </c>
      <c r="K27" s="33">
        <v>65</v>
      </c>
      <c r="L27" s="23">
        <v>0</v>
      </c>
      <c r="M27" s="23">
        <f t="shared" si="0"/>
        <v>115</v>
      </c>
      <c r="N27" s="2"/>
    </row>
    <row r="28" spans="1:15" ht="19.5" customHeight="1">
      <c r="A28" s="45">
        <v>42971</v>
      </c>
      <c r="B28" s="69"/>
      <c r="C28" s="69"/>
      <c r="D28" s="21">
        <v>213.8</v>
      </c>
      <c r="E28" s="27">
        <v>949</v>
      </c>
      <c r="F28" s="33">
        <v>206.8</v>
      </c>
      <c r="G28" s="46">
        <v>276</v>
      </c>
      <c r="H28" s="33">
        <v>53</v>
      </c>
      <c r="I28" s="23">
        <v>0</v>
      </c>
      <c r="J28" s="34">
        <v>50</v>
      </c>
      <c r="K28" s="33">
        <v>65</v>
      </c>
      <c r="L28" s="23">
        <v>0</v>
      </c>
      <c r="M28" s="23">
        <f t="shared" si="0"/>
        <v>115</v>
      </c>
      <c r="N28" s="2"/>
    </row>
    <row r="29" spans="1:15" ht="19.5" customHeight="1">
      <c r="A29" s="45">
        <v>42972</v>
      </c>
      <c r="B29" s="69"/>
      <c r="C29" s="69"/>
      <c r="D29" s="21">
        <v>213.8</v>
      </c>
      <c r="E29" s="27">
        <v>949</v>
      </c>
      <c r="F29" s="33">
        <v>206.04</v>
      </c>
      <c r="G29" s="47">
        <v>274</v>
      </c>
      <c r="H29" s="33">
        <v>86</v>
      </c>
      <c r="I29" s="23">
        <v>0</v>
      </c>
      <c r="J29" s="34">
        <v>50</v>
      </c>
      <c r="K29" s="33">
        <v>65</v>
      </c>
      <c r="L29" s="23">
        <v>0</v>
      </c>
      <c r="M29" s="23">
        <f t="shared" si="0"/>
        <v>115</v>
      </c>
      <c r="N29" s="2"/>
    </row>
    <row r="30" spans="1:15" ht="19.5" customHeight="1">
      <c r="A30" s="45">
        <v>42973</v>
      </c>
      <c r="B30" s="69"/>
      <c r="C30" s="69"/>
      <c r="D30" s="21">
        <v>213.8</v>
      </c>
      <c r="E30" s="27">
        <v>949</v>
      </c>
      <c r="F30" s="33">
        <v>206.17</v>
      </c>
      <c r="G30" s="33">
        <v>281</v>
      </c>
      <c r="H30" s="33">
        <v>204</v>
      </c>
      <c r="I30" s="23">
        <v>0</v>
      </c>
      <c r="J30" s="34">
        <v>50</v>
      </c>
      <c r="K30" s="33">
        <v>65</v>
      </c>
      <c r="L30" s="23">
        <v>0</v>
      </c>
      <c r="M30" s="23">
        <f t="shared" si="0"/>
        <v>115</v>
      </c>
      <c r="N30" s="2"/>
    </row>
    <row r="31" spans="1:15" ht="21" customHeight="1">
      <c r="A31" s="45">
        <v>42974</v>
      </c>
      <c r="B31" s="69"/>
      <c r="C31" s="69"/>
      <c r="D31" s="21">
        <v>213.8</v>
      </c>
      <c r="E31" s="27">
        <v>949</v>
      </c>
      <c r="F31" s="33">
        <v>206.39</v>
      </c>
      <c r="G31" s="33">
        <v>295</v>
      </c>
      <c r="H31" s="33">
        <v>266</v>
      </c>
      <c r="I31" s="23">
        <v>0</v>
      </c>
      <c r="J31" s="34">
        <v>50</v>
      </c>
      <c r="K31" s="33">
        <v>65</v>
      </c>
      <c r="L31" s="23">
        <v>0</v>
      </c>
      <c r="M31" s="23">
        <f t="shared" si="0"/>
        <v>115</v>
      </c>
      <c r="N31" s="2"/>
    </row>
    <row r="32" spans="1:15" ht="21" customHeight="1">
      <c r="A32" s="45">
        <v>42975</v>
      </c>
      <c r="B32" s="69"/>
      <c r="C32" s="69"/>
      <c r="D32" s="21">
        <v>213.8</v>
      </c>
      <c r="E32" s="27">
        <v>949</v>
      </c>
      <c r="F32" s="33">
        <v>206.47</v>
      </c>
      <c r="G32" s="43">
        <v>300</v>
      </c>
      <c r="H32" s="33">
        <v>172</v>
      </c>
      <c r="I32" s="23">
        <v>0</v>
      </c>
      <c r="J32" s="34">
        <v>50</v>
      </c>
      <c r="K32" s="33">
        <v>65</v>
      </c>
      <c r="L32" s="23">
        <v>0</v>
      </c>
      <c r="M32" s="23">
        <f t="shared" si="0"/>
        <v>115</v>
      </c>
      <c r="N32" s="2"/>
    </row>
    <row r="33" spans="1:15" ht="21" customHeight="1">
      <c r="A33" s="45">
        <v>42976</v>
      </c>
      <c r="B33" s="69"/>
      <c r="C33" s="69"/>
      <c r="D33" s="21">
        <v>213.8</v>
      </c>
      <c r="E33" s="27">
        <v>949</v>
      </c>
      <c r="F33" s="33">
        <v>206.66</v>
      </c>
      <c r="G33" s="44">
        <v>311</v>
      </c>
      <c r="H33" s="33">
        <v>140</v>
      </c>
      <c r="I33" s="23">
        <v>0</v>
      </c>
      <c r="J33" s="34">
        <v>50</v>
      </c>
      <c r="K33" s="33">
        <v>65</v>
      </c>
      <c r="L33" s="23">
        <v>0</v>
      </c>
      <c r="M33" s="23">
        <f t="shared" si="0"/>
        <v>115</v>
      </c>
      <c r="N33" s="2"/>
    </row>
    <row r="34" spans="1:15" ht="21" customHeight="1">
      <c r="A34" s="45">
        <v>42977</v>
      </c>
      <c r="B34" s="69"/>
      <c r="C34" s="69"/>
      <c r="D34" s="21">
        <v>213.8</v>
      </c>
      <c r="E34" s="27">
        <v>949</v>
      </c>
      <c r="F34" s="33">
        <v>206.82</v>
      </c>
      <c r="G34" s="44">
        <v>321</v>
      </c>
      <c r="H34" s="33">
        <v>130</v>
      </c>
      <c r="I34" s="23">
        <v>0</v>
      </c>
      <c r="J34" s="34">
        <v>50</v>
      </c>
      <c r="K34" s="33">
        <v>10</v>
      </c>
      <c r="L34" s="23">
        <v>0</v>
      </c>
      <c r="M34" s="23">
        <f t="shared" si="0"/>
        <v>60</v>
      </c>
      <c r="N34" s="2"/>
    </row>
    <row r="35" spans="1:15" ht="21" customHeight="1">
      <c r="A35" s="45">
        <v>42978</v>
      </c>
      <c r="B35" s="70"/>
      <c r="C35" s="70"/>
      <c r="D35" s="22">
        <v>213.8</v>
      </c>
      <c r="E35" s="27">
        <v>949</v>
      </c>
      <c r="F35" s="33">
        <v>206.82</v>
      </c>
      <c r="G35" s="44">
        <v>321</v>
      </c>
      <c r="H35" s="33">
        <v>130</v>
      </c>
      <c r="I35" s="23">
        <v>0</v>
      </c>
      <c r="J35" s="34">
        <v>10</v>
      </c>
      <c r="K35" s="33">
        <v>20</v>
      </c>
      <c r="L35" s="23">
        <v>0</v>
      </c>
      <c r="M35" s="23">
        <f t="shared" si="0"/>
        <v>30</v>
      </c>
      <c r="N35" s="2"/>
    </row>
    <row r="36" spans="1:15" ht="21" customHeight="1">
      <c r="A36" s="10"/>
      <c r="B36" s="11"/>
      <c r="C36" s="11"/>
      <c r="D36" s="12"/>
      <c r="E36" s="12"/>
      <c r="F36" s="13"/>
      <c r="G36" s="12"/>
      <c r="H36" s="14">
        <f>SUM(H5:H35)</f>
        <v>1693</v>
      </c>
      <c r="I36" s="14"/>
      <c r="J36" s="14">
        <f>SUM(J5:J35)</f>
        <v>1410</v>
      </c>
      <c r="K36" s="14">
        <f>SUM(K5:K35)</f>
        <v>1395</v>
      </c>
      <c r="L36" s="14">
        <f t="shared" ref="L36:M36" si="1">SUM(L5:L35)</f>
        <v>0</v>
      </c>
      <c r="M36" s="14">
        <f t="shared" si="1"/>
        <v>2855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0.14627613616727148</v>
      </c>
      <c r="I37" s="5"/>
      <c r="J37" s="5">
        <f>J36/11574</f>
        <v>0.12182477967858994</v>
      </c>
      <c r="K37" s="5">
        <f>K36/11574</f>
        <v>0.12052877138413685</v>
      </c>
      <c r="L37" s="25"/>
      <c r="M37" s="25"/>
      <c r="N37" s="7"/>
    </row>
    <row r="38" spans="1:15" ht="15.75" customHeight="1">
      <c r="A38" s="71" t="s">
        <v>9</v>
      </c>
      <c r="B38" s="66"/>
      <c r="C38" s="66"/>
      <c r="D38" s="66"/>
      <c r="J38" s="71" t="s">
        <v>10</v>
      </c>
      <c r="K38" s="66"/>
      <c r="L38" s="66"/>
      <c r="M38" s="66"/>
      <c r="N38" s="7"/>
    </row>
    <row r="39" spans="1:15" ht="15.75" customHeight="1">
      <c r="A39" s="72" t="s">
        <v>16</v>
      </c>
      <c r="B39" s="66"/>
      <c r="C39" s="66"/>
      <c r="D39" s="66"/>
      <c r="J39" s="72" t="s">
        <v>16</v>
      </c>
      <c r="K39" s="66"/>
      <c r="L39" s="66"/>
      <c r="M39" s="66"/>
      <c r="N39" s="7"/>
    </row>
    <row r="40" spans="1:15" ht="15.75" customHeight="1">
      <c r="A40" s="65" t="s">
        <v>17</v>
      </c>
      <c r="B40" s="66"/>
      <c r="C40" s="66"/>
      <c r="D40" s="66"/>
      <c r="J40" s="65" t="s">
        <v>17</v>
      </c>
      <c r="K40" s="66"/>
      <c r="L40" s="66"/>
      <c r="M40" s="66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1"/>
  <sheetViews>
    <sheetView tabSelected="1" view="pageBreakPreview" topLeftCell="A10" zoomScale="60" workbookViewId="0">
      <selection activeCell="K10" sqref="K10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69"/>
      <c r="B4" s="69"/>
      <c r="C4" s="69"/>
      <c r="D4" s="6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30">
        <v>42979</v>
      </c>
      <c r="B5" s="73" t="s">
        <v>11</v>
      </c>
      <c r="C5" s="73" t="s">
        <v>12</v>
      </c>
      <c r="D5" s="27">
        <v>213.8</v>
      </c>
      <c r="E5" s="27">
        <v>949</v>
      </c>
      <c r="F5" s="33">
        <v>206.87</v>
      </c>
      <c r="G5" s="33">
        <v>324</v>
      </c>
      <c r="H5" s="33">
        <v>40</v>
      </c>
      <c r="I5" s="34">
        <v>0</v>
      </c>
      <c r="J5" s="34">
        <v>40</v>
      </c>
      <c r="K5" s="48"/>
      <c r="L5" s="23">
        <v>0</v>
      </c>
      <c r="M5" s="23">
        <f>L5+K5+J5+I5</f>
        <v>40</v>
      </c>
      <c r="N5" s="2"/>
    </row>
    <row r="6" spans="1:14" ht="19.5" customHeight="1">
      <c r="A6" s="30">
        <v>42980</v>
      </c>
      <c r="B6" s="74"/>
      <c r="C6" s="74"/>
      <c r="D6" s="27">
        <v>213.8</v>
      </c>
      <c r="E6" s="27">
        <v>949</v>
      </c>
      <c r="F6" s="33">
        <v>206.83</v>
      </c>
      <c r="G6" s="33">
        <v>321</v>
      </c>
      <c r="H6" s="33">
        <v>77</v>
      </c>
      <c r="I6" s="34">
        <v>0</v>
      </c>
      <c r="J6" s="34">
        <v>50</v>
      </c>
      <c r="K6" s="33">
        <v>60</v>
      </c>
      <c r="L6" s="23">
        <v>0</v>
      </c>
      <c r="M6" s="23">
        <f t="shared" ref="M6:M34" si="0">L6+K6+J6+I6</f>
        <v>110</v>
      </c>
      <c r="N6" s="2"/>
    </row>
    <row r="7" spans="1:14" ht="19.5" customHeight="1">
      <c r="A7" s="30">
        <v>42981</v>
      </c>
      <c r="B7" s="74"/>
      <c r="C7" s="74"/>
      <c r="D7" s="27">
        <v>213.8</v>
      </c>
      <c r="E7" s="27">
        <v>949</v>
      </c>
      <c r="F7" s="33">
        <v>206.76</v>
      </c>
      <c r="G7" s="33">
        <v>313</v>
      </c>
      <c r="H7" s="33">
        <v>61</v>
      </c>
      <c r="I7" s="34">
        <v>0</v>
      </c>
      <c r="J7" s="34">
        <v>50</v>
      </c>
      <c r="K7" s="33">
        <v>60</v>
      </c>
      <c r="L7" s="23">
        <v>0</v>
      </c>
      <c r="M7" s="23">
        <f t="shared" si="0"/>
        <v>110</v>
      </c>
      <c r="N7" s="2"/>
    </row>
    <row r="8" spans="1:14" ht="19.5" customHeight="1">
      <c r="A8" s="30">
        <v>42982</v>
      </c>
      <c r="B8" s="74"/>
      <c r="C8" s="74"/>
      <c r="D8" s="27">
        <v>213.8</v>
      </c>
      <c r="E8" s="27">
        <v>949</v>
      </c>
      <c r="F8" s="33">
        <v>206.69</v>
      </c>
      <c r="G8" s="33">
        <v>313</v>
      </c>
      <c r="H8" s="33">
        <v>61</v>
      </c>
      <c r="I8" s="34">
        <v>0</v>
      </c>
      <c r="J8" s="34">
        <v>50</v>
      </c>
      <c r="K8" s="33">
        <v>60</v>
      </c>
      <c r="L8" s="23">
        <v>0</v>
      </c>
      <c r="M8" s="23">
        <f t="shared" si="0"/>
        <v>110</v>
      </c>
      <c r="N8" s="2"/>
    </row>
    <row r="9" spans="1:14" ht="19.5" customHeight="1">
      <c r="A9" s="30">
        <v>42983</v>
      </c>
      <c r="B9" s="74"/>
      <c r="C9" s="74"/>
      <c r="D9" s="27">
        <v>213.8</v>
      </c>
      <c r="E9" s="27">
        <v>949</v>
      </c>
      <c r="F9" s="33">
        <v>206.72</v>
      </c>
      <c r="G9" s="33">
        <v>315</v>
      </c>
      <c r="H9" s="33">
        <v>120</v>
      </c>
      <c r="I9" s="34">
        <v>0</v>
      </c>
      <c r="J9" s="34">
        <v>50</v>
      </c>
      <c r="K9" s="33">
        <v>50</v>
      </c>
      <c r="L9" s="23">
        <v>0</v>
      </c>
      <c r="M9" s="23">
        <f t="shared" si="0"/>
        <v>100</v>
      </c>
      <c r="N9" s="2"/>
    </row>
    <row r="10" spans="1:14" ht="19.5" customHeight="1">
      <c r="A10" s="30">
        <v>42984</v>
      </c>
      <c r="B10" s="74"/>
      <c r="C10" s="74"/>
      <c r="D10" s="27">
        <v>213.8</v>
      </c>
      <c r="E10" s="27">
        <v>949</v>
      </c>
      <c r="F10" s="33">
        <v>206.73</v>
      </c>
      <c r="G10" s="33">
        <v>315</v>
      </c>
      <c r="H10" s="33">
        <v>104</v>
      </c>
      <c r="I10" s="34">
        <v>0</v>
      </c>
      <c r="J10" s="34">
        <v>50</v>
      </c>
      <c r="K10" s="33">
        <v>50</v>
      </c>
      <c r="L10" s="23">
        <v>0</v>
      </c>
      <c r="M10" s="23">
        <f t="shared" si="0"/>
        <v>100</v>
      </c>
      <c r="N10" s="2"/>
    </row>
    <row r="11" spans="1:14" ht="19.5" customHeight="1">
      <c r="A11" s="30">
        <v>42985</v>
      </c>
      <c r="B11" s="74"/>
      <c r="C11" s="74"/>
      <c r="D11" s="27">
        <v>213.8</v>
      </c>
      <c r="E11" s="27">
        <v>949</v>
      </c>
      <c r="F11" s="33">
        <v>206.72</v>
      </c>
      <c r="G11" s="33">
        <v>315</v>
      </c>
      <c r="H11" s="33">
        <v>96</v>
      </c>
      <c r="I11" s="34">
        <v>0</v>
      </c>
      <c r="J11" s="34">
        <v>50</v>
      </c>
      <c r="K11" s="33">
        <v>50</v>
      </c>
      <c r="L11" s="23">
        <v>0</v>
      </c>
      <c r="M11" s="23">
        <f t="shared" si="0"/>
        <v>100</v>
      </c>
      <c r="N11" s="2"/>
    </row>
    <row r="12" spans="1:14" ht="19.5" customHeight="1">
      <c r="A12" s="30">
        <v>42986</v>
      </c>
      <c r="B12" s="74"/>
      <c r="C12" s="74"/>
      <c r="D12" s="27">
        <v>213.8</v>
      </c>
      <c r="E12" s="27">
        <v>949</v>
      </c>
      <c r="F12" s="33">
        <v>206.72</v>
      </c>
      <c r="G12" s="33">
        <v>314</v>
      </c>
      <c r="H12" s="33">
        <v>95</v>
      </c>
      <c r="I12" s="34">
        <v>0</v>
      </c>
      <c r="J12" s="34">
        <v>50</v>
      </c>
      <c r="K12" s="33">
        <v>50</v>
      </c>
      <c r="L12" s="23">
        <v>0</v>
      </c>
      <c r="M12" s="23">
        <f t="shared" si="0"/>
        <v>100</v>
      </c>
      <c r="N12" s="2"/>
    </row>
    <row r="13" spans="1:14" ht="19.5" customHeight="1">
      <c r="A13" s="30">
        <v>42987</v>
      </c>
      <c r="B13" s="74"/>
      <c r="C13" s="74"/>
      <c r="D13" s="27">
        <v>213.8</v>
      </c>
      <c r="E13" s="27">
        <v>949</v>
      </c>
      <c r="F13" s="33">
        <v>206.88</v>
      </c>
      <c r="G13" s="33">
        <v>325</v>
      </c>
      <c r="H13" s="33">
        <v>218</v>
      </c>
      <c r="I13" s="34">
        <v>0</v>
      </c>
      <c r="J13" s="34">
        <v>50</v>
      </c>
      <c r="K13" s="33">
        <v>50</v>
      </c>
      <c r="L13" s="23">
        <v>0</v>
      </c>
      <c r="M13" s="23">
        <f t="shared" si="0"/>
        <v>100</v>
      </c>
      <c r="N13" s="2"/>
    </row>
    <row r="14" spans="1:14" ht="19.5" customHeight="1">
      <c r="A14" s="30">
        <v>42988</v>
      </c>
      <c r="B14" s="74"/>
      <c r="C14" s="74"/>
      <c r="D14" s="27">
        <v>213.8</v>
      </c>
      <c r="E14" s="27">
        <v>949</v>
      </c>
      <c r="F14" s="33">
        <v>206.93</v>
      </c>
      <c r="G14" s="33">
        <v>329</v>
      </c>
      <c r="H14" s="33">
        <v>145</v>
      </c>
      <c r="I14" s="34">
        <v>0</v>
      </c>
      <c r="J14" s="34">
        <v>50</v>
      </c>
      <c r="K14" s="33">
        <v>50</v>
      </c>
      <c r="L14" s="23">
        <v>0</v>
      </c>
      <c r="M14" s="23">
        <f t="shared" si="0"/>
        <v>100</v>
      </c>
      <c r="N14" s="2"/>
    </row>
    <row r="15" spans="1:14" ht="19.5" customHeight="1">
      <c r="A15" s="30">
        <v>42989</v>
      </c>
      <c r="B15" s="74"/>
      <c r="C15" s="74"/>
      <c r="D15" s="27">
        <v>213.8</v>
      </c>
      <c r="E15" s="27">
        <v>949</v>
      </c>
      <c r="F15" s="33">
        <v>206.93</v>
      </c>
      <c r="G15" s="33">
        <v>328</v>
      </c>
      <c r="H15" s="33">
        <v>100</v>
      </c>
      <c r="I15" s="34">
        <v>0</v>
      </c>
      <c r="J15" s="34">
        <v>50</v>
      </c>
      <c r="K15" s="33">
        <v>50</v>
      </c>
      <c r="L15" s="23">
        <v>0</v>
      </c>
      <c r="M15" s="23">
        <f t="shared" si="0"/>
        <v>100</v>
      </c>
      <c r="N15" s="2"/>
    </row>
    <row r="16" spans="1:14" ht="19.5" customHeight="1">
      <c r="A16" s="30">
        <v>42990</v>
      </c>
      <c r="B16" s="74"/>
      <c r="C16" s="74"/>
      <c r="D16" s="27">
        <v>213.8</v>
      </c>
      <c r="E16" s="27">
        <v>949</v>
      </c>
      <c r="F16" s="33">
        <v>206.87</v>
      </c>
      <c r="G16" s="33">
        <v>324</v>
      </c>
      <c r="H16" s="33">
        <v>49</v>
      </c>
      <c r="I16" s="34">
        <v>0</v>
      </c>
      <c r="J16" s="34">
        <v>50</v>
      </c>
      <c r="K16" s="33">
        <v>50</v>
      </c>
      <c r="L16" s="23">
        <v>0</v>
      </c>
      <c r="M16" s="23">
        <f t="shared" si="0"/>
        <v>100</v>
      </c>
      <c r="N16" s="2"/>
    </row>
    <row r="17" spans="1:15" ht="19.5" customHeight="1">
      <c r="A17" s="30">
        <v>42991</v>
      </c>
      <c r="B17" s="74"/>
      <c r="C17" s="74"/>
      <c r="D17" s="27">
        <v>213.8</v>
      </c>
      <c r="E17" s="27">
        <v>949</v>
      </c>
      <c r="F17" s="33">
        <v>206.87</v>
      </c>
      <c r="G17" s="33">
        <v>324</v>
      </c>
      <c r="H17" s="33">
        <v>100</v>
      </c>
      <c r="I17" s="34">
        <v>0</v>
      </c>
      <c r="J17" s="34">
        <v>50</v>
      </c>
      <c r="K17" s="33">
        <v>50</v>
      </c>
      <c r="L17" s="23">
        <v>0</v>
      </c>
      <c r="M17" s="23">
        <f t="shared" si="0"/>
        <v>100</v>
      </c>
      <c r="N17" s="2"/>
    </row>
    <row r="18" spans="1:15" ht="19.5" customHeight="1">
      <c r="A18" s="30">
        <v>42992</v>
      </c>
      <c r="B18" s="74"/>
      <c r="C18" s="74"/>
      <c r="D18" s="27">
        <v>213.8</v>
      </c>
      <c r="E18" s="27">
        <v>949</v>
      </c>
      <c r="F18" s="33">
        <v>206.87</v>
      </c>
      <c r="G18" s="33">
        <v>324</v>
      </c>
      <c r="H18" s="33">
        <v>100</v>
      </c>
      <c r="I18" s="34">
        <v>0</v>
      </c>
      <c r="J18" s="34">
        <v>50</v>
      </c>
      <c r="K18" s="33">
        <v>50</v>
      </c>
      <c r="L18" s="23">
        <v>0</v>
      </c>
      <c r="M18" s="23">
        <f t="shared" si="0"/>
        <v>100</v>
      </c>
      <c r="N18" s="2"/>
    </row>
    <row r="19" spans="1:15" ht="19.5" customHeight="1">
      <c r="A19" s="30">
        <v>42993</v>
      </c>
      <c r="B19" s="74"/>
      <c r="C19" s="74"/>
      <c r="D19" s="27">
        <v>213.8</v>
      </c>
      <c r="E19" s="27">
        <v>949</v>
      </c>
      <c r="F19" s="33">
        <v>206.86</v>
      </c>
      <c r="G19" s="33">
        <v>323</v>
      </c>
      <c r="H19" s="33">
        <v>91</v>
      </c>
      <c r="I19" s="34">
        <v>0</v>
      </c>
      <c r="J19" s="34">
        <v>50</v>
      </c>
      <c r="K19" s="33">
        <v>50</v>
      </c>
      <c r="L19" s="23">
        <v>0</v>
      </c>
      <c r="M19" s="23">
        <f t="shared" si="0"/>
        <v>100</v>
      </c>
      <c r="N19" s="2"/>
    </row>
    <row r="20" spans="1:15" ht="19.5" customHeight="1">
      <c r="A20" s="30">
        <v>42994</v>
      </c>
      <c r="B20" s="74"/>
      <c r="C20" s="74"/>
      <c r="D20" s="27">
        <v>213.8</v>
      </c>
      <c r="E20" s="27">
        <v>949</v>
      </c>
      <c r="F20" s="33">
        <v>206.82</v>
      </c>
      <c r="G20" s="33">
        <v>321</v>
      </c>
      <c r="H20" s="33">
        <v>67</v>
      </c>
      <c r="I20" s="34">
        <v>0</v>
      </c>
      <c r="J20" s="34">
        <v>50</v>
      </c>
      <c r="K20" s="33">
        <v>50</v>
      </c>
      <c r="L20" s="23">
        <v>0</v>
      </c>
      <c r="M20" s="23">
        <f t="shared" si="0"/>
        <v>100</v>
      </c>
      <c r="N20" s="2"/>
    </row>
    <row r="21" spans="1:15" ht="19.5" customHeight="1">
      <c r="A21" s="30">
        <v>42995</v>
      </c>
      <c r="B21" s="74"/>
      <c r="C21" s="74"/>
      <c r="D21" s="27">
        <v>213.8</v>
      </c>
      <c r="E21" s="27">
        <v>949</v>
      </c>
      <c r="F21" s="33">
        <v>206.81</v>
      </c>
      <c r="G21" s="33">
        <v>320</v>
      </c>
      <c r="H21" s="33">
        <v>92</v>
      </c>
      <c r="I21" s="34">
        <v>0</v>
      </c>
      <c r="J21" s="34">
        <v>50</v>
      </c>
      <c r="K21" s="33">
        <v>50</v>
      </c>
      <c r="L21" s="23">
        <v>0</v>
      </c>
      <c r="M21" s="23">
        <f t="shared" si="0"/>
        <v>100</v>
      </c>
      <c r="N21" s="2"/>
    </row>
    <row r="22" spans="1:15" ht="19.5" customHeight="1">
      <c r="A22" s="30">
        <v>42996</v>
      </c>
      <c r="B22" s="74"/>
      <c r="C22" s="74"/>
      <c r="D22" s="27">
        <v>213.8</v>
      </c>
      <c r="E22" s="27">
        <v>949</v>
      </c>
      <c r="F22" s="33">
        <v>206.77</v>
      </c>
      <c r="G22" s="33">
        <v>317</v>
      </c>
      <c r="H22" s="33">
        <v>71</v>
      </c>
      <c r="I22" s="34">
        <v>50</v>
      </c>
      <c r="J22" s="34">
        <v>50</v>
      </c>
      <c r="K22" s="33"/>
      <c r="L22" s="23">
        <v>0</v>
      </c>
      <c r="M22" s="23">
        <f t="shared" si="0"/>
        <v>100</v>
      </c>
      <c r="N22" s="2"/>
    </row>
    <row r="23" spans="1:15" ht="19.5" customHeight="1">
      <c r="A23" s="30">
        <v>42997</v>
      </c>
      <c r="B23" s="74"/>
      <c r="C23" s="74"/>
      <c r="D23" s="27">
        <v>213.8</v>
      </c>
      <c r="E23" s="27">
        <v>949</v>
      </c>
      <c r="F23" s="33">
        <v>206.73</v>
      </c>
      <c r="G23" s="33">
        <v>207</v>
      </c>
      <c r="H23" s="33">
        <v>71</v>
      </c>
      <c r="I23" s="34">
        <v>50</v>
      </c>
      <c r="J23" s="34">
        <v>50</v>
      </c>
      <c r="K23" s="33"/>
      <c r="L23" s="23">
        <v>0</v>
      </c>
      <c r="M23" s="23">
        <f t="shared" si="0"/>
        <v>100</v>
      </c>
      <c r="N23" s="2"/>
    </row>
    <row r="24" spans="1:15" ht="19.5" customHeight="1">
      <c r="A24" s="30">
        <v>42998</v>
      </c>
      <c r="B24" s="74"/>
      <c r="C24" s="74"/>
      <c r="D24" s="27">
        <v>213.8</v>
      </c>
      <c r="E24" s="27">
        <v>949</v>
      </c>
      <c r="F24" s="33">
        <v>206.68</v>
      </c>
      <c r="G24" s="33">
        <v>312</v>
      </c>
      <c r="H24" s="33">
        <v>67</v>
      </c>
      <c r="I24" s="34">
        <v>0</v>
      </c>
      <c r="J24" s="34">
        <v>50</v>
      </c>
      <c r="K24" s="33">
        <v>50</v>
      </c>
      <c r="L24" s="23">
        <v>0</v>
      </c>
      <c r="M24" s="23">
        <f t="shared" si="0"/>
        <v>100</v>
      </c>
      <c r="N24" s="2"/>
    </row>
    <row r="25" spans="1:15" ht="19.5" customHeight="1">
      <c r="A25" s="30">
        <v>42999</v>
      </c>
      <c r="B25" s="74"/>
      <c r="C25" s="74"/>
      <c r="D25" s="27">
        <v>213.8</v>
      </c>
      <c r="E25" s="27">
        <v>949</v>
      </c>
      <c r="F25" s="33">
        <v>206.68</v>
      </c>
      <c r="G25" s="33">
        <v>312</v>
      </c>
      <c r="H25" s="33">
        <v>67</v>
      </c>
      <c r="I25" s="34">
        <v>0</v>
      </c>
      <c r="J25" s="34">
        <v>50</v>
      </c>
      <c r="K25" s="33">
        <v>50</v>
      </c>
      <c r="L25" s="23">
        <v>0</v>
      </c>
      <c r="M25" s="23">
        <f t="shared" si="0"/>
        <v>100</v>
      </c>
      <c r="N25" s="2"/>
    </row>
    <row r="26" spans="1:15" ht="19.5" customHeight="1">
      <c r="A26" s="30">
        <v>43000</v>
      </c>
      <c r="B26" s="74"/>
      <c r="C26" s="74"/>
      <c r="D26" s="27">
        <v>213.8</v>
      </c>
      <c r="E26" s="27">
        <v>949</v>
      </c>
      <c r="F26" s="33">
        <v>206.62</v>
      </c>
      <c r="G26" s="33">
        <v>309</v>
      </c>
      <c r="H26" s="33">
        <v>100</v>
      </c>
      <c r="I26" s="34">
        <v>0</v>
      </c>
      <c r="J26" s="34">
        <v>50</v>
      </c>
      <c r="K26" s="33">
        <v>50</v>
      </c>
      <c r="L26" s="23">
        <v>0</v>
      </c>
      <c r="M26" s="23">
        <f t="shared" si="0"/>
        <v>100</v>
      </c>
      <c r="N26" s="2"/>
      <c r="O26" s="17"/>
    </row>
    <row r="27" spans="1:15" ht="19.5" customHeight="1">
      <c r="A27" s="30">
        <v>43001</v>
      </c>
      <c r="B27" s="74"/>
      <c r="C27" s="74"/>
      <c r="D27" s="27">
        <v>213.8</v>
      </c>
      <c r="E27" s="27">
        <v>949</v>
      </c>
      <c r="F27" s="33">
        <v>206.66</v>
      </c>
      <c r="G27" s="33">
        <v>311</v>
      </c>
      <c r="H27" s="33">
        <v>128</v>
      </c>
      <c r="I27" s="34">
        <v>0</v>
      </c>
      <c r="J27" s="34">
        <v>50</v>
      </c>
      <c r="K27" s="33">
        <v>50</v>
      </c>
      <c r="L27" s="23">
        <v>0</v>
      </c>
      <c r="M27" s="23">
        <f t="shared" si="0"/>
        <v>100</v>
      </c>
      <c r="N27" s="2"/>
    </row>
    <row r="28" spans="1:15" ht="19.5" customHeight="1">
      <c r="A28" s="30">
        <v>43002</v>
      </c>
      <c r="B28" s="74"/>
      <c r="C28" s="74"/>
      <c r="D28" s="27">
        <v>213.8</v>
      </c>
      <c r="E28" s="27">
        <v>949</v>
      </c>
      <c r="F28" s="33">
        <v>206.73</v>
      </c>
      <c r="G28" s="33">
        <v>315</v>
      </c>
      <c r="H28" s="33">
        <v>145</v>
      </c>
      <c r="I28" s="34">
        <v>0</v>
      </c>
      <c r="J28" s="34">
        <v>50</v>
      </c>
      <c r="K28" s="33">
        <v>50</v>
      </c>
      <c r="L28" s="23">
        <v>0</v>
      </c>
      <c r="M28" s="23">
        <f t="shared" si="0"/>
        <v>100</v>
      </c>
      <c r="N28" s="2"/>
    </row>
    <row r="29" spans="1:15" ht="19.5" customHeight="1">
      <c r="A29" s="30">
        <v>43003</v>
      </c>
      <c r="B29" s="74"/>
      <c r="C29" s="74"/>
      <c r="D29" s="27">
        <v>213.8</v>
      </c>
      <c r="E29" s="27">
        <v>949</v>
      </c>
      <c r="F29" s="33">
        <v>206.84</v>
      </c>
      <c r="G29" s="33">
        <v>322</v>
      </c>
      <c r="H29" s="33">
        <v>182</v>
      </c>
      <c r="I29" s="34">
        <v>0</v>
      </c>
      <c r="J29" s="34">
        <v>50</v>
      </c>
      <c r="K29" s="33">
        <v>50</v>
      </c>
      <c r="L29" s="23">
        <v>0</v>
      </c>
      <c r="M29" s="23">
        <f t="shared" si="0"/>
        <v>100</v>
      </c>
      <c r="N29" s="2"/>
    </row>
    <row r="30" spans="1:15" ht="19.5" customHeight="1">
      <c r="A30" s="30">
        <v>43004</v>
      </c>
      <c r="B30" s="74"/>
      <c r="C30" s="74"/>
      <c r="D30" s="27">
        <v>213.8</v>
      </c>
      <c r="E30" s="27">
        <v>949</v>
      </c>
      <c r="F30" s="33">
        <v>206.94</v>
      </c>
      <c r="G30" s="33">
        <v>329</v>
      </c>
      <c r="H30" s="33">
        <v>185</v>
      </c>
      <c r="I30" s="34">
        <v>0</v>
      </c>
      <c r="J30" s="34">
        <v>50</v>
      </c>
      <c r="K30" s="33">
        <v>50</v>
      </c>
      <c r="L30" s="23">
        <v>0</v>
      </c>
      <c r="M30" s="23">
        <f t="shared" si="0"/>
        <v>100</v>
      </c>
      <c r="N30" s="2"/>
    </row>
    <row r="31" spans="1:15" ht="21" customHeight="1">
      <c r="A31" s="30">
        <v>43005</v>
      </c>
      <c r="B31" s="74"/>
      <c r="C31" s="74"/>
      <c r="D31" s="27">
        <v>213.8</v>
      </c>
      <c r="E31" s="27">
        <v>949</v>
      </c>
      <c r="F31" s="33">
        <v>207.03</v>
      </c>
      <c r="G31" s="33">
        <v>336</v>
      </c>
      <c r="H31" s="33">
        <v>174</v>
      </c>
      <c r="I31" s="34">
        <v>0</v>
      </c>
      <c r="J31" s="34">
        <v>50</v>
      </c>
      <c r="K31" s="33">
        <v>50</v>
      </c>
      <c r="L31" s="23">
        <v>0</v>
      </c>
      <c r="M31" s="23">
        <f t="shared" si="0"/>
        <v>100</v>
      </c>
      <c r="N31" s="2"/>
    </row>
    <row r="32" spans="1:15" ht="21" customHeight="1">
      <c r="A32" s="30">
        <v>43006</v>
      </c>
      <c r="B32" s="74"/>
      <c r="C32" s="74"/>
      <c r="D32" s="27">
        <v>213.8</v>
      </c>
      <c r="E32" s="27">
        <v>949</v>
      </c>
      <c r="F32" s="33">
        <v>207.05</v>
      </c>
      <c r="G32" s="33">
        <v>337</v>
      </c>
      <c r="H32" s="33">
        <v>96</v>
      </c>
      <c r="I32" s="34">
        <v>30</v>
      </c>
      <c r="J32" s="34">
        <v>50</v>
      </c>
      <c r="K32" s="33">
        <v>30</v>
      </c>
      <c r="L32" s="23">
        <v>0</v>
      </c>
      <c r="M32" s="23">
        <f t="shared" si="0"/>
        <v>110</v>
      </c>
      <c r="N32" s="2"/>
    </row>
    <row r="33" spans="1:15" ht="21" customHeight="1">
      <c r="A33" s="30">
        <v>43007</v>
      </c>
      <c r="B33" s="74"/>
      <c r="C33" s="74"/>
      <c r="D33" s="27">
        <v>213.8</v>
      </c>
      <c r="E33" s="27">
        <v>949</v>
      </c>
      <c r="F33" s="33">
        <v>207.13</v>
      </c>
      <c r="G33" s="33">
        <v>343</v>
      </c>
      <c r="H33" s="33">
        <v>85</v>
      </c>
      <c r="I33" s="34">
        <v>0</v>
      </c>
      <c r="J33" s="34">
        <v>20</v>
      </c>
      <c r="K33" s="33">
        <v>0</v>
      </c>
      <c r="L33" s="23">
        <v>0</v>
      </c>
      <c r="M33" s="23">
        <f t="shared" si="0"/>
        <v>20</v>
      </c>
      <c r="N33" s="2"/>
    </row>
    <row r="34" spans="1:15" ht="21" customHeight="1">
      <c r="A34" s="30">
        <v>43008</v>
      </c>
      <c r="B34" s="74"/>
      <c r="C34" s="74"/>
      <c r="D34" s="27">
        <v>213.8</v>
      </c>
      <c r="E34" s="27">
        <v>949</v>
      </c>
      <c r="F34" s="33">
        <v>207.3</v>
      </c>
      <c r="G34" s="33">
        <v>355</v>
      </c>
      <c r="H34" s="33">
        <v>159</v>
      </c>
      <c r="I34" s="34">
        <v>0</v>
      </c>
      <c r="J34" s="34">
        <v>20</v>
      </c>
      <c r="K34" s="33">
        <v>0</v>
      </c>
      <c r="L34" s="23">
        <v>0</v>
      </c>
      <c r="M34" s="23">
        <f t="shared" si="0"/>
        <v>20</v>
      </c>
      <c r="N34" s="2"/>
    </row>
    <row r="35" spans="1:15" ht="21" customHeight="1">
      <c r="A35" s="10"/>
      <c r="B35" s="11"/>
      <c r="C35" s="11"/>
      <c r="D35" s="12"/>
      <c r="E35" s="29"/>
      <c r="F35" s="13"/>
      <c r="G35" s="12"/>
      <c r="H35" s="14">
        <f>SUM(H5:H34)</f>
        <v>3146</v>
      </c>
      <c r="I35" s="14">
        <f t="shared" ref="I35:M35" si="1">SUM(I5:I34)</f>
        <v>130</v>
      </c>
      <c r="J35" s="14">
        <f t="shared" si="1"/>
        <v>1430</v>
      </c>
      <c r="K35" s="14">
        <f t="shared" si="1"/>
        <v>1260</v>
      </c>
      <c r="L35" s="14">
        <f t="shared" si="1"/>
        <v>0</v>
      </c>
      <c r="M35" s="14">
        <f t="shared" si="1"/>
        <v>2820</v>
      </c>
      <c r="N35" s="16"/>
      <c r="O35" s="18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0.2718161396232936</v>
      </c>
      <c r="I36" s="5"/>
      <c r="J36" s="5">
        <f>J35/11574</f>
        <v>0.12355279073786073</v>
      </c>
      <c r="K36" s="5">
        <f>K35/11574</f>
        <v>0.1088646967340591</v>
      </c>
      <c r="L36" s="25"/>
      <c r="M36" s="25"/>
      <c r="N36" s="7"/>
    </row>
    <row r="37" spans="1:15" ht="15.75" customHeight="1">
      <c r="A37" s="71" t="s">
        <v>9</v>
      </c>
      <c r="B37" s="66"/>
      <c r="C37" s="66"/>
      <c r="D37" s="66"/>
      <c r="J37" s="71" t="s">
        <v>10</v>
      </c>
      <c r="K37" s="66"/>
      <c r="L37" s="66"/>
      <c r="M37" s="66"/>
      <c r="N37" s="7"/>
    </row>
    <row r="38" spans="1:15" ht="15.75" customHeight="1">
      <c r="A38" s="72" t="s">
        <v>16</v>
      </c>
      <c r="B38" s="66"/>
      <c r="C38" s="66"/>
      <c r="D38" s="66"/>
      <c r="J38" s="72" t="s">
        <v>16</v>
      </c>
      <c r="K38" s="66"/>
      <c r="L38" s="66"/>
      <c r="M38" s="66"/>
      <c r="N38" s="7"/>
    </row>
    <row r="39" spans="1:15" ht="15.75" customHeight="1">
      <c r="A39" s="65" t="s">
        <v>17</v>
      </c>
      <c r="B39" s="66"/>
      <c r="C39" s="66"/>
      <c r="D39" s="66"/>
      <c r="J39" s="65" t="s">
        <v>17</v>
      </c>
      <c r="K39" s="66"/>
      <c r="L39" s="66"/>
      <c r="M39" s="66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6" zoomScale="60" workbookViewId="0">
      <selection activeCell="K6" sqref="K6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59"/>
      <c r="B4" s="59"/>
      <c r="C4" s="59"/>
      <c r="D4" s="5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8">
        <v>43009</v>
      </c>
      <c r="B5" s="68" t="s">
        <v>11</v>
      </c>
      <c r="C5" s="68" t="s">
        <v>12</v>
      </c>
      <c r="D5" s="21">
        <v>213.8</v>
      </c>
      <c r="E5" s="27">
        <v>949</v>
      </c>
      <c r="F5" s="33">
        <v>207.5</v>
      </c>
      <c r="G5" s="33">
        <v>369</v>
      </c>
      <c r="H5" s="33">
        <v>187</v>
      </c>
      <c r="I5" s="49">
        <v>0</v>
      </c>
      <c r="J5" s="49">
        <v>20</v>
      </c>
      <c r="K5" s="50">
        <v>0</v>
      </c>
      <c r="L5" s="51">
        <v>0</v>
      </c>
      <c r="M5" s="23">
        <f>L5+K5+J5+I5</f>
        <v>20</v>
      </c>
      <c r="N5" s="2"/>
    </row>
    <row r="6" spans="1:14" ht="19.5" customHeight="1">
      <c r="A6" s="8">
        <v>43010</v>
      </c>
      <c r="B6" s="69"/>
      <c r="C6" s="69"/>
      <c r="D6" s="21">
        <v>213.8</v>
      </c>
      <c r="E6" s="27">
        <v>949</v>
      </c>
      <c r="F6" s="33">
        <v>207.8</v>
      </c>
      <c r="G6" s="33">
        <v>391</v>
      </c>
      <c r="H6" s="33">
        <v>289</v>
      </c>
      <c r="I6" s="49">
        <v>0</v>
      </c>
      <c r="J6" s="49">
        <v>20</v>
      </c>
      <c r="K6" s="50">
        <v>0</v>
      </c>
      <c r="L6" s="51">
        <v>0</v>
      </c>
      <c r="M6" s="23">
        <f t="shared" ref="M6:M35" si="0">L6+K6+J6+I6</f>
        <v>20</v>
      </c>
      <c r="N6" s="2"/>
    </row>
    <row r="7" spans="1:14" ht="19.5" customHeight="1">
      <c r="A7" s="8">
        <v>43011</v>
      </c>
      <c r="B7" s="69"/>
      <c r="C7" s="69"/>
      <c r="D7" s="21">
        <v>213.8</v>
      </c>
      <c r="E7" s="27">
        <v>949</v>
      </c>
      <c r="F7" s="33">
        <v>208</v>
      </c>
      <c r="G7" s="33">
        <v>405</v>
      </c>
      <c r="H7" s="33">
        <v>183</v>
      </c>
      <c r="I7" s="49">
        <v>0</v>
      </c>
      <c r="J7" s="49">
        <v>20</v>
      </c>
      <c r="K7" s="50">
        <v>0</v>
      </c>
      <c r="L7" s="51">
        <v>0</v>
      </c>
      <c r="M7" s="23">
        <f t="shared" si="0"/>
        <v>20</v>
      </c>
      <c r="N7" s="2"/>
    </row>
    <row r="8" spans="1:14" ht="19.5" customHeight="1">
      <c r="A8" s="8">
        <v>43012</v>
      </c>
      <c r="B8" s="69"/>
      <c r="C8" s="69"/>
      <c r="D8" s="21">
        <v>213.8</v>
      </c>
      <c r="E8" s="27">
        <v>949</v>
      </c>
      <c r="F8" s="33">
        <v>208.22</v>
      </c>
      <c r="G8" s="33">
        <v>421</v>
      </c>
      <c r="H8" s="33">
        <v>204</v>
      </c>
      <c r="I8" s="49">
        <v>0</v>
      </c>
      <c r="J8" s="49">
        <v>20</v>
      </c>
      <c r="K8" s="50">
        <v>0</v>
      </c>
      <c r="L8" s="51">
        <v>0</v>
      </c>
      <c r="M8" s="23">
        <f t="shared" si="0"/>
        <v>20</v>
      </c>
      <c r="N8" s="2"/>
    </row>
    <row r="9" spans="1:14" ht="19.5" customHeight="1">
      <c r="A9" s="8">
        <v>43013</v>
      </c>
      <c r="B9" s="69"/>
      <c r="C9" s="69"/>
      <c r="D9" s="21">
        <v>213.8</v>
      </c>
      <c r="E9" s="27">
        <v>949</v>
      </c>
      <c r="F9" s="33">
        <v>208.52</v>
      </c>
      <c r="G9" s="33">
        <v>442</v>
      </c>
      <c r="H9" s="33">
        <v>285</v>
      </c>
      <c r="I9" s="49">
        <v>0</v>
      </c>
      <c r="J9" s="49">
        <v>20</v>
      </c>
      <c r="K9" s="50">
        <v>0</v>
      </c>
      <c r="L9" s="51">
        <v>0</v>
      </c>
      <c r="M9" s="23">
        <f t="shared" si="0"/>
        <v>20</v>
      </c>
      <c r="N9" s="2"/>
    </row>
    <row r="10" spans="1:14" ht="19.5" customHeight="1">
      <c r="A10" s="8">
        <v>43014</v>
      </c>
      <c r="B10" s="69"/>
      <c r="C10" s="69"/>
      <c r="D10" s="21">
        <v>213.8</v>
      </c>
      <c r="E10" s="27">
        <v>949</v>
      </c>
      <c r="F10" s="33">
        <v>209.1</v>
      </c>
      <c r="G10" s="33">
        <v>483</v>
      </c>
      <c r="H10" s="33">
        <v>493</v>
      </c>
      <c r="I10" s="49">
        <v>0</v>
      </c>
      <c r="J10" s="49">
        <v>20</v>
      </c>
      <c r="K10" s="50">
        <v>0</v>
      </c>
      <c r="L10" s="51">
        <v>0</v>
      </c>
      <c r="M10" s="23">
        <f t="shared" si="0"/>
        <v>20</v>
      </c>
      <c r="N10" s="2"/>
    </row>
    <row r="11" spans="1:14" ht="19.5" customHeight="1">
      <c r="A11" s="8">
        <v>43015</v>
      </c>
      <c r="B11" s="69"/>
      <c r="C11" s="69"/>
      <c r="D11" s="21">
        <v>213.8</v>
      </c>
      <c r="E11" s="27">
        <v>949</v>
      </c>
      <c r="F11" s="33">
        <v>210.5</v>
      </c>
      <c r="G11" s="33">
        <v>609</v>
      </c>
      <c r="H11" s="33">
        <v>1472</v>
      </c>
      <c r="I11" s="49">
        <v>0</v>
      </c>
      <c r="J11" s="49">
        <v>10</v>
      </c>
      <c r="K11" s="50">
        <v>0</v>
      </c>
      <c r="L11" s="51">
        <v>0</v>
      </c>
      <c r="M11" s="23">
        <f t="shared" si="0"/>
        <v>10</v>
      </c>
      <c r="N11" s="2"/>
    </row>
    <row r="12" spans="1:14" ht="19.5" customHeight="1">
      <c r="A12" s="8">
        <v>43016</v>
      </c>
      <c r="B12" s="69"/>
      <c r="C12" s="69"/>
      <c r="D12" s="21">
        <v>213.8</v>
      </c>
      <c r="E12" s="27">
        <v>949</v>
      </c>
      <c r="F12" s="33">
        <v>219.94</v>
      </c>
      <c r="G12" s="33">
        <v>652</v>
      </c>
      <c r="H12" s="33">
        <v>500</v>
      </c>
      <c r="I12" s="49">
        <v>0</v>
      </c>
      <c r="J12" s="49">
        <v>10</v>
      </c>
      <c r="K12" s="50">
        <v>0</v>
      </c>
      <c r="L12" s="51">
        <v>0</v>
      </c>
      <c r="M12" s="23">
        <f t="shared" si="0"/>
        <v>10</v>
      </c>
      <c r="N12" s="2"/>
    </row>
    <row r="13" spans="1:14" ht="19.5" customHeight="1">
      <c r="A13" s="8">
        <v>43017</v>
      </c>
      <c r="B13" s="69"/>
      <c r="C13" s="69"/>
      <c r="D13" s="21">
        <v>213.8</v>
      </c>
      <c r="E13" s="27">
        <v>949</v>
      </c>
      <c r="F13" s="43">
        <v>211.35</v>
      </c>
      <c r="G13" s="33">
        <v>693</v>
      </c>
      <c r="H13" s="33">
        <v>486</v>
      </c>
      <c r="I13" s="49">
        <v>0</v>
      </c>
      <c r="J13" s="49">
        <v>10</v>
      </c>
      <c r="K13" s="50">
        <v>0</v>
      </c>
      <c r="L13" s="51">
        <v>0</v>
      </c>
      <c r="M13" s="23">
        <f t="shared" si="0"/>
        <v>10</v>
      </c>
      <c r="N13" s="2"/>
    </row>
    <row r="14" spans="1:14" ht="19.5" customHeight="1">
      <c r="A14" s="8">
        <v>43018</v>
      </c>
      <c r="B14" s="69"/>
      <c r="C14" s="69"/>
      <c r="D14" s="21">
        <v>213.8</v>
      </c>
      <c r="E14" s="27">
        <v>949</v>
      </c>
      <c r="F14" s="44">
        <v>211.35</v>
      </c>
      <c r="G14" s="33">
        <v>693</v>
      </c>
      <c r="H14" s="33">
        <v>486</v>
      </c>
      <c r="I14" s="49">
        <v>0</v>
      </c>
      <c r="J14" s="49">
        <v>10</v>
      </c>
      <c r="K14" s="50">
        <v>0</v>
      </c>
      <c r="L14" s="51">
        <v>0</v>
      </c>
      <c r="M14" s="23">
        <f t="shared" si="0"/>
        <v>10</v>
      </c>
      <c r="N14" s="2"/>
    </row>
    <row r="15" spans="1:14" ht="19.5" customHeight="1">
      <c r="A15" s="8">
        <v>43019</v>
      </c>
      <c r="B15" s="69"/>
      <c r="C15" s="69"/>
      <c r="D15" s="21">
        <v>213.8</v>
      </c>
      <c r="E15" s="27">
        <v>949</v>
      </c>
      <c r="F15" s="44">
        <v>211.35</v>
      </c>
      <c r="G15" s="33">
        <v>693</v>
      </c>
      <c r="H15" s="33">
        <v>486</v>
      </c>
      <c r="I15" s="49">
        <v>0</v>
      </c>
      <c r="J15" s="49">
        <v>10</v>
      </c>
      <c r="K15" s="50">
        <v>0</v>
      </c>
      <c r="L15" s="51">
        <v>0</v>
      </c>
      <c r="M15" s="23">
        <f t="shared" si="0"/>
        <v>10</v>
      </c>
      <c r="N15" s="2"/>
    </row>
    <row r="16" spans="1:14" ht="19.5" customHeight="1">
      <c r="A16" s="8">
        <v>43020</v>
      </c>
      <c r="B16" s="69"/>
      <c r="C16" s="69"/>
      <c r="D16" s="21">
        <v>213.8</v>
      </c>
      <c r="E16" s="27">
        <v>949</v>
      </c>
      <c r="F16" s="44">
        <v>211.93</v>
      </c>
      <c r="G16" s="33">
        <v>754</v>
      </c>
      <c r="H16" s="33">
        <v>345</v>
      </c>
      <c r="I16" s="49">
        <v>0</v>
      </c>
      <c r="J16" s="49">
        <v>10</v>
      </c>
      <c r="K16" s="50">
        <v>0</v>
      </c>
      <c r="L16" s="51">
        <v>0</v>
      </c>
      <c r="M16" s="23">
        <f t="shared" si="0"/>
        <v>10</v>
      </c>
      <c r="N16" s="2"/>
    </row>
    <row r="17" spans="1:15" ht="19.5" customHeight="1">
      <c r="A17" s="8">
        <v>43021</v>
      </c>
      <c r="B17" s="69"/>
      <c r="C17" s="69"/>
      <c r="D17" s="21">
        <v>213.8</v>
      </c>
      <c r="E17" s="27">
        <v>949</v>
      </c>
      <c r="F17" s="33">
        <v>212.39</v>
      </c>
      <c r="G17" s="33">
        <v>771</v>
      </c>
      <c r="H17" s="33">
        <v>214</v>
      </c>
      <c r="I17" s="49">
        <v>0</v>
      </c>
      <c r="J17" s="49">
        <v>10</v>
      </c>
      <c r="K17" s="50">
        <v>0</v>
      </c>
      <c r="L17" s="51">
        <v>0</v>
      </c>
      <c r="M17" s="23">
        <f t="shared" si="0"/>
        <v>10</v>
      </c>
      <c r="N17" s="2"/>
    </row>
    <row r="18" spans="1:15" ht="19.5" customHeight="1">
      <c r="A18" s="8">
        <v>43022</v>
      </c>
      <c r="B18" s="69"/>
      <c r="C18" s="69"/>
      <c r="D18" s="21">
        <v>213.8</v>
      </c>
      <c r="E18" s="27">
        <v>949</v>
      </c>
      <c r="F18" s="33">
        <v>212.39</v>
      </c>
      <c r="G18" s="33">
        <v>802</v>
      </c>
      <c r="H18" s="33">
        <v>185</v>
      </c>
      <c r="I18" s="49">
        <v>0</v>
      </c>
      <c r="J18" s="49">
        <v>30</v>
      </c>
      <c r="K18" s="50">
        <v>0</v>
      </c>
      <c r="L18" s="51">
        <v>0</v>
      </c>
      <c r="M18" s="23">
        <f t="shared" si="0"/>
        <v>30</v>
      </c>
      <c r="N18" s="2"/>
    </row>
    <row r="19" spans="1:15" ht="19.5" customHeight="1">
      <c r="A19" s="8">
        <v>43023</v>
      </c>
      <c r="B19" s="69"/>
      <c r="C19" s="69"/>
      <c r="D19" s="21">
        <v>213.8</v>
      </c>
      <c r="E19" s="27">
        <v>949</v>
      </c>
      <c r="F19" s="33">
        <v>212.48</v>
      </c>
      <c r="G19" s="33">
        <v>811</v>
      </c>
      <c r="H19" s="33">
        <v>140</v>
      </c>
      <c r="I19" s="49">
        <v>0</v>
      </c>
      <c r="J19" s="49">
        <v>30</v>
      </c>
      <c r="K19" s="50">
        <v>0</v>
      </c>
      <c r="L19" s="51">
        <v>0</v>
      </c>
      <c r="M19" s="23">
        <f t="shared" si="0"/>
        <v>30</v>
      </c>
      <c r="N19" s="2"/>
    </row>
    <row r="20" spans="1:15" ht="19.5" customHeight="1">
      <c r="A20" s="8">
        <v>43024</v>
      </c>
      <c r="B20" s="69"/>
      <c r="C20" s="69"/>
      <c r="D20" s="21">
        <v>213.8</v>
      </c>
      <c r="E20" s="27">
        <v>949</v>
      </c>
      <c r="F20" s="33">
        <v>212.58</v>
      </c>
      <c r="G20" s="33">
        <v>822</v>
      </c>
      <c r="H20" s="33">
        <v>152</v>
      </c>
      <c r="I20" s="49">
        <v>0</v>
      </c>
      <c r="J20" s="49">
        <v>30</v>
      </c>
      <c r="K20" s="50">
        <v>0</v>
      </c>
      <c r="L20" s="51">
        <v>0</v>
      </c>
      <c r="M20" s="23">
        <f t="shared" si="0"/>
        <v>30</v>
      </c>
      <c r="N20" s="2"/>
    </row>
    <row r="21" spans="1:15" ht="19.5" customHeight="1">
      <c r="A21" s="8">
        <v>43025</v>
      </c>
      <c r="B21" s="69"/>
      <c r="C21" s="69"/>
      <c r="D21" s="21">
        <v>213.8</v>
      </c>
      <c r="E21" s="27">
        <v>949</v>
      </c>
      <c r="F21" s="33">
        <v>212.69</v>
      </c>
      <c r="G21" s="33">
        <v>833</v>
      </c>
      <c r="H21" s="33">
        <v>190</v>
      </c>
      <c r="I21" s="49">
        <v>0</v>
      </c>
      <c r="J21" s="49">
        <v>30</v>
      </c>
      <c r="K21" s="50">
        <v>30</v>
      </c>
      <c r="L21" s="51">
        <v>0</v>
      </c>
      <c r="M21" s="23">
        <f t="shared" si="0"/>
        <v>60</v>
      </c>
      <c r="N21" s="2"/>
    </row>
    <row r="22" spans="1:15" ht="19.5" customHeight="1">
      <c r="A22" s="8">
        <v>43026</v>
      </c>
      <c r="B22" s="69"/>
      <c r="C22" s="69"/>
      <c r="D22" s="21">
        <v>213.8</v>
      </c>
      <c r="E22" s="27">
        <v>949</v>
      </c>
      <c r="F22" s="33">
        <v>212.69</v>
      </c>
      <c r="G22" s="33">
        <v>833</v>
      </c>
      <c r="H22" s="33">
        <v>60</v>
      </c>
      <c r="I22" s="49">
        <v>0</v>
      </c>
      <c r="J22" s="49">
        <v>30</v>
      </c>
      <c r="K22" s="50">
        <v>30</v>
      </c>
      <c r="L22" s="51">
        <v>0</v>
      </c>
      <c r="M22" s="23">
        <f t="shared" si="0"/>
        <v>60</v>
      </c>
      <c r="N22" s="2"/>
    </row>
    <row r="23" spans="1:15" ht="19.5" customHeight="1">
      <c r="A23" s="8">
        <v>43027</v>
      </c>
      <c r="B23" s="69"/>
      <c r="C23" s="69"/>
      <c r="D23" s="21">
        <v>213.8</v>
      </c>
      <c r="E23" s="27">
        <v>949</v>
      </c>
      <c r="F23" s="33">
        <v>212.71</v>
      </c>
      <c r="G23" s="43">
        <v>835</v>
      </c>
      <c r="H23" s="33">
        <v>54</v>
      </c>
      <c r="I23" s="49">
        <v>0</v>
      </c>
      <c r="J23" s="49">
        <v>30</v>
      </c>
      <c r="K23" s="50">
        <v>0</v>
      </c>
      <c r="L23" s="51">
        <v>0</v>
      </c>
      <c r="M23" s="23">
        <f t="shared" si="0"/>
        <v>30</v>
      </c>
      <c r="N23" s="2"/>
    </row>
    <row r="24" spans="1:15" ht="19.5" customHeight="1">
      <c r="A24" s="8">
        <v>43028</v>
      </c>
      <c r="B24" s="69"/>
      <c r="C24" s="69"/>
      <c r="D24" s="21">
        <v>213.8</v>
      </c>
      <c r="E24" s="27">
        <v>949</v>
      </c>
      <c r="F24" s="33">
        <v>212.68</v>
      </c>
      <c r="G24" s="44">
        <v>813</v>
      </c>
      <c r="H24" s="33">
        <v>64</v>
      </c>
      <c r="I24" s="49">
        <v>100</v>
      </c>
      <c r="J24" s="49">
        <v>0</v>
      </c>
      <c r="K24" s="50">
        <v>0</v>
      </c>
      <c r="L24" s="51">
        <v>0</v>
      </c>
      <c r="M24" s="23">
        <f t="shared" si="0"/>
        <v>100</v>
      </c>
      <c r="N24" s="2"/>
    </row>
    <row r="25" spans="1:15" ht="19.5" customHeight="1">
      <c r="A25" s="8">
        <v>43029</v>
      </c>
      <c r="B25" s="69"/>
      <c r="C25" s="69"/>
      <c r="D25" s="21">
        <v>213.8</v>
      </c>
      <c r="E25" s="27">
        <v>949</v>
      </c>
      <c r="F25" s="33">
        <v>212.6</v>
      </c>
      <c r="G25" s="44">
        <v>831</v>
      </c>
      <c r="H25" s="33">
        <v>64</v>
      </c>
      <c r="I25" s="49">
        <v>100</v>
      </c>
      <c r="J25" s="49">
        <v>0</v>
      </c>
      <c r="K25" s="50">
        <v>0</v>
      </c>
      <c r="L25" s="51">
        <v>0</v>
      </c>
      <c r="M25" s="23">
        <f t="shared" si="0"/>
        <v>100</v>
      </c>
      <c r="N25" s="2"/>
    </row>
    <row r="26" spans="1:15" ht="19.5" customHeight="1">
      <c r="A26" s="8">
        <v>43030</v>
      </c>
      <c r="B26" s="69"/>
      <c r="C26" s="69"/>
      <c r="D26" s="21">
        <v>213.8</v>
      </c>
      <c r="E26" s="27">
        <v>949</v>
      </c>
      <c r="F26" s="33">
        <v>212.64</v>
      </c>
      <c r="G26" s="44">
        <v>827</v>
      </c>
      <c r="H26" s="33">
        <v>45</v>
      </c>
      <c r="I26" s="49">
        <v>0</v>
      </c>
      <c r="J26" s="49">
        <v>0</v>
      </c>
      <c r="K26" s="50">
        <v>0</v>
      </c>
      <c r="L26" s="51">
        <v>0</v>
      </c>
      <c r="M26" s="23">
        <f t="shared" si="0"/>
        <v>0</v>
      </c>
      <c r="N26" s="2"/>
      <c r="O26" s="17"/>
    </row>
    <row r="27" spans="1:15" ht="19.5" customHeight="1">
      <c r="A27" s="8">
        <v>43031</v>
      </c>
      <c r="B27" s="69"/>
      <c r="C27" s="69"/>
      <c r="D27" s="21">
        <v>213.8</v>
      </c>
      <c r="E27" s="27">
        <v>949</v>
      </c>
      <c r="F27" s="33">
        <v>212.64</v>
      </c>
      <c r="G27" s="44">
        <v>827</v>
      </c>
      <c r="H27" s="33">
        <v>45</v>
      </c>
      <c r="I27" s="49">
        <v>0</v>
      </c>
      <c r="J27" s="49">
        <v>0</v>
      </c>
      <c r="K27" s="50">
        <v>0</v>
      </c>
      <c r="L27" s="51">
        <v>0</v>
      </c>
      <c r="M27" s="23">
        <f t="shared" si="0"/>
        <v>0</v>
      </c>
      <c r="N27" s="2"/>
    </row>
    <row r="28" spans="1:15" ht="19.5" customHeight="1">
      <c r="A28" s="8">
        <v>43032</v>
      </c>
      <c r="B28" s="69"/>
      <c r="C28" s="69"/>
      <c r="D28" s="21">
        <v>213.8</v>
      </c>
      <c r="E28" s="27">
        <v>949</v>
      </c>
      <c r="F28" s="33">
        <v>212.83</v>
      </c>
      <c r="G28" s="33">
        <v>848</v>
      </c>
      <c r="H28" s="33">
        <v>56</v>
      </c>
      <c r="I28" s="49">
        <v>0</v>
      </c>
      <c r="J28" s="49">
        <v>20</v>
      </c>
      <c r="K28" s="50">
        <v>0</v>
      </c>
      <c r="L28" s="51">
        <v>0</v>
      </c>
      <c r="M28" s="23">
        <f t="shared" si="0"/>
        <v>20</v>
      </c>
      <c r="N28" s="2"/>
    </row>
    <row r="29" spans="1:15" ht="19.5" customHeight="1">
      <c r="A29" s="8">
        <v>43033</v>
      </c>
      <c r="B29" s="69"/>
      <c r="C29" s="69"/>
      <c r="D29" s="21">
        <v>213.8</v>
      </c>
      <c r="E29" s="27">
        <v>949</v>
      </c>
      <c r="F29" s="33">
        <v>212.83</v>
      </c>
      <c r="G29" s="47">
        <v>848</v>
      </c>
      <c r="H29" s="33">
        <v>20</v>
      </c>
      <c r="I29" s="49">
        <v>0</v>
      </c>
      <c r="J29" s="49">
        <v>20</v>
      </c>
      <c r="K29" s="50">
        <v>0</v>
      </c>
      <c r="L29" s="51">
        <v>0</v>
      </c>
      <c r="M29" s="23">
        <f t="shared" si="0"/>
        <v>20</v>
      </c>
      <c r="N29" s="2"/>
    </row>
    <row r="30" spans="1:15" ht="19.5" customHeight="1">
      <c r="A30" s="8">
        <v>43034</v>
      </c>
      <c r="B30" s="69"/>
      <c r="C30" s="69"/>
      <c r="D30" s="21">
        <v>213.8</v>
      </c>
      <c r="E30" s="27">
        <v>949</v>
      </c>
      <c r="F30" s="33">
        <v>212.81</v>
      </c>
      <c r="G30" s="33">
        <v>846</v>
      </c>
      <c r="H30" s="33">
        <v>15</v>
      </c>
      <c r="I30" s="49">
        <v>0</v>
      </c>
      <c r="J30" s="49">
        <v>30</v>
      </c>
      <c r="K30" s="50">
        <v>10</v>
      </c>
      <c r="L30" s="51">
        <v>0</v>
      </c>
      <c r="M30" s="23">
        <f t="shared" si="0"/>
        <v>40</v>
      </c>
      <c r="N30" s="2"/>
    </row>
    <row r="31" spans="1:15" ht="21" customHeight="1">
      <c r="A31" s="8">
        <v>43035</v>
      </c>
      <c r="B31" s="69"/>
      <c r="C31" s="69"/>
      <c r="D31" s="21">
        <v>213.8</v>
      </c>
      <c r="E31" s="27">
        <v>949</v>
      </c>
      <c r="F31" s="33">
        <v>212.79</v>
      </c>
      <c r="G31" s="33">
        <v>844</v>
      </c>
      <c r="H31" s="33">
        <v>15</v>
      </c>
      <c r="I31" s="49">
        <v>10</v>
      </c>
      <c r="J31" s="49">
        <v>30</v>
      </c>
      <c r="K31" s="50">
        <v>10</v>
      </c>
      <c r="L31" s="51">
        <v>0</v>
      </c>
      <c r="M31" s="23">
        <f t="shared" si="0"/>
        <v>50</v>
      </c>
      <c r="N31" s="2"/>
    </row>
    <row r="32" spans="1:15" ht="21" customHeight="1">
      <c r="A32" s="8">
        <v>43036</v>
      </c>
      <c r="B32" s="69"/>
      <c r="C32" s="69"/>
      <c r="D32" s="21">
        <v>213.8</v>
      </c>
      <c r="E32" s="27">
        <v>949</v>
      </c>
      <c r="F32" s="33">
        <v>212.78</v>
      </c>
      <c r="G32" s="33">
        <v>843</v>
      </c>
      <c r="H32" s="33">
        <v>40</v>
      </c>
      <c r="I32" s="49">
        <v>0</v>
      </c>
      <c r="J32" s="49">
        <v>30</v>
      </c>
      <c r="K32" s="50">
        <v>10</v>
      </c>
      <c r="L32" s="51">
        <v>0</v>
      </c>
      <c r="M32" s="23">
        <f t="shared" si="0"/>
        <v>40</v>
      </c>
      <c r="N32" s="2"/>
    </row>
    <row r="33" spans="1:15" ht="21" customHeight="1">
      <c r="A33" s="8">
        <v>43037</v>
      </c>
      <c r="B33" s="69"/>
      <c r="C33" s="69"/>
      <c r="D33" s="21">
        <v>213.8</v>
      </c>
      <c r="E33" s="27">
        <v>949</v>
      </c>
      <c r="F33" s="33">
        <v>212.75</v>
      </c>
      <c r="G33" s="33">
        <v>837</v>
      </c>
      <c r="H33" s="33">
        <v>15</v>
      </c>
      <c r="I33" s="49">
        <v>0</v>
      </c>
      <c r="J33" s="49">
        <v>30</v>
      </c>
      <c r="K33" s="50">
        <v>10</v>
      </c>
      <c r="L33" s="51">
        <v>0</v>
      </c>
      <c r="M33" s="23">
        <f t="shared" si="0"/>
        <v>40</v>
      </c>
      <c r="N33" s="2"/>
    </row>
    <row r="34" spans="1:15" ht="21" customHeight="1">
      <c r="A34" s="8">
        <v>43038</v>
      </c>
      <c r="B34" s="69"/>
      <c r="C34" s="69"/>
      <c r="D34" s="21">
        <v>213.8</v>
      </c>
      <c r="E34" s="27">
        <v>949</v>
      </c>
      <c r="F34" s="33">
        <v>212.73</v>
      </c>
      <c r="G34" s="33">
        <v>837</v>
      </c>
      <c r="H34" s="33">
        <v>15</v>
      </c>
      <c r="I34" s="49">
        <v>0</v>
      </c>
      <c r="J34" s="49">
        <v>30</v>
      </c>
      <c r="K34" s="50">
        <v>10</v>
      </c>
      <c r="L34" s="51">
        <v>0</v>
      </c>
      <c r="M34" s="23">
        <f t="shared" si="0"/>
        <v>40</v>
      </c>
      <c r="N34" s="2"/>
    </row>
    <row r="35" spans="1:15" ht="21" customHeight="1">
      <c r="A35" s="8">
        <v>43039</v>
      </c>
      <c r="B35" s="70"/>
      <c r="C35" s="70"/>
      <c r="D35" s="22">
        <v>213.8</v>
      </c>
      <c r="E35" s="27">
        <v>949</v>
      </c>
      <c r="F35" s="33">
        <v>212.68</v>
      </c>
      <c r="G35" s="33">
        <v>832</v>
      </c>
      <c r="H35" s="33">
        <v>15</v>
      </c>
      <c r="I35" s="49">
        <v>0</v>
      </c>
      <c r="J35" s="49">
        <v>30</v>
      </c>
      <c r="K35" s="50">
        <v>20</v>
      </c>
      <c r="L35" s="51">
        <v>0</v>
      </c>
      <c r="M35" s="23">
        <f t="shared" si="0"/>
        <v>50</v>
      </c>
      <c r="N35" s="2"/>
    </row>
    <row r="36" spans="1:15" ht="21" customHeight="1">
      <c r="A36" s="10"/>
      <c r="B36" s="11"/>
      <c r="C36" s="11"/>
      <c r="D36" s="12"/>
      <c r="E36" s="12"/>
      <c r="F36" s="13"/>
      <c r="G36" s="12"/>
      <c r="H36" s="14">
        <f>SUM(H5:H35)</f>
        <v>6820</v>
      </c>
      <c r="I36" s="14">
        <f t="shared" ref="I36:M36" si="1">SUM(I5:I35)</f>
        <v>210</v>
      </c>
      <c r="J36" s="14">
        <f t="shared" si="1"/>
        <v>590</v>
      </c>
      <c r="K36" s="14">
        <f t="shared" si="1"/>
        <v>130</v>
      </c>
      <c r="L36" s="14">
        <f t="shared" si="1"/>
        <v>0</v>
      </c>
      <c r="M36" s="14">
        <f t="shared" si="1"/>
        <v>930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0.58925177121133576</v>
      </c>
      <c r="I37" s="5"/>
      <c r="J37" s="5">
        <f>J36/11574</f>
        <v>5.0976326248487989E-2</v>
      </c>
      <c r="K37" s="5">
        <f>K36/11574</f>
        <v>1.1232071885260066E-2</v>
      </c>
      <c r="L37" s="25"/>
      <c r="M37" s="25"/>
      <c r="N37" s="7"/>
    </row>
    <row r="38" spans="1:15" ht="15.75" customHeight="1">
      <c r="A38" s="71" t="s">
        <v>9</v>
      </c>
      <c r="B38" s="66"/>
      <c r="C38" s="66"/>
      <c r="D38" s="66"/>
      <c r="J38" s="71" t="s">
        <v>10</v>
      </c>
      <c r="K38" s="66"/>
      <c r="L38" s="66"/>
      <c r="M38" s="66"/>
      <c r="N38" s="7"/>
    </row>
    <row r="39" spans="1:15" ht="15.75" customHeight="1">
      <c r="A39" s="72" t="s">
        <v>16</v>
      </c>
      <c r="B39" s="66"/>
      <c r="C39" s="66"/>
      <c r="D39" s="66"/>
      <c r="J39" s="72" t="s">
        <v>16</v>
      </c>
      <c r="K39" s="66"/>
      <c r="L39" s="66"/>
      <c r="M39" s="66"/>
      <c r="N39" s="7"/>
    </row>
    <row r="40" spans="1:15" ht="15.75" customHeight="1">
      <c r="A40" s="65" t="s">
        <v>17</v>
      </c>
      <c r="B40" s="66"/>
      <c r="C40" s="66"/>
      <c r="D40" s="66"/>
      <c r="J40" s="65" t="s">
        <v>17</v>
      </c>
      <c r="K40" s="66"/>
      <c r="L40" s="66"/>
      <c r="M40" s="66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zoomScale="60" workbookViewId="0">
      <selection activeCell="A5" sqref="A5:A34"/>
    </sheetView>
  </sheetViews>
  <sheetFormatPr defaultColWidth="14.42578125" defaultRowHeight="15" customHeight="1"/>
  <cols>
    <col min="1" max="1" width="12.42578125" style="24" customWidth="1"/>
    <col min="2" max="2" width="6.28515625" style="24" customWidth="1"/>
    <col min="3" max="3" width="5.140625" style="24" customWidth="1"/>
    <col min="4" max="4" width="10" style="24" customWidth="1"/>
    <col min="5" max="5" width="10" style="26" customWidth="1"/>
    <col min="6" max="7" width="8.7109375" style="24" customWidth="1"/>
    <col min="8" max="8" width="9.85546875" style="24" customWidth="1"/>
    <col min="9" max="9" width="8.7109375" style="24" customWidth="1"/>
    <col min="10" max="10" width="8.42578125" style="24" customWidth="1"/>
    <col min="11" max="11" width="8.7109375" style="24" customWidth="1"/>
    <col min="12" max="12" width="6.42578125" style="24" customWidth="1"/>
    <col min="13" max="13" width="8.5703125" style="24" customWidth="1"/>
    <col min="14" max="14" width="8.85546875" style="24" customWidth="1"/>
    <col min="15" max="16384" width="14.42578125" style="24"/>
  </cols>
  <sheetData>
    <row r="1" spans="1:14" ht="14.25" customHeight="1">
      <c r="A1" s="52" t="s">
        <v>32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69"/>
      <c r="B4" s="69"/>
      <c r="C4" s="69"/>
      <c r="D4" s="69"/>
      <c r="E4" s="64"/>
      <c r="F4" s="69"/>
      <c r="G4" s="69"/>
      <c r="H4" s="6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30">
        <v>43040</v>
      </c>
      <c r="B5" s="73" t="s">
        <v>11</v>
      </c>
      <c r="C5" s="73" t="s">
        <v>12</v>
      </c>
      <c r="D5" s="27">
        <v>213.8</v>
      </c>
      <c r="E5" s="27">
        <v>949</v>
      </c>
      <c r="F5" s="33">
        <v>212.65</v>
      </c>
      <c r="G5" s="33">
        <v>829</v>
      </c>
      <c r="H5" s="33">
        <v>13</v>
      </c>
      <c r="I5" s="34">
        <v>0</v>
      </c>
      <c r="J5" s="34">
        <v>30</v>
      </c>
      <c r="K5" s="33">
        <v>20</v>
      </c>
      <c r="L5" s="51">
        <v>0</v>
      </c>
      <c r="M5" s="23">
        <f>L5+K5+J5+I5</f>
        <v>50</v>
      </c>
      <c r="N5" s="2"/>
    </row>
    <row r="6" spans="1:14" ht="19.5" customHeight="1">
      <c r="A6" s="30">
        <v>43041</v>
      </c>
      <c r="B6" s="74"/>
      <c r="C6" s="74"/>
      <c r="D6" s="27">
        <v>213.8</v>
      </c>
      <c r="E6" s="27">
        <v>949</v>
      </c>
      <c r="F6" s="33">
        <v>212.6</v>
      </c>
      <c r="G6" s="33">
        <v>824</v>
      </c>
      <c r="H6" s="33">
        <v>0</v>
      </c>
      <c r="I6" s="34">
        <v>0</v>
      </c>
      <c r="J6" s="34">
        <v>30</v>
      </c>
      <c r="K6" s="33">
        <v>20</v>
      </c>
      <c r="L6" s="51">
        <v>0</v>
      </c>
      <c r="M6" s="23">
        <f t="shared" ref="M6:M34" si="0">L6+K6+J6+I6</f>
        <v>50</v>
      </c>
      <c r="N6" s="2"/>
    </row>
    <row r="7" spans="1:14" ht="19.5" customHeight="1">
      <c r="A7" s="30">
        <v>43042</v>
      </c>
      <c r="B7" s="74"/>
      <c r="C7" s="74"/>
      <c r="D7" s="27">
        <v>213.8</v>
      </c>
      <c r="E7" s="27">
        <v>949</v>
      </c>
      <c r="F7" s="33">
        <v>212.6</v>
      </c>
      <c r="G7" s="33">
        <v>824</v>
      </c>
      <c r="H7" s="33">
        <v>0</v>
      </c>
      <c r="I7" s="34">
        <v>0</v>
      </c>
      <c r="J7" s="34">
        <v>30</v>
      </c>
      <c r="K7" s="33">
        <v>20</v>
      </c>
      <c r="L7" s="51">
        <v>0</v>
      </c>
      <c r="M7" s="23">
        <f t="shared" si="0"/>
        <v>50</v>
      </c>
      <c r="N7" s="2"/>
    </row>
    <row r="8" spans="1:14" ht="19.5" customHeight="1">
      <c r="A8" s="30">
        <v>43043</v>
      </c>
      <c r="B8" s="74"/>
      <c r="C8" s="74"/>
      <c r="D8" s="27">
        <v>213.8</v>
      </c>
      <c r="E8" s="27">
        <v>949</v>
      </c>
      <c r="F8" s="33">
        <v>212.54</v>
      </c>
      <c r="G8" s="33">
        <v>817</v>
      </c>
      <c r="H8" s="33">
        <v>25</v>
      </c>
      <c r="I8" s="34">
        <v>0</v>
      </c>
      <c r="J8" s="34">
        <v>30</v>
      </c>
      <c r="K8" s="33">
        <v>20</v>
      </c>
      <c r="L8" s="51">
        <v>0</v>
      </c>
      <c r="M8" s="23">
        <f t="shared" si="0"/>
        <v>50</v>
      </c>
      <c r="N8" s="2"/>
    </row>
    <row r="9" spans="1:14" ht="19.5" customHeight="1">
      <c r="A9" s="30">
        <v>43044</v>
      </c>
      <c r="B9" s="74"/>
      <c r="C9" s="74"/>
      <c r="D9" s="27">
        <v>213.8</v>
      </c>
      <c r="E9" s="27">
        <v>949</v>
      </c>
      <c r="F9" s="33">
        <v>212.54</v>
      </c>
      <c r="G9" s="33">
        <v>817</v>
      </c>
      <c r="H9" s="33">
        <v>25</v>
      </c>
      <c r="I9" s="34">
        <v>0</v>
      </c>
      <c r="J9" s="34">
        <v>30</v>
      </c>
      <c r="K9" s="33">
        <v>20</v>
      </c>
      <c r="L9" s="51">
        <v>0</v>
      </c>
      <c r="M9" s="23">
        <f t="shared" si="0"/>
        <v>50</v>
      </c>
      <c r="N9" s="2"/>
    </row>
    <row r="10" spans="1:14" ht="19.5" customHeight="1">
      <c r="A10" s="30">
        <v>43045</v>
      </c>
      <c r="B10" s="74"/>
      <c r="C10" s="74"/>
      <c r="D10" s="27">
        <v>213.8</v>
      </c>
      <c r="E10" s="27">
        <v>949</v>
      </c>
      <c r="F10" s="33">
        <v>212.54</v>
      </c>
      <c r="G10" s="33">
        <v>817</v>
      </c>
      <c r="H10" s="33">
        <v>25</v>
      </c>
      <c r="I10" s="34">
        <v>0</v>
      </c>
      <c r="J10" s="34">
        <v>30</v>
      </c>
      <c r="K10" s="33">
        <v>20</v>
      </c>
      <c r="L10" s="51">
        <v>0</v>
      </c>
      <c r="M10" s="23">
        <f t="shared" si="0"/>
        <v>50</v>
      </c>
      <c r="N10" s="2"/>
    </row>
    <row r="11" spans="1:14" ht="19.5" customHeight="1">
      <c r="A11" s="30">
        <v>43046</v>
      </c>
      <c r="B11" s="74"/>
      <c r="C11" s="74"/>
      <c r="D11" s="27">
        <v>213.8</v>
      </c>
      <c r="E11" s="27">
        <v>949</v>
      </c>
      <c r="F11" s="33">
        <v>212.5</v>
      </c>
      <c r="G11" s="33">
        <v>813</v>
      </c>
      <c r="H11" s="33">
        <v>13</v>
      </c>
      <c r="I11" s="34">
        <v>0</v>
      </c>
      <c r="J11" s="34">
        <v>30</v>
      </c>
      <c r="K11" s="33">
        <v>20</v>
      </c>
      <c r="L11" s="51">
        <v>0</v>
      </c>
      <c r="M11" s="23">
        <f t="shared" si="0"/>
        <v>50</v>
      </c>
      <c r="N11" s="2"/>
    </row>
    <row r="12" spans="1:14" ht="19.5" customHeight="1">
      <c r="A12" s="30">
        <v>43047</v>
      </c>
      <c r="B12" s="74"/>
      <c r="C12" s="74"/>
      <c r="D12" s="27">
        <v>213.8</v>
      </c>
      <c r="E12" s="27">
        <v>949</v>
      </c>
      <c r="F12" s="33">
        <v>212.45</v>
      </c>
      <c r="G12" s="33">
        <v>808</v>
      </c>
      <c r="H12" s="33">
        <v>0</v>
      </c>
      <c r="I12" s="34">
        <v>0</v>
      </c>
      <c r="J12" s="34">
        <v>30</v>
      </c>
      <c r="K12" s="33">
        <v>30</v>
      </c>
      <c r="L12" s="51">
        <v>0</v>
      </c>
      <c r="M12" s="23">
        <f t="shared" si="0"/>
        <v>60</v>
      </c>
      <c r="N12" s="2"/>
    </row>
    <row r="13" spans="1:14" ht="19.5" customHeight="1">
      <c r="A13" s="30">
        <v>43048</v>
      </c>
      <c r="B13" s="74"/>
      <c r="C13" s="74"/>
      <c r="D13" s="27">
        <v>213.8</v>
      </c>
      <c r="E13" s="27">
        <v>949</v>
      </c>
      <c r="F13" s="33">
        <v>212.45</v>
      </c>
      <c r="G13" s="33">
        <v>808</v>
      </c>
      <c r="H13" s="33">
        <v>0</v>
      </c>
      <c r="I13" s="34">
        <v>0</v>
      </c>
      <c r="J13" s="34">
        <v>30</v>
      </c>
      <c r="K13" s="33">
        <v>30</v>
      </c>
      <c r="L13" s="51">
        <v>0</v>
      </c>
      <c r="M13" s="23">
        <f t="shared" si="0"/>
        <v>60</v>
      </c>
      <c r="N13" s="2"/>
    </row>
    <row r="14" spans="1:14" ht="19.5" customHeight="1">
      <c r="A14" s="30">
        <v>43049</v>
      </c>
      <c r="B14" s="74"/>
      <c r="C14" s="74"/>
      <c r="D14" s="27">
        <v>213.8</v>
      </c>
      <c r="E14" s="27">
        <v>949</v>
      </c>
      <c r="F14" s="33">
        <v>212.48</v>
      </c>
      <c r="G14" s="33">
        <v>808</v>
      </c>
      <c r="H14" s="33">
        <v>0</v>
      </c>
      <c r="I14" s="34">
        <v>0</v>
      </c>
      <c r="J14" s="34">
        <v>30</v>
      </c>
      <c r="K14" s="33">
        <v>30</v>
      </c>
      <c r="L14" s="51">
        <v>0</v>
      </c>
      <c r="M14" s="23">
        <f t="shared" si="0"/>
        <v>60</v>
      </c>
      <c r="N14" s="2"/>
    </row>
    <row r="15" spans="1:14" ht="19.5" customHeight="1">
      <c r="A15" s="30">
        <v>43050</v>
      </c>
      <c r="B15" s="74"/>
      <c r="C15" s="74"/>
      <c r="D15" s="27">
        <v>213.8</v>
      </c>
      <c r="E15" s="27">
        <v>949</v>
      </c>
      <c r="F15" s="33">
        <v>212.48</v>
      </c>
      <c r="G15" s="33">
        <v>808</v>
      </c>
      <c r="H15" s="33">
        <v>0</v>
      </c>
      <c r="I15" s="34">
        <v>0</v>
      </c>
      <c r="J15" s="34">
        <v>30</v>
      </c>
      <c r="K15" s="33">
        <v>30</v>
      </c>
      <c r="L15" s="51">
        <v>0</v>
      </c>
      <c r="M15" s="23">
        <f t="shared" si="0"/>
        <v>60</v>
      </c>
      <c r="N15" s="2"/>
    </row>
    <row r="16" spans="1:14" ht="19.5" customHeight="1">
      <c r="A16" s="30">
        <v>43051</v>
      </c>
      <c r="B16" s="74"/>
      <c r="C16" s="74"/>
      <c r="D16" s="27">
        <v>213.8</v>
      </c>
      <c r="E16" s="27">
        <v>949</v>
      </c>
      <c r="F16" s="33">
        <v>212.48</v>
      </c>
      <c r="G16" s="33">
        <v>808</v>
      </c>
      <c r="H16" s="33">
        <v>0</v>
      </c>
      <c r="I16" s="34">
        <v>0</v>
      </c>
      <c r="J16" s="34">
        <v>30</v>
      </c>
      <c r="K16" s="33">
        <v>30</v>
      </c>
      <c r="L16" s="51">
        <v>0</v>
      </c>
      <c r="M16" s="23">
        <f t="shared" si="0"/>
        <v>60</v>
      </c>
      <c r="N16" s="2"/>
    </row>
    <row r="17" spans="1:15" ht="19.5" customHeight="1">
      <c r="A17" s="30">
        <v>43052</v>
      </c>
      <c r="B17" s="74"/>
      <c r="C17" s="74"/>
      <c r="D17" s="27">
        <v>213.8</v>
      </c>
      <c r="E17" s="27">
        <v>949</v>
      </c>
      <c r="F17" s="33">
        <v>212.48</v>
      </c>
      <c r="G17" s="33">
        <v>807</v>
      </c>
      <c r="H17" s="33">
        <v>0</v>
      </c>
      <c r="I17" s="34">
        <v>0</v>
      </c>
      <c r="J17" s="34">
        <v>30</v>
      </c>
      <c r="K17" s="33">
        <v>30</v>
      </c>
      <c r="L17" s="51">
        <v>0</v>
      </c>
      <c r="M17" s="23">
        <f t="shared" si="0"/>
        <v>60</v>
      </c>
      <c r="N17" s="2"/>
    </row>
    <row r="18" spans="1:15" ht="19.5" customHeight="1">
      <c r="A18" s="30">
        <v>43053</v>
      </c>
      <c r="B18" s="74"/>
      <c r="C18" s="74"/>
      <c r="D18" s="27">
        <v>213.8</v>
      </c>
      <c r="E18" s="27">
        <v>949</v>
      </c>
      <c r="F18" s="33">
        <v>212.48</v>
      </c>
      <c r="G18" s="33">
        <v>807</v>
      </c>
      <c r="H18" s="33">
        <v>0</v>
      </c>
      <c r="I18" s="34">
        <v>0</v>
      </c>
      <c r="J18" s="34">
        <v>30</v>
      </c>
      <c r="K18" s="33">
        <v>30</v>
      </c>
      <c r="L18" s="51">
        <v>0</v>
      </c>
      <c r="M18" s="23">
        <f t="shared" si="0"/>
        <v>60</v>
      </c>
      <c r="N18" s="2"/>
    </row>
    <row r="19" spans="1:15" ht="19.5" customHeight="1">
      <c r="A19" s="30">
        <v>43054</v>
      </c>
      <c r="B19" s="74"/>
      <c r="C19" s="74"/>
      <c r="D19" s="27">
        <v>213.8</v>
      </c>
      <c r="E19" s="27">
        <v>949</v>
      </c>
      <c r="F19" s="33">
        <v>212.24</v>
      </c>
      <c r="G19" s="33">
        <v>769</v>
      </c>
      <c r="H19" s="33">
        <v>0</v>
      </c>
      <c r="I19" s="34">
        <v>0</v>
      </c>
      <c r="J19" s="34">
        <v>30</v>
      </c>
      <c r="K19" s="33">
        <v>30</v>
      </c>
      <c r="L19" s="51">
        <v>0</v>
      </c>
      <c r="M19" s="23">
        <f t="shared" si="0"/>
        <v>60</v>
      </c>
      <c r="N19" s="2"/>
    </row>
    <row r="20" spans="1:15" ht="19.5" customHeight="1">
      <c r="A20" s="30">
        <v>43055</v>
      </c>
      <c r="B20" s="74"/>
      <c r="C20" s="74"/>
      <c r="D20" s="27">
        <v>213.8</v>
      </c>
      <c r="E20" s="27">
        <v>949</v>
      </c>
      <c r="F20" s="33">
        <v>212.08</v>
      </c>
      <c r="G20" s="33">
        <v>767</v>
      </c>
      <c r="H20" s="33">
        <v>49</v>
      </c>
      <c r="I20" s="34">
        <v>0</v>
      </c>
      <c r="J20" s="34">
        <v>40</v>
      </c>
      <c r="K20" s="33">
        <v>30</v>
      </c>
      <c r="L20" s="51">
        <v>0</v>
      </c>
      <c r="M20" s="23">
        <f t="shared" si="0"/>
        <v>70</v>
      </c>
      <c r="N20" s="2"/>
    </row>
    <row r="21" spans="1:15" ht="19.5" customHeight="1">
      <c r="A21" s="30">
        <v>43056</v>
      </c>
      <c r="B21" s="74"/>
      <c r="C21" s="74"/>
      <c r="D21" s="27">
        <v>213.8</v>
      </c>
      <c r="E21" s="27">
        <v>949</v>
      </c>
      <c r="F21" s="33">
        <v>212.06</v>
      </c>
      <c r="G21" s="33">
        <v>766</v>
      </c>
      <c r="H21" s="33">
        <v>45</v>
      </c>
      <c r="I21" s="34">
        <v>0</v>
      </c>
      <c r="J21" s="34">
        <v>40</v>
      </c>
      <c r="K21" s="33">
        <v>30</v>
      </c>
      <c r="L21" s="51">
        <v>0</v>
      </c>
      <c r="M21" s="23">
        <f t="shared" si="0"/>
        <v>70</v>
      </c>
      <c r="N21" s="2"/>
    </row>
    <row r="22" spans="1:15" ht="19.5" customHeight="1">
      <c r="A22" s="30">
        <v>43057</v>
      </c>
      <c r="B22" s="74"/>
      <c r="C22" s="74"/>
      <c r="D22" s="27">
        <v>213.8</v>
      </c>
      <c r="E22" s="27">
        <v>949</v>
      </c>
      <c r="F22" s="33">
        <v>212.05</v>
      </c>
      <c r="G22" s="33">
        <v>762</v>
      </c>
      <c r="H22" s="33">
        <v>42</v>
      </c>
      <c r="I22" s="34">
        <v>0</v>
      </c>
      <c r="J22" s="34">
        <v>40</v>
      </c>
      <c r="K22" s="33">
        <v>15</v>
      </c>
      <c r="L22" s="51">
        <v>0</v>
      </c>
      <c r="M22" s="23">
        <f t="shared" si="0"/>
        <v>55</v>
      </c>
      <c r="N22" s="2"/>
    </row>
    <row r="23" spans="1:15" ht="19.5" customHeight="1">
      <c r="A23" s="30">
        <v>43058</v>
      </c>
      <c r="B23" s="74"/>
      <c r="C23" s="74"/>
      <c r="D23" s="27">
        <v>213.8</v>
      </c>
      <c r="E23" s="27">
        <v>949</v>
      </c>
      <c r="F23" s="33">
        <v>212.01</v>
      </c>
      <c r="G23" s="33">
        <v>759</v>
      </c>
      <c r="H23" s="33">
        <v>6</v>
      </c>
      <c r="I23" s="34">
        <v>0</v>
      </c>
      <c r="J23" s="34">
        <v>40</v>
      </c>
      <c r="K23" s="33">
        <v>15</v>
      </c>
      <c r="L23" s="51">
        <v>0</v>
      </c>
      <c r="M23" s="23">
        <f t="shared" si="0"/>
        <v>55</v>
      </c>
      <c r="N23" s="2"/>
    </row>
    <row r="24" spans="1:15" ht="19.5" customHeight="1">
      <c r="A24" s="30">
        <v>43059</v>
      </c>
      <c r="B24" s="74"/>
      <c r="C24" s="74"/>
      <c r="D24" s="27">
        <v>213.8</v>
      </c>
      <c r="E24" s="27">
        <v>949</v>
      </c>
      <c r="F24" s="33">
        <v>212.98</v>
      </c>
      <c r="G24" s="33">
        <v>761</v>
      </c>
      <c r="H24" s="33">
        <v>4</v>
      </c>
      <c r="I24" s="34">
        <v>0</v>
      </c>
      <c r="J24" s="34">
        <v>40</v>
      </c>
      <c r="K24" s="33">
        <v>0</v>
      </c>
      <c r="L24" s="51">
        <v>0</v>
      </c>
      <c r="M24" s="23">
        <f t="shared" si="0"/>
        <v>40</v>
      </c>
      <c r="N24" s="2"/>
    </row>
    <row r="25" spans="1:15" ht="19.5" customHeight="1">
      <c r="A25" s="30">
        <v>43060</v>
      </c>
      <c r="B25" s="74"/>
      <c r="C25" s="74"/>
      <c r="D25" s="27">
        <v>213.8</v>
      </c>
      <c r="E25" s="27">
        <v>949</v>
      </c>
      <c r="F25" s="33">
        <v>212</v>
      </c>
      <c r="G25" s="33">
        <v>761</v>
      </c>
      <c r="H25" s="33">
        <v>64</v>
      </c>
      <c r="I25" s="34">
        <v>0</v>
      </c>
      <c r="J25" s="34">
        <v>40</v>
      </c>
      <c r="K25" s="33">
        <v>0</v>
      </c>
      <c r="L25" s="51">
        <v>0</v>
      </c>
      <c r="M25" s="23">
        <f t="shared" si="0"/>
        <v>40</v>
      </c>
      <c r="N25" s="2"/>
    </row>
    <row r="26" spans="1:15" ht="19.5" customHeight="1">
      <c r="A26" s="30">
        <v>43061</v>
      </c>
      <c r="B26" s="74"/>
      <c r="C26" s="74"/>
      <c r="D26" s="27">
        <v>213.8</v>
      </c>
      <c r="E26" s="27">
        <v>949</v>
      </c>
      <c r="F26" s="33">
        <v>212</v>
      </c>
      <c r="G26" s="33">
        <v>761</v>
      </c>
      <c r="H26" s="33">
        <v>40</v>
      </c>
      <c r="I26" s="34">
        <v>0</v>
      </c>
      <c r="J26" s="34">
        <v>40</v>
      </c>
      <c r="K26" s="33">
        <v>0</v>
      </c>
      <c r="L26" s="51">
        <v>0</v>
      </c>
      <c r="M26" s="23">
        <f t="shared" si="0"/>
        <v>40</v>
      </c>
      <c r="N26" s="2"/>
      <c r="O26" s="17"/>
    </row>
    <row r="27" spans="1:15" ht="19.5" customHeight="1">
      <c r="A27" s="30">
        <v>43062</v>
      </c>
      <c r="B27" s="74"/>
      <c r="C27" s="74"/>
      <c r="D27" s="27">
        <v>213.8</v>
      </c>
      <c r="E27" s="27">
        <v>949</v>
      </c>
      <c r="F27" s="33">
        <v>212</v>
      </c>
      <c r="G27" s="33">
        <v>762</v>
      </c>
      <c r="H27" s="33">
        <v>40</v>
      </c>
      <c r="I27" s="34">
        <v>0</v>
      </c>
      <c r="J27" s="34">
        <v>40</v>
      </c>
      <c r="K27" s="33">
        <v>0</v>
      </c>
      <c r="L27" s="51">
        <v>0</v>
      </c>
      <c r="M27" s="23">
        <f t="shared" si="0"/>
        <v>40</v>
      </c>
      <c r="N27" s="2"/>
    </row>
    <row r="28" spans="1:15" ht="19.5" customHeight="1">
      <c r="A28" s="30">
        <v>43063</v>
      </c>
      <c r="B28" s="74"/>
      <c r="C28" s="74"/>
      <c r="D28" s="27">
        <v>213.8</v>
      </c>
      <c r="E28" s="27">
        <v>949</v>
      </c>
      <c r="F28" s="33">
        <v>212.01</v>
      </c>
      <c r="G28" s="33">
        <v>765</v>
      </c>
      <c r="H28" s="33">
        <v>53</v>
      </c>
      <c r="I28" s="34">
        <v>0</v>
      </c>
      <c r="J28" s="34">
        <v>40</v>
      </c>
      <c r="K28" s="33">
        <v>0</v>
      </c>
      <c r="L28" s="51">
        <v>0</v>
      </c>
      <c r="M28" s="23">
        <f t="shared" si="0"/>
        <v>40</v>
      </c>
      <c r="N28" s="2"/>
    </row>
    <row r="29" spans="1:15" ht="19.5" customHeight="1">
      <c r="A29" s="30">
        <v>43064</v>
      </c>
      <c r="B29" s="74"/>
      <c r="C29" s="74"/>
      <c r="D29" s="27">
        <v>213.8</v>
      </c>
      <c r="E29" s="27">
        <v>949</v>
      </c>
      <c r="F29" s="33">
        <v>212.04</v>
      </c>
      <c r="G29" s="33">
        <v>756</v>
      </c>
      <c r="H29" s="33">
        <v>68</v>
      </c>
      <c r="I29" s="34">
        <v>0</v>
      </c>
      <c r="J29" s="34">
        <v>30</v>
      </c>
      <c r="K29" s="33">
        <v>0</v>
      </c>
      <c r="L29" s="51">
        <v>0</v>
      </c>
      <c r="M29" s="23">
        <f t="shared" si="0"/>
        <v>30</v>
      </c>
      <c r="N29" s="2"/>
    </row>
    <row r="30" spans="1:15" ht="19.5" customHeight="1">
      <c r="A30" s="30">
        <v>43065</v>
      </c>
      <c r="B30" s="74"/>
      <c r="C30" s="74"/>
      <c r="D30" s="27">
        <v>213.8</v>
      </c>
      <c r="E30" s="27">
        <v>949</v>
      </c>
      <c r="F30" s="33">
        <v>212.04</v>
      </c>
      <c r="G30" s="33">
        <v>765</v>
      </c>
      <c r="H30" s="33">
        <v>30</v>
      </c>
      <c r="I30" s="34">
        <v>0</v>
      </c>
      <c r="J30" s="34">
        <v>30</v>
      </c>
      <c r="K30" s="33">
        <v>0</v>
      </c>
      <c r="L30" s="51">
        <v>0</v>
      </c>
      <c r="M30" s="23">
        <f t="shared" si="0"/>
        <v>30</v>
      </c>
      <c r="N30" s="2"/>
    </row>
    <row r="31" spans="1:15" ht="21" customHeight="1">
      <c r="A31" s="30">
        <v>43066</v>
      </c>
      <c r="B31" s="74"/>
      <c r="C31" s="74"/>
      <c r="D31" s="27">
        <v>213.8</v>
      </c>
      <c r="E31" s="27">
        <v>949</v>
      </c>
      <c r="F31" s="33">
        <v>212.04</v>
      </c>
      <c r="G31" s="33">
        <v>756</v>
      </c>
      <c r="H31" s="33">
        <v>30</v>
      </c>
      <c r="I31" s="34">
        <v>0</v>
      </c>
      <c r="J31" s="34">
        <v>30</v>
      </c>
      <c r="K31" s="33">
        <v>0</v>
      </c>
      <c r="L31" s="51">
        <v>0</v>
      </c>
      <c r="M31" s="23">
        <f t="shared" si="0"/>
        <v>30</v>
      </c>
      <c r="N31" s="2"/>
    </row>
    <row r="32" spans="1:15" ht="21" customHeight="1">
      <c r="A32" s="30">
        <v>43067</v>
      </c>
      <c r="B32" s="74"/>
      <c r="C32" s="74"/>
      <c r="D32" s="27">
        <v>213.8</v>
      </c>
      <c r="E32" s="27">
        <v>949</v>
      </c>
      <c r="F32" s="33">
        <v>212.04</v>
      </c>
      <c r="G32" s="33">
        <v>765</v>
      </c>
      <c r="H32" s="33">
        <v>30</v>
      </c>
      <c r="I32" s="34">
        <v>0</v>
      </c>
      <c r="J32" s="34">
        <v>30</v>
      </c>
      <c r="K32" s="33">
        <v>0</v>
      </c>
      <c r="L32" s="51">
        <v>0</v>
      </c>
      <c r="M32" s="23">
        <f t="shared" si="0"/>
        <v>30</v>
      </c>
      <c r="N32" s="2"/>
    </row>
    <row r="33" spans="1:15" ht="21" customHeight="1">
      <c r="A33" s="30">
        <v>43068</v>
      </c>
      <c r="B33" s="74"/>
      <c r="C33" s="74"/>
      <c r="D33" s="27">
        <v>213.8</v>
      </c>
      <c r="E33" s="27">
        <v>949</v>
      </c>
      <c r="F33" s="33">
        <v>212.04</v>
      </c>
      <c r="G33" s="33">
        <v>765</v>
      </c>
      <c r="H33" s="33">
        <v>30</v>
      </c>
      <c r="I33" s="34">
        <v>0</v>
      </c>
      <c r="J33" s="34">
        <v>30</v>
      </c>
      <c r="K33" s="33">
        <v>0</v>
      </c>
      <c r="L33" s="51">
        <v>0</v>
      </c>
      <c r="M33" s="23">
        <f t="shared" si="0"/>
        <v>30</v>
      </c>
      <c r="N33" s="2"/>
    </row>
    <row r="34" spans="1:15" ht="21" customHeight="1">
      <c r="A34" s="30">
        <v>43069</v>
      </c>
      <c r="B34" s="74"/>
      <c r="C34" s="74"/>
      <c r="D34" s="27">
        <v>213.8</v>
      </c>
      <c r="E34" s="27">
        <v>949</v>
      </c>
      <c r="F34" s="33">
        <v>212.05</v>
      </c>
      <c r="G34" s="33">
        <v>756</v>
      </c>
      <c r="H34" s="33">
        <v>42</v>
      </c>
      <c r="I34" s="34">
        <v>0</v>
      </c>
      <c r="J34" s="34">
        <v>30</v>
      </c>
      <c r="K34" s="33">
        <v>0</v>
      </c>
      <c r="L34" s="51">
        <v>0</v>
      </c>
      <c r="M34" s="23">
        <f t="shared" si="0"/>
        <v>30</v>
      </c>
      <c r="N34" s="2"/>
    </row>
    <row r="35" spans="1:15" ht="21" customHeight="1">
      <c r="A35" s="10"/>
      <c r="B35" s="11"/>
      <c r="C35" s="11"/>
      <c r="D35" s="12"/>
      <c r="E35" s="29"/>
      <c r="F35" s="13"/>
      <c r="G35" s="12"/>
      <c r="H35" s="14">
        <f>SUM(H5:H34)</f>
        <v>674</v>
      </c>
      <c r="I35" s="14">
        <f t="shared" ref="I35:M35" si="1">SUM(I5:I34)</f>
        <v>0</v>
      </c>
      <c r="J35" s="14">
        <f t="shared" si="1"/>
        <v>990</v>
      </c>
      <c r="K35" s="14">
        <f t="shared" si="1"/>
        <v>470</v>
      </c>
      <c r="L35" s="14">
        <f t="shared" si="1"/>
        <v>0</v>
      </c>
      <c r="M35" s="14">
        <f t="shared" si="1"/>
        <v>1460</v>
      </c>
      <c r="N35" s="16"/>
      <c r="O35" s="18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5.8233972697425265E-2</v>
      </c>
      <c r="I36" s="5"/>
      <c r="J36" s="5">
        <f>J35/11574</f>
        <v>8.553654743390357E-2</v>
      </c>
      <c r="K36" s="5">
        <f>K35/11574</f>
        <v>4.0608259892863312E-2</v>
      </c>
      <c r="L36" s="25"/>
      <c r="M36" s="25"/>
      <c r="N36" s="7"/>
    </row>
    <row r="37" spans="1:15" ht="15.75" customHeight="1">
      <c r="A37" s="71" t="s">
        <v>9</v>
      </c>
      <c r="B37" s="66"/>
      <c r="C37" s="66"/>
      <c r="D37" s="66"/>
      <c r="J37" s="71" t="s">
        <v>10</v>
      </c>
      <c r="K37" s="66"/>
      <c r="L37" s="66"/>
      <c r="M37" s="66"/>
      <c r="N37" s="7"/>
    </row>
    <row r="38" spans="1:15" ht="15.75" customHeight="1">
      <c r="A38" s="72" t="s">
        <v>16</v>
      </c>
      <c r="B38" s="66"/>
      <c r="C38" s="66"/>
      <c r="D38" s="66"/>
      <c r="J38" s="72" t="s">
        <v>16</v>
      </c>
      <c r="K38" s="66"/>
      <c r="L38" s="66"/>
      <c r="M38" s="66"/>
      <c r="N38" s="7"/>
    </row>
    <row r="39" spans="1:15" ht="15.75" customHeight="1">
      <c r="A39" s="65" t="s">
        <v>17</v>
      </c>
      <c r="B39" s="66"/>
      <c r="C39" s="66"/>
      <c r="D39" s="66"/>
      <c r="J39" s="65" t="s">
        <v>17</v>
      </c>
      <c r="K39" s="66"/>
      <c r="L39" s="66"/>
      <c r="M39" s="66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zoomScale="60" workbookViewId="0">
      <selection activeCell="A5" sqref="A5:A35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4" width="10" customWidth="1"/>
    <col min="5" max="5" width="10" style="26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52" t="s">
        <v>21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5.75" customHeight="1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14.25" customHeight="1">
      <c r="A3" s="58" t="s">
        <v>0</v>
      </c>
      <c r="B3" s="60" t="s">
        <v>1</v>
      </c>
      <c r="C3" s="60" t="s">
        <v>2</v>
      </c>
      <c r="D3" s="58" t="s">
        <v>3</v>
      </c>
      <c r="E3" s="58" t="s">
        <v>20</v>
      </c>
      <c r="F3" s="58" t="s">
        <v>4</v>
      </c>
      <c r="G3" s="58" t="s">
        <v>19</v>
      </c>
      <c r="H3" s="58" t="s">
        <v>5</v>
      </c>
      <c r="I3" s="61" t="s">
        <v>6</v>
      </c>
      <c r="J3" s="62"/>
      <c r="K3" s="62"/>
      <c r="L3" s="62"/>
      <c r="M3" s="63" t="s">
        <v>7</v>
      </c>
      <c r="N3" s="67" t="s">
        <v>8</v>
      </c>
    </row>
    <row r="4" spans="1:14" ht="51.75" customHeight="1">
      <c r="A4" s="59"/>
      <c r="B4" s="59"/>
      <c r="C4" s="59"/>
      <c r="D4" s="59"/>
      <c r="E4" s="64"/>
      <c r="F4" s="59"/>
      <c r="G4" s="59"/>
      <c r="H4" s="59"/>
      <c r="I4" s="9" t="s">
        <v>15</v>
      </c>
      <c r="J4" s="9" t="s">
        <v>13</v>
      </c>
      <c r="K4" s="19" t="s">
        <v>18</v>
      </c>
      <c r="L4" s="9" t="s">
        <v>14</v>
      </c>
      <c r="M4" s="59"/>
      <c r="N4" s="59"/>
    </row>
    <row r="5" spans="1:14" ht="19.5" customHeight="1">
      <c r="A5" s="8">
        <v>43070</v>
      </c>
      <c r="B5" s="68" t="s">
        <v>11</v>
      </c>
      <c r="C5" s="68" t="s">
        <v>12</v>
      </c>
      <c r="D5" s="21">
        <v>213.8</v>
      </c>
      <c r="E5" s="27">
        <v>949</v>
      </c>
      <c r="F5" s="33">
        <v>212.05</v>
      </c>
      <c r="G5" s="33">
        <v>766</v>
      </c>
      <c r="H5" s="33">
        <v>30</v>
      </c>
      <c r="I5" s="34">
        <v>0</v>
      </c>
      <c r="J5" s="34">
        <v>0</v>
      </c>
      <c r="K5" s="33">
        <v>30</v>
      </c>
      <c r="L5" s="51">
        <v>0</v>
      </c>
      <c r="M5" s="23">
        <f>L5+K5+J5+I5</f>
        <v>30</v>
      </c>
      <c r="N5" s="2"/>
    </row>
    <row r="6" spans="1:14" ht="19.5" customHeight="1">
      <c r="A6" s="8">
        <v>43071</v>
      </c>
      <c r="B6" s="69"/>
      <c r="C6" s="69"/>
      <c r="D6" s="21">
        <v>213.8</v>
      </c>
      <c r="E6" s="27">
        <v>949</v>
      </c>
      <c r="F6" s="33">
        <v>212.06</v>
      </c>
      <c r="G6" s="33">
        <v>762</v>
      </c>
      <c r="H6" s="33">
        <v>42</v>
      </c>
      <c r="I6" s="34">
        <v>0</v>
      </c>
      <c r="J6" s="34">
        <v>0</v>
      </c>
      <c r="K6" s="33">
        <v>30</v>
      </c>
      <c r="L6" s="51">
        <v>0</v>
      </c>
      <c r="M6" s="23">
        <f t="shared" ref="M6:M35" si="0">L6+K6+J6+I6</f>
        <v>30</v>
      </c>
      <c r="N6" s="2"/>
    </row>
    <row r="7" spans="1:14" ht="19.5" customHeight="1">
      <c r="A7" s="8">
        <v>43072</v>
      </c>
      <c r="B7" s="69"/>
      <c r="C7" s="69"/>
      <c r="D7" s="21">
        <v>213.8</v>
      </c>
      <c r="E7" s="27">
        <v>949</v>
      </c>
      <c r="F7" s="33">
        <v>212.06</v>
      </c>
      <c r="G7" s="33">
        <v>762</v>
      </c>
      <c r="H7" s="33">
        <v>42</v>
      </c>
      <c r="I7" s="34">
        <v>0</v>
      </c>
      <c r="J7" s="34">
        <v>0</v>
      </c>
      <c r="K7" s="33">
        <v>30</v>
      </c>
      <c r="L7" s="51">
        <v>0</v>
      </c>
      <c r="M7" s="23">
        <f t="shared" si="0"/>
        <v>30</v>
      </c>
      <c r="N7" s="2"/>
    </row>
    <row r="8" spans="1:14" ht="19.5" customHeight="1">
      <c r="A8" s="8">
        <v>43073</v>
      </c>
      <c r="B8" s="69"/>
      <c r="C8" s="69"/>
      <c r="D8" s="21">
        <v>213.8</v>
      </c>
      <c r="E8" s="27">
        <v>949</v>
      </c>
      <c r="F8" s="33">
        <v>212.06</v>
      </c>
      <c r="G8" s="33">
        <v>767</v>
      </c>
      <c r="H8" s="33">
        <v>30</v>
      </c>
      <c r="I8" s="34">
        <v>0</v>
      </c>
      <c r="J8" s="34">
        <v>0</v>
      </c>
      <c r="K8" s="33">
        <v>30</v>
      </c>
      <c r="L8" s="51">
        <v>0</v>
      </c>
      <c r="M8" s="23">
        <f t="shared" si="0"/>
        <v>30</v>
      </c>
      <c r="N8" s="2"/>
    </row>
    <row r="9" spans="1:14" ht="19.5" customHeight="1">
      <c r="A9" s="8">
        <v>43074</v>
      </c>
      <c r="B9" s="69"/>
      <c r="C9" s="69"/>
      <c r="D9" s="21">
        <v>213.8</v>
      </c>
      <c r="E9" s="27">
        <v>949</v>
      </c>
      <c r="F9" s="33">
        <v>212.06</v>
      </c>
      <c r="G9" s="33">
        <v>767</v>
      </c>
      <c r="H9" s="33">
        <v>54</v>
      </c>
      <c r="I9" s="34">
        <v>0</v>
      </c>
      <c r="J9" s="34">
        <v>0</v>
      </c>
      <c r="K9" s="33">
        <v>30</v>
      </c>
      <c r="L9" s="51">
        <v>0</v>
      </c>
      <c r="M9" s="23">
        <f t="shared" si="0"/>
        <v>30</v>
      </c>
      <c r="N9" s="2"/>
    </row>
    <row r="10" spans="1:14" ht="19.5" customHeight="1">
      <c r="A10" s="8">
        <v>43075</v>
      </c>
      <c r="B10" s="69"/>
      <c r="C10" s="69"/>
      <c r="D10" s="21">
        <v>213.8</v>
      </c>
      <c r="E10" s="27">
        <v>949</v>
      </c>
      <c r="F10" s="33">
        <v>212.09</v>
      </c>
      <c r="G10" s="33">
        <v>770</v>
      </c>
      <c r="H10" s="33">
        <v>42</v>
      </c>
      <c r="I10" s="34">
        <v>0</v>
      </c>
      <c r="J10" s="34">
        <v>0</v>
      </c>
      <c r="K10" s="33">
        <v>30</v>
      </c>
      <c r="L10" s="51">
        <v>0</v>
      </c>
      <c r="M10" s="23">
        <f t="shared" si="0"/>
        <v>30</v>
      </c>
      <c r="N10" s="2"/>
    </row>
    <row r="11" spans="1:14" ht="19.5" customHeight="1">
      <c r="A11" s="8">
        <v>43076</v>
      </c>
      <c r="B11" s="69"/>
      <c r="C11" s="69"/>
      <c r="D11" s="21">
        <v>213.8</v>
      </c>
      <c r="E11" s="27">
        <v>949</v>
      </c>
      <c r="F11" s="33">
        <v>212.06</v>
      </c>
      <c r="G11" s="33">
        <v>767</v>
      </c>
      <c r="H11" s="33">
        <v>0</v>
      </c>
      <c r="I11" s="34">
        <v>0</v>
      </c>
      <c r="J11" s="34">
        <v>10</v>
      </c>
      <c r="K11" s="33">
        <v>10</v>
      </c>
      <c r="L11" s="51">
        <v>0</v>
      </c>
      <c r="M11" s="23">
        <f t="shared" si="0"/>
        <v>20</v>
      </c>
      <c r="N11" s="2"/>
    </row>
    <row r="12" spans="1:14" ht="19.5" customHeight="1">
      <c r="A12" s="8">
        <v>43077</v>
      </c>
      <c r="B12" s="69"/>
      <c r="C12" s="69"/>
      <c r="D12" s="21">
        <v>213.8</v>
      </c>
      <c r="E12" s="27">
        <v>949</v>
      </c>
      <c r="F12" s="33">
        <v>212.08</v>
      </c>
      <c r="G12" s="33">
        <v>770</v>
      </c>
      <c r="H12" s="33">
        <v>4</v>
      </c>
      <c r="I12" s="34">
        <v>0</v>
      </c>
      <c r="J12" s="34">
        <v>10</v>
      </c>
      <c r="K12" s="33">
        <v>10</v>
      </c>
      <c r="L12" s="51">
        <v>0</v>
      </c>
      <c r="M12" s="23">
        <f t="shared" si="0"/>
        <v>20</v>
      </c>
      <c r="N12" s="2"/>
    </row>
    <row r="13" spans="1:14" ht="19.5" customHeight="1">
      <c r="A13" s="8">
        <v>43078</v>
      </c>
      <c r="B13" s="69"/>
      <c r="C13" s="69"/>
      <c r="D13" s="21">
        <v>213.8</v>
      </c>
      <c r="E13" s="27">
        <v>949</v>
      </c>
      <c r="F13" s="33">
        <v>212.06</v>
      </c>
      <c r="G13" s="33">
        <v>767</v>
      </c>
      <c r="H13" s="33">
        <v>20</v>
      </c>
      <c r="I13" s="34">
        <v>0</v>
      </c>
      <c r="J13" s="34">
        <v>10</v>
      </c>
      <c r="K13" s="33">
        <v>10</v>
      </c>
      <c r="L13" s="51">
        <v>0</v>
      </c>
      <c r="M13" s="23">
        <f t="shared" si="0"/>
        <v>20</v>
      </c>
      <c r="N13" s="2"/>
    </row>
    <row r="14" spans="1:14" ht="19.5" customHeight="1">
      <c r="A14" s="8">
        <v>43079</v>
      </c>
      <c r="B14" s="69"/>
      <c r="C14" s="69"/>
      <c r="D14" s="21">
        <v>213.8</v>
      </c>
      <c r="E14" s="27">
        <v>949</v>
      </c>
      <c r="F14" s="33">
        <v>212.05</v>
      </c>
      <c r="G14" s="33">
        <v>769</v>
      </c>
      <c r="H14" s="33">
        <v>0</v>
      </c>
      <c r="I14" s="34">
        <v>0</v>
      </c>
      <c r="J14" s="34">
        <v>0</v>
      </c>
      <c r="K14" s="33">
        <v>10</v>
      </c>
      <c r="L14" s="51">
        <v>0</v>
      </c>
      <c r="M14" s="23">
        <f t="shared" si="0"/>
        <v>10</v>
      </c>
      <c r="N14" s="2"/>
    </row>
    <row r="15" spans="1:14" ht="19.5" customHeight="1">
      <c r="A15" s="8">
        <v>43080</v>
      </c>
      <c r="B15" s="69"/>
      <c r="C15" s="69"/>
      <c r="D15" s="21">
        <v>213.8</v>
      </c>
      <c r="E15" s="27">
        <v>949</v>
      </c>
      <c r="F15" s="33">
        <v>212.04</v>
      </c>
      <c r="G15" s="33">
        <v>767</v>
      </c>
      <c r="H15" s="33">
        <v>0</v>
      </c>
      <c r="I15" s="34">
        <v>0</v>
      </c>
      <c r="J15" s="34">
        <v>0</v>
      </c>
      <c r="K15" s="33">
        <v>10</v>
      </c>
      <c r="L15" s="51">
        <v>0</v>
      </c>
      <c r="M15" s="23">
        <f t="shared" si="0"/>
        <v>10</v>
      </c>
      <c r="N15" s="2"/>
    </row>
    <row r="16" spans="1:14" ht="19.5" customHeight="1">
      <c r="A16" s="8">
        <v>43081</v>
      </c>
      <c r="B16" s="69"/>
      <c r="C16" s="69"/>
      <c r="D16" s="21">
        <v>213.8</v>
      </c>
      <c r="E16" s="27">
        <v>949</v>
      </c>
      <c r="F16" s="33">
        <v>212.04</v>
      </c>
      <c r="G16" s="33">
        <v>766</v>
      </c>
      <c r="H16" s="33">
        <v>10</v>
      </c>
      <c r="I16" s="34">
        <v>0</v>
      </c>
      <c r="J16" s="34">
        <v>10</v>
      </c>
      <c r="K16" s="33">
        <v>10</v>
      </c>
      <c r="L16" s="51">
        <v>0</v>
      </c>
      <c r="M16" s="23">
        <f t="shared" si="0"/>
        <v>20</v>
      </c>
      <c r="N16" s="2"/>
    </row>
    <row r="17" spans="1:15" ht="19.5" customHeight="1">
      <c r="A17" s="8">
        <v>43082</v>
      </c>
      <c r="B17" s="69"/>
      <c r="C17" s="69"/>
      <c r="D17" s="21">
        <v>213.8</v>
      </c>
      <c r="E17" s="27">
        <v>949</v>
      </c>
      <c r="F17" s="33">
        <v>212.04</v>
      </c>
      <c r="G17" s="33">
        <v>765</v>
      </c>
      <c r="H17" s="33">
        <v>10</v>
      </c>
      <c r="I17" s="34">
        <v>0</v>
      </c>
      <c r="J17" s="34">
        <v>10</v>
      </c>
      <c r="K17" s="33">
        <v>10</v>
      </c>
      <c r="L17" s="51">
        <v>0</v>
      </c>
      <c r="M17" s="23">
        <f t="shared" si="0"/>
        <v>20</v>
      </c>
      <c r="N17" s="2"/>
    </row>
    <row r="18" spans="1:15" ht="19.5" customHeight="1">
      <c r="A18" s="8">
        <v>43083</v>
      </c>
      <c r="B18" s="69"/>
      <c r="C18" s="69"/>
      <c r="D18" s="21">
        <v>213.8</v>
      </c>
      <c r="E18" s="27">
        <v>949</v>
      </c>
      <c r="F18" s="33">
        <v>212.04</v>
      </c>
      <c r="G18" s="33">
        <v>765</v>
      </c>
      <c r="H18" s="33">
        <v>10</v>
      </c>
      <c r="I18" s="34">
        <v>0</v>
      </c>
      <c r="J18" s="34">
        <v>0</v>
      </c>
      <c r="K18" s="33">
        <v>10</v>
      </c>
      <c r="L18" s="51">
        <v>0</v>
      </c>
      <c r="M18" s="23">
        <f t="shared" si="0"/>
        <v>10</v>
      </c>
      <c r="N18" s="2"/>
    </row>
    <row r="19" spans="1:15" ht="19.5" customHeight="1">
      <c r="A19" s="8">
        <v>43084</v>
      </c>
      <c r="B19" s="69"/>
      <c r="C19" s="69"/>
      <c r="D19" s="21">
        <v>213.8</v>
      </c>
      <c r="E19" s="27">
        <v>949</v>
      </c>
      <c r="F19" s="33">
        <v>212.04</v>
      </c>
      <c r="G19" s="33">
        <v>765</v>
      </c>
      <c r="H19" s="33">
        <v>10</v>
      </c>
      <c r="I19" s="34">
        <v>0</v>
      </c>
      <c r="J19" s="34">
        <v>10</v>
      </c>
      <c r="K19" s="33">
        <v>10</v>
      </c>
      <c r="L19" s="51">
        <v>0</v>
      </c>
      <c r="M19" s="23">
        <f t="shared" si="0"/>
        <v>20</v>
      </c>
      <c r="N19" s="2"/>
    </row>
    <row r="20" spans="1:15" ht="19.5" customHeight="1">
      <c r="A20" s="8">
        <v>43085</v>
      </c>
      <c r="B20" s="69"/>
      <c r="C20" s="69"/>
      <c r="D20" s="21">
        <v>213.8</v>
      </c>
      <c r="E20" s="27">
        <v>949</v>
      </c>
      <c r="F20" s="33">
        <v>212.04</v>
      </c>
      <c r="G20" s="33">
        <v>765</v>
      </c>
      <c r="H20" s="33">
        <v>10</v>
      </c>
      <c r="I20" s="34">
        <v>0</v>
      </c>
      <c r="J20" s="34">
        <v>10</v>
      </c>
      <c r="K20" s="33">
        <v>10</v>
      </c>
      <c r="L20" s="51">
        <v>0</v>
      </c>
      <c r="M20" s="23">
        <f t="shared" si="0"/>
        <v>20</v>
      </c>
      <c r="N20" s="2"/>
    </row>
    <row r="21" spans="1:15" ht="19.5" customHeight="1">
      <c r="A21" s="8">
        <v>43086</v>
      </c>
      <c r="B21" s="69"/>
      <c r="C21" s="69"/>
      <c r="D21" s="21">
        <v>213.8</v>
      </c>
      <c r="E21" s="27">
        <v>949</v>
      </c>
      <c r="F21" s="33">
        <v>212.04</v>
      </c>
      <c r="G21" s="33">
        <v>765</v>
      </c>
      <c r="H21" s="33">
        <v>10</v>
      </c>
      <c r="I21" s="34">
        <v>0</v>
      </c>
      <c r="J21" s="34">
        <v>10</v>
      </c>
      <c r="K21" s="33">
        <v>10</v>
      </c>
      <c r="L21" s="51">
        <v>0</v>
      </c>
      <c r="M21" s="23">
        <f t="shared" si="0"/>
        <v>20</v>
      </c>
      <c r="N21" s="2"/>
    </row>
    <row r="22" spans="1:15" ht="19.5" customHeight="1">
      <c r="A22" s="8">
        <v>43087</v>
      </c>
      <c r="B22" s="69"/>
      <c r="C22" s="69"/>
      <c r="D22" s="21">
        <v>213.8</v>
      </c>
      <c r="E22" s="27">
        <v>949</v>
      </c>
      <c r="F22" s="33">
        <v>212.04</v>
      </c>
      <c r="G22" s="33">
        <v>765</v>
      </c>
      <c r="H22" s="33">
        <v>10</v>
      </c>
      <c r="I22" s="34">
        <v>0</v>
      </c>
      <c r="J22" s="34">
        <v>10</v>
      </c>
      <c r="K22" s="33">
        <v>10</v>
      </c>
      <c r="L22" s="51">
        <v>0</v>
      </c>
      <c r="M22" s="23">
        <f t="shared" si="0"/>
        <v>20</v>
      </c>
      <c r="N22" s="2"/>
    </row>
    <row r="23" spans="1:15" ht="19.5" customHeight="1">
      <c r="A23" s="8">
        <v>43088</v>
      </c>
      <c r="B23" s="69"/>
      <c r="C23" s="69"/>
      <c r="D23" s="21">
        <v>213.8</v>
      </c>
      <c r="E23" s="27">
        <v>949</v>
      </c>
      <c r="F23" s="33">
        <v>212.04</v>
      </c>
      <c r="G23" s="33">
        <v>765</v>
      </c>
      <c r="H23" s="33">
        <v>10</v>
      </c>
      <c r="I23" s="34">
        <v>0</v>
      </c>
      <c r="J23" s="34">
        <v>10</v>
      </c>
      <c r="K23" s="33">
        <v>10</v>
      </c>
      <c r="L23" s="51">
        <v>0</v>
      </c>
      <c r="M23" s="23">
        <f t="shared" si="0"/>
        <v>20</v>
      </c>
      <c r="N23" s="2"/>
    </row>
    <row r="24" spans="1:15" ht="19.5" customHeight="1">
      <c r="A24" s="8">
        <v>43089</v>
      </c>
      <c r="B24" s="69"/>
      <c r="C24" s="69"/>
      <c r="D24" s="21">
        <v>213.8</v>
      </c>
      <c r="E24" s="27">
        <v>949</v>
      </c>
      <c r="F24" s="33">
        <v>212.04</v>
      </c>
      <c r="G24" s="33">
        <v>765</v>
      </c>
      <c r="H24" s="33">
        <v>10</v>
      </c>
      <c r="I24" s="34">
        <v>0</v>
      </c>
      <c r="J24" s="34">
        <v>10</v>
      </c>
      <c r="K24" s="33">
        <v>10</v>
      </c>
      <c r="L24" s="51">
        <v>0</v>
      </c>
      <c r="M24" s="23">
        <f t="shared" si="0"/>
        <v>20</v>
      </c>
      <c r="N24" s="2"/>
    </row>
    <row r="25" spans="1:15" ht="19.5" customHeight="1">
      <c r="A25" s="8">
        <v>43090</v>
      </c>
      <c r="B25" s="69"/>
      <c r="C25" s="69"/>
      <c r="D25" s="21">
        <v>213.8</v>
      </c>
      <c r="E25" s="27">
        <v>949</v>
      </c>
      <c r="F25" s="33">
        <v>212.04</v>
      </c>
      <c r="G25" s="33">
        <v>765</v>
      </c>
      <c r="H25" s="33">
        <v>10</v>
      </c>
      <c r="I25" s="34">
        <v>0</v>
      </c>
      <c r="J25" s="34">
        <v>10</v>
      </c>
      <c r="K25" s="33">
        <v>10</v>
      </c>
      <c r="L25" s="51">
        <v>0</v>
      </c>
      <c r="M25" s="23">
        <f t="shared" si="0"/>
        <v>20</v>
      </c>
      <c r="N25" s="2"/>
    </row>
    <row r="26" spans="1:15" ht="19.5" customHeight="1">
      <c r="A26" s="8">
        <v>43091</v>
      </c>
      <c r="B26" s="69"/>
      <c r="C26" s="69"/>
      <c r="D26" s="21">
        <v>213.8</v>
      </c>
      <c r="E26" s="27">
        <v>949</v>
      </c>
      <c r="F26" s="33">
        <v>212.03</v>
      </c>
      <c r="G26" s="33">
        <v>764</v>
      </c>
      <c r="H26" s="33">
        <v>7</v>
      </c>
      <c r="I26" s="34">
        <v>0</v>
      </c>
      <c r="J26" s="34">
        <v>10</v>
      </c>
      <c r="K26" s="33">
        <v>10</v>
      </c>
      <c r="L26" s="51">
        <v>0</v>
      </c>
      <c r="M26" s="23">
        <f t="shared" si="0"/>
        <v>20</v>
      </c>
      <c r="N26" s="2"/>
      <c r="O26" s="17"/>
    </row>
    <row r="27" spans="1:15" ht="19.5" customHeight="1">
      <c r="A27" s="8">
        <v>43092</v>
      </c>
      <c r="B27" s="69"/>
      <c r="C27" s="69"/>
      <c r="D27" s="21">
        <v>213.8</v>
      </c>
      <c r="E27" s="27">
        <v>949</v>
      </c>
      <c r="F27" s="33">
        <v>212</v>
      </c>
      <c r="G27" s="33">
        <v>761</v>
      </c>
      <c r="H27" s="33">
        <v>0</v>
      </c>
      <c r="I27" s="34">
        <v>0</v>
      </c>
      <c r="J27" s="34">
        <v>10</v>
      </c>
      <c r="K27" s="33">
        <v>10</v>
      </c>
      <c r="L27" s="51">
        <v>0</v>
      </c>
      <c r="M27" s="23">
        <f t="shared" si="0"/>
        <v>20</v>
      </c>
      <c r="N27" s="2"/>
    </row>
    <row r="28" spans="1:15" ht="19.5" customHeight="1">
      <c r="A28" s="8">
        <v>43093</v>
      </c>
      <c r="B28" s="69"/>
      <c r="C28" s="69"/>
      <c r="D28" s="21">
        <v>213.8</v>
      </c>
      <c r="E28" s="27">
        <v>949</v>
      </c>
      <c r="F28" s="33">
        <v>211.95</v>
      </c>
      <c r="G28" s="33">
        <v>756</v>
      </c>
      <c r="H28" s="33">
        <v>0</v>
      </c>
      <c r="I28" s="34">
        <v>0</v>
      </c>
      <c r="J28" s="34">
        <v>0</v>
      </c>
      <c r="K28" s="33">
        <v>10</v>
      </c>
      <c r="L28" s="51">
        <v>0</v>
      </c>
      <c r="M28" s="23">
        <f t="shared" si="0"/>
        <v>10</v>
      </c>
      <c r="N28" s="2"/>
    </row>
    <row r="29" spans="1:15" ht="19.5" customHeight="1">
      <c r="A29" s="8">
        <v>43094</v>
      </c>
      <c r="B29" s="69"/>
      <c r="C29" s="69"/>
      <c r="D29" s="21">
        <v>213.8</v>
      </c>
      <c r="E29" s="27">
        <v>949</v>
      </c>
      <c r="F29" s="33">
        <v>211.95</v>
      </c>
      <c r="G29" s="33">
        <v>755</v>
      </c>
      <c r="H29" s="33">
        <v>0</v>
      </c>
      <c r="I29" s="34">
        <v>0</v>
      </c>
      <c r="J29" s="34">
        <v>0</v>
      </c>
      <c r="K29" s="33">
        <v>10</v>
      </c>
      <c r="L29" s="51">
        <v>0</v>
      </c>
      <c r="M29" s="23">
        <f t="shared" si="0"/>
        <v>10</v>
      </c>
      <c r="N29" s="2"/>
    </row>
    <row r="30" spans="1:15" ht="19.5" customHeight="1">
      <c r="A30" s="8">
        <v>43095</v>
      </c>
      <c r="B30" s="69"/>
      <c r="C30" s="69"/>
      <c r="D30" s="21">
        <v>213.8</v>
      </c>
      <c r="E30" s="27">
        <v>949</v>
      </c>
      <c r="F30" s="33">
        <v>211.9</v>
      </c>
      <c r="G30" s="33">
        <v>750</v>
      </c>
      <c r="H30" s="33">
        <v>0</v>
      </c>
      <c r="I30" s="34">
        <v>0</v>
      </c>
      <c r="J30" s="34">
        <v>0</v>
      </c>
      <c r="K30" s="33">
        <v>10</v>
      </c>
      <c r="L30" s="51">
        <v>0</v>
      </c>
      <c r="M30" s="23">
        <f t="shared" si="0"/>
        <v>10</v>
      </c>
      <c r="N30" s="2"/>
    </row>
    <row r="31" spans="1:15" ht="21" customHeight="1">
      <c r="A31" s="8">
        <v>43096</v>
      </c>
      <c r="B31" s="69"/>
      <c r="C31" s="69"/>
      <c r="D31" s="21">
        <v>213.8</v>
      </c>
      <c r="E31" s="27">
        <v>949</v>
      </c>
      <c r="F31" s="33">
        <v>211.88</v>
      </c>
      <c r="G31" s="33">
        <v>748</v>
      </c>
      <c r="H31" s="33">
        <v>0</v>
      </c>
      <c r="I31" s="34">
        <v>0</v>
      </c>
      <c r="J31" s="34">
        <v>0</v>
      </c>
      <c r="K31" s="33">
        <v>10</v>
      </c>
      <c r="L31" s="51">
        <v>0</v>
      </c>
      <c r="M31" s="23">
        <f t="shared" si="0"/>
        <v>10</v>
      </c>
      <c r="N31" s="2"/>
    </row>
    <row r="32" spans="1:15" ht="21" customHeight="1">
      <c r="A32" s="8">
        <v>43097</v>
      </c>
      <c r="B32" s="69"/>
      <c r="C32" s="69"/>
      <c r="D32" s="21">
        <v>213.8</v>
      </c>
      <c r="E32" s="27">
        <v>949</v>
      </c>
      <c r="F32" s="33">
        <v>211.88</v>
      </c>
      <c r="G32" s="33">
        <v>748</v>
      </c>
      <c r="H32" s="33">
        <v>10</v>
      </c>
      <c r="I32" s="34">
        <v>0</v>
      </c>
      <c r="J32" s="34">
        <v>0</v>
      </c>
      <c r="K32" s="33">
        <v>10</v>
      </c>
      <c r="L32" s="51">
        <v>0</v>
      </c>
      <c r="M32" s="23">
        <f t="shared" si="0"/>
        <v>10</v>
      </c>
      <c r="N32" s="2"/>
    </row>
    <row r="33" spans="1:15" ht="21" customHeight="1">
      <c r="A33" s="8">
        <v>43098</v>
      </c>
      <c r="B33" s="69"/>
      <c r="C33" s="69"/>
      <c r="D33" s="21">
        <v>213.8</v>
      </c>
      <c r="E33" s="27">
        <v>949</v>
      </c>
      <c r="F33" s="33">
        <v>211.88</v>
      </c>
      <c r="G33" s="33">
        <v>748</v>
      </c>
      <c r="H33" s="33">
        <v>10</v>
      </c>
      <c r="I33" s="34">
        <v>0</v>
      </c>
      <c r="J33" s="34">
        <v>0</v>
      </c>
      <c r="K33" s="33">
        <v>10</v>
      </c>
      <c r="L33" s="51">
        <v>0</v>
      </c>
      <c r="M33" s="23">
        <f t="shared" si="0"/>
        <v>10</v>
      </c>
      <c r="N33" s="2"/>
    </row>
    <row r="34" spans="1:15" s="20" customFormat="1" ht="21" customHeight="1">
      <c r="A34" s="8">
        <v>43099</v>
      </c>
      <c r="B34" s="69"/>
      <c r="C34" s="69"/>
      <c r="D34" s="21">
        <v>213.8</v>
      </c>
      <c r="E34" s="27">
        <v>949</v>
      </c>
      <c r="F34" s="33">
        <v>211.88</v>
      </c>
      <c r="G34" s="33">
        <v>748</v>
      </c>
      <c r="H34" s="33">
        <v>0</v>
      </c>
      <c r="I34" s="34">
        <v>0</v>
      </c>
      <c r="J34" s="34">
        <v>0</v>
      </c>
      <c r="K34" s="33">
        <v>10</v>
      </c>
      <c r="L34" s="51">
        <v>0</v>
      </c>
      <c r="M34" s="23">
        <f t="shared" ref="M34" si="1">L34+K34+J34+I34</f>
        <v>10</v>
      </c>
      <c r="N34" s="2"/>
    </row>
    <row r="35" spans="1:15" ht="21" customHeight="1">
      <c r="A35" s="8">
        <v>43100</v>
      </c>
      <c r="B35" s="70"/>
      <c r="C35" s="70"/>
      <c r="D35" s="22">
        <v>213.8</v>
      </c>
      <c r="E35" s="27">
        <v>949</v>
      </c>
      <c r="F35" s="33">
        <v>211.88</v>
      </c>
      <c r="G35" s="33">
        <v>748</v>
      </c>
      <c r="H35" s="33">
        <v>0</v>
      </c>
      <c r="I35" s="34">
        <v>0</v>
      </c>
      <c r="J35" s="34">
        <v>0</v>
      </c>
      <c r="K35" s="33">
        <v>10</v>
      </c>
      <c r="L35" s="51">
        <v>0</v>
      </c>
      <c r="M35" s="23">
        <f t="shared" si="0"/>
        <v>10</v>
      </c>
      <c r="N35" s="2"/>
    </row>
    <row r="36" spans="1:15" ht="21" customHeight="1">
      <c r="A36" s="10"/>
      <c r="B36" s="11"/>
      <c r="C36" s="11"/>
      <c r="D36" s="12"/>
      <c r="E36" s="12"/>
      <c r="F36" s="13"/>
      <c r="G36" s="12"/>
      <c r="H36" s="14">
        <f>SUM(H5:H35)</f>
        <v>391</v>
      </c>
      <c r="I36" s="14">
        <f t="shared" ref="I36:M36" si="2">SUM(I5:I35)</f>
        <v>0</v>
      </c>
      <c r="J36" s="14">
        <f t="shared" si="2"/>
        <v>140</v>
      </c>
      <c r="K36" s="14">
        <f t="shared" si="2"/>
        <v>430</v>
      </c>
      <c r="L36" s="14">
        <f t="shared" si="2"/>
        <v>0</v>
      </c>
      <c r="M36" s="14">
        <f t="shared" si="2"/>
        <v>570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3.3782616208743739E-2</v>
      </c>
      <c r="I37" s="5"/>
      <c r="J37" s="5">
        <f>J36/11574</f>
        <v>1.2096077414895455E-2</v>
      </c>
      <c r="K37" s="5">
        <f>K36/11574</f>
        <v>3.7152237774321757E-2</v>
      </c>
      <c r="L37" s="6"/>
      <c r="M37" s="6"/>
      <c r="N37" s="7"/>
    </row>
    <row r="38" spans="1:15" ht="15.75" customHeight="1">
      <c r="A38" s="71" t="s">
        <v>9</v>
      </c>
      <c r="B38" s="66"/>
      <c r="C38" s="66"/>
      <c r="D38" s="66"/>
      <c r="J38" s="71" t="s">
        <v>10</v>
      </c>
      <c r="K38" s="66"/>
      <c r="L38" s="66"/>
      <c r="M38" s="66"/>
      <c r="N38" s="7"/>
    </row>
    <row r="39" spans="1:15" ht="15.75" customHeight="1">
      <c r="A39" s="72" t="s">
        <v>16</v>
      </c>
      <c r="B39" s="66"/>
      <c r="C39" s="66"/>
      <c r="D39" s="66"/>
      <c r="J39" s="72" t="s">
        <v>16</v>
      </c>
      <c r="K39" s="66"/>
      <c r="L39" s="66"/>
      <c r="M39" s="66"/>
      <c r="N39" s="7"/>
    </row>
    <row r="40" spans="1:15" ht="15.75" customHeight="1">
      <c r="A40" s="65" t="s">
        <v>17</v>
      </c>
      <c r="B40" s="66"/>
      <c r="C40" s="66"/>
      <c r="D40" s="66"/>
      <c r="J40" s="65" t="s">
        <v>17</v>
      </c>
      <c r="K40" s="66"/>
      <c r="L40" s="66"/>
      <c r="M40" s="66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B5:B35"/>
    <mergeCell ref="C5:C35"/>
    <mergeCell ref="M3:M4"/>
    <mergeCell ref="C3:C4"/>
    <mergeCell ref="D3:D4"/>
    <mergeCell ref="F3:F4"/>
    <mergeCell ref="G3:G4"/>
    <mergeCell ref="H3:H4"/>
    <mergeCell ref="A40:D40"/>
    <mergeCell ref="J40:M40"/>
    <mergeCell ref="A38:D38"/>
    <mergeCell ref="J38:M38"/>
    <mergeCell ref="A39:D39"/>
    <mergeCell ref="J39:M39"/>
    <mergeCell ref="A1:N2"/>
    <mergeCell ref="N3:N4"/>
    <mergeCell ref="A3:A4"/>
    <mergeCell ref="B3:B4"/>
    <mergeCell ref="I3:L3"/>
    <mergeCell ref="E3:E4"/>
  </mergeCells>
  <pageMargins left="0.7" right="0.7" top="0.75" bottom="0.75" header="0" footer="0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2017 </vt:lpstr>
      <vt:lpstr>FEBRUARY 2017</vt:lpstr>
      <vt:lpstr>MARCH 2017</vt:lpstr>
      <vt:lpstr>APRIL 2017</vt:lpstr>
      <vt:lpstr>MAY 2017</vt:lpstr>
      <vt:lpstr>JUNE 2017</vt:lpstr>
      <vt:lpstr>JULY 2017 </vt:lpstr>
      <vt:lpstr>AUGUST 2017</vt:lpstr>
      <vt:lpstr>SEPTEMBER 2017</vt:lpstr>
      <vt:lpstr>OCTOBER 2017</vt:lpstr>
      <vt:lpstr>NOVEMBER 2017 </vt:lpstr>
      <vt:lpstr>DECEMBER 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2024-02-02T06:09:12Z</cp:lastPrinted>
  <dcterms:created xsi:type="dcterms:W3CDTF">2022-06-06T06:49:54Z</dcterms:created>
  <dcterms:modified xsi:type="dcterms:W3CDTF">2024-05-01T08:33:38Z</dcterms:modified>
</cp:coreProperties>
</file>