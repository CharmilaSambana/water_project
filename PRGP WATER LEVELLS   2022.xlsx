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PRAVEEN\WORK\PEDDAGEDDA RESERVOIR\NEW-PGRP\MONTHLY WATER LEVELS\"/>
    </mc:Choice>
  </mc:AlternateContent>
  <xr:revisionPtr revIDLastSave="0" documentId="13_ncr:1_{707E9D37-3F62-481E-91ED-2718378CB969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JANUARY 2022 " sheetId="12" r:id="rId1"/>
    <sheet name="FEBRUARY 2022" sheetId="11" r:id="rId2"/>
    <sheet name="MARCH 2022" sheetId="10" r:id="rId3"/>
    <sheet name="APRIL 2022" sheetId="9" r:id="rId4"/>
    <sheet name="MAY 2022" sheetId="8" r:id="rId5"/>
    <sheet name="JUNE 2022" sheetId="7" r:id="rId6"/>
    <sheet name="JULY 2022 " sheetId="6" r:id="rId7"/>
    <sheet name="AUGUST 2022" sheetId="5" r:id="rId8"/>
    <sheet name="SEPTEMBER 2022" sheetId="4" r:id="rId9"/>
    <sheet name="OCTOBER 2022" sheetId="3" r:id="rId10"/>
    <sheet name="NOVEMBER 2022 " sheetId="2" r:id="rId11"/>
    <sheet name="DECEMBER 2022" sheetId="1" r:id="rId12"/>
  </sheets>
  <definedNames>
    <definedName name="_xlnm.Print_Area" localSheetId="7">'AUGUST 2022'!$A$1:$N$40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5" l="1"/>
  <c r="Q35" i="5"/>
  <c r="K36" i="5"/>
  <c r="S35" i="7" s="1"/>
  <c r="Q31" i="7"/>
  <c r="Q32" i="7" s="1"/>
  <c r="O31" i="7"/>
  <c r="O33" i="7"/>
  <c r="O32" i="7"/>
  <c r="P35" i="7"/>
  <c r="L35" i="7"/>
  <c r="H38" i="7"/>
  <c r="I38" i="7" l="1"/>
  <c r="J38" i="7"/>
  <c r="K38" i="7"/>
  <c r="K39" i="7" s="1"/>
  <c r="L38" i="7"/>
  <c r="M38" i="7"/>
  <c r="H35" i="7"/>
  <c r="I36" i="5"/>
  <c r="J36" i="5"/>
  <c r="L36" i="5"/>
  <c r="I36" i="6"/>
  <c r="J36" i="6"/>
  <c r="K36" i="6"/>
  <c r="L36" i="6"/>
  <c r="I35" i="7"/>
  <c r="J35" i="7"/>
  <c r="K35" i="7"/>
  <c r="I36" i="8"/>
  <c r="J36" i="8"/>
  <c r="K36" i="8"/>
  <c r="L36" i="8"/>
  <c r="I36" i="10"/>
  <c r="I37" i="10" s="1"/>
  <c r="J36" i="10"/>
  <c r="J37" i="10" s="1"/>
  <c r="K36" i="10"/>
  <c r="K37" i="10" s="1"/>
  <c r="L36" i="10"/>
  <c r="L37" i="10" s="1"/>
  <c r="I33" i="11"/>
  <c r="J33" i="11"/>
  <c r="K33" i="11"/>
  <c r="L33" i="11"/>
  <c r="I36" i="12"/>
  <c r="J36" i="12"/>
  <c r="K36" i="12"/>
  <c r="L36" i="12"/>
  <c r="M35" i="12"/>
  <c r="M32" i="12"/>
  <c r="M31" i="12"/>
  <c r="M24" i="12"/>
  <c r="M25" i="12"/>
  <c r="M26" i="12"/>
  <c r="I36" i="1"/>
  <c r="J36" i="1"/>
  <c r="K36" i="1"/>
  <c r="L36" i="1"/>
  <c r="I35" i="2"/>
  <c r="J35" i="2"/>
  <c r="K35" i="2"/>
  <c r="L35" i="2"/>
  <c r="I35" i="9" l="1"/>
  <c r="J35" i="9"/>
  <c r="J36" i="9" s="1"/>
  <c r="K35" i="9"/>
  <c r="L35" i="9"/>
  <c r="J37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I36" i="3"/>
  <c r="J36" i="3"/>
  <c r="J37" i="3" s="1"/>
  <c r="K36" i="3"/>
  <c r="K37" i="3" s="1"/>
  <c r="L36" i="3"/>
  <c r="I35" i="4"/>
  <c r="Q35" i="7" s="1"/>
  <c r="J35" i="4"/>
  <c r="J36" i="4" s="1"/>
  <c r="K35" i="4"/>
  <c r="K36" i="4" s="1"/>
  <c r="L35" i="4"/>
  <c r="T35" i="7" s="1"/>
  <c r="K37" i="5"/>
  <c r="J37" i="8"/>
  <c r="K37" i="8"/>
  <c r="K37" i="12"/>
  <c r="J37" i="12"/>
  <c r="H36" i="12"/>
  <c r="H37" i="12" s="1"/>
  <c r="M34" i="12"/>
  <c r="M33" i="12"/>
  <c r="M30" i="12"/>
  <c r="M29" i="12"/>
  <c r="M28" i="12"/>
  <c r="M27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J34" i="11"/>
  <c r="K34" i="11"/>
  <c r="H33" i="11"/>
  <c r="H34" i="11" s="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H36" i="10"/>
  <c r="H37" i="10" s="1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K36" i="9"/>
  <c r="H35" i="9"/>
  <c r="H36" i="9" s="1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H36" i="8"/>
  <c r="H37" i="8" s="1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H36" i="7"/>
  <c r="K36" i="7"/>
  <c r="J36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K37" i="6"/>
  <c r="H36" i="6"/>
  <c r="H37" i="6" s="1"/>
  <c r="J37" i="5"/>
  <c r="H36" i="5"/>
  <c r="H37" i="5" s="1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H35" i="4"/>
  <c r="H36" i="4" s="1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H36" i="3"/>
  <c r="H37" i="3" s="1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36" i="3" s="1"/>
  <c r="M5" i="3"/>
  <c r="K36" i="2"/>
  <c r="J36" i="2"/>
  <c r="H35" i="2"/>
  <c r="H36" i="2" s="1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6" i="1"/>
  <c r="H37" i="1" s="1"/>
  <c r="J37" i="1"/>
  <c r="K37" i="1"/>
  <c r="M35" i="7" l="1"/>
  <c r="M35" i="9"/>
  <c r="R35" i="7"/>
  <c r="M35" i="4"/>
  <c r="M36" i="5"/>
  <c r="M36" i="8"/>
  <c r="M36" i="10"/>
  <c r="M37" i="10" s="1"/>
  <c r="M33" i="11"/>
  <c r="M36" i="12"/>
  <c r="M36" i="6"/>
  <c r="M35" i="2"/>
  <c r="M3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5" i="1"/>
  <c r="M5" i="1"/>
  <c r="M36" i="1" l="1"/>
  <c r="U35" i="7" s="1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<sst xmlns="http://schemas.openxmlformats.org/spreadsheetml/2006/main" count="288" uniqueCount="33">
  <si>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</si>
  <si>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</si>
  <si>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</si>
  <si>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</si>
  <si>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</si>
  <si>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</si>
  <si>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</si>
  <si>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</si>
  <si>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</si>
  <si>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</si>
  <si>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</si>
  <si>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</si>
  <si>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</si>
  <si>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</si>
  <si>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</si>
  <si>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</si>
  <si>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</si>
  <si>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</si>
  <si>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</si>
  <si>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</si>
  <si>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Gross Capacity in Mcft</t>
  </si>
  <si>
    <t>RIVER DISCHARGE PARTICULARS OF PEDDAGEDDA RESERVOIR PROJECT FOR THE MONTH OF JANUARY, 2022</t>
  </si>
  <si>
    <t>RIVER DISCHARGE PARTICULARS OF PEDDAGEDDA RESERVOIR PROJECT FOR THE MONTH OF FEBRUARY , 2022</t>
  </si>
  <si>
    <t>RIVER DISCHARGE PARTICULARS OF PEDDAGEDDA RESERVOIR PROJECT FOR THE MONTH OF MARCH, 2022</t>
  </si>
  <si>
    <t>RIVER DISCHARGE PARTICULARS OF PEDDAGEDDA RESERVOIR PROJECT FOR THE MONTH OF APRIL , 2022</t>
  </si>
  <si>
    <t>RIVER DISCHARGE PARTICULARS OF PEDDAGEDDA RESERVOIR PROJECT FOR THE MONTH OF MAY, 2022</t>
  </si>
  <si>
    <t>RIVER DISCHARGE PARTICULARS OF PEDDAGEDDA RESERVOIR PROJECT FOR THE MONTH OF JUNE, 2022</t>
  </si>
  <si>
    <t>RIVER DISCHARGE PARTICULARS OF PEDDAGEDDA RESERVOIR PROJECT FOR THE MONTH OF JULY, 2022</t>
  </si>
  <si>
    <t>RIVER DISCHARGE PARTICULARS OF PEDDAGEDDA RESERVOIR PROJECT FOR THE MONTH OF  AUGUST , 2022</t>
  </si>
  <si>
    <t>RIVER DISCHARGE PARTICULARS OF PEDDAGEDDA RESERVOIR PROJECT FOR THE MONTH OF SEPTEMBER, 2022</t>
  </si>
  <si>
    <t>RIVER DISCHARGE PARTICULARS OF PEDDAGEDDA RESERVOIR PROJECT FOR THE MONTH OF OCTOBER, 2022</t>
  </si>
  <si>
    <t>RIVER DISCHARGE PARTICULARS OF PEDDAGEDDA RESERVOIR PROJECT FOR THE MONTH OF NOVEMBER, 2022</t>
  </si>
  <si>
    <t>RIVER DISCHARGE PARTICULARS OF PEDDAGEDDA RESERVOIR PROJECT FOR THE MONTH OF DECEMBER,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</si>
</sst>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d/mm/yyyy;@"/>
  </numFmts>
  <fonts count="9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8" xfId="0" quotePrefix="1" applyNumberFormat="1" applyFont="1" applyBorder="1" applyAlignment="1">
      <alignment horizontal="center" vertical="center" wrapText="1"/>
    </xf>
    <xf numFmtId="164" fontId="6" fillId="0" borderId="19" xfId="0" quotePrefix="1" applyNumberFormat="1" applyFon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top" shrinkToFit="1"/>
    </xf>
    <xf numFmtId="164" fontId="6" fillId="0" borderId="11" xfId="0" applyNumberFormat="1" applyFont="1" applyBorder="1" applyAlignment="1">
      <alignment horizontal="center" vertical="top" shrinkToFit="1"/>
    </xf>
    <xf numFmtId="1" fontId="6" fillId="0" borderId="11" xfId="0" applyNumberFormat="1" applyFont="1" applyBorder="1" applyAlignment="1">
      <alignment horizontal="center" vertical="top" shrinkToFit="1"/>
    </xf>
    <xf numFmtId="165" fontId="6" fillId="0" borderId="11" xfId="0" applyNumberFormat="1" applyFont="1" applyBorder="1" applyAlignment="1">
      <alignment horizontal="center" vertical="top" shrinkToFit="1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02"/>
  <sheetViews>
    <sheetView view="pageBreakPreview" topLeftCell="A25" zoomScale="60" workbookViewId="0">
      <selection activeCell="H36" sqref="H36:M36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7.886718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44562</v>
      </c>
      <c r="B5" s="54" t="s">
        <v>11</v>
      </c>
      <c r="C5" s="54" t="s">
        <v>12</v>
      </c>
      <c r="D5" s="21">
        <v>213.8</v>
      </c>
      <c r="E5" s="26">
        <v>949</v>
      </c>
      <c r="F5" s="24">
        <v>213.46</v>
      </c>
      <c r="G5" s="11">
        <v>913.245</v>
      </c>
      <c r="H5" s="9">
        <v>20</v>
      </c>
      <c r="I5" s="23">
        <v>0</v>
      </c>
      <c r="J5" s="1">
        <v>70</v>
      </c>
      <c r="K5" s="1">
        <v>0</v>
      </c>
      <c r="L5" s="23">
        <v>0</v>
      </c>
      <c r="M5" s="23">
        <f>L5+K5+J5+I5</f>
        <v>70</v>
      </c>
      <c r="N5" s="2"/>
    </row>
    <row r="6" spans="1:14" ht="19.5" customHeight="1" x14ac:dyDescent="0.3">
      <c r="A6" s="8">
        <v>44563</v>
      </c>
      <c r="B6" s="55"/>
      <c r="C6" s="55"/>
      <c r="D6" s="21">
        <v>213.8</v>
      </c>
      <c r="E6" s="26">
        <v>949</v>
      </c>
      <c r="F6" s="24">
        <v>213.43</v>
      </c>
      <c r="G6" s="11">
        <v>910.42</v>
      </c>
      <c r="H6" s="9">
        <v>37</v>
      </c>
      <c r="I6" s="23">
        <v>0</v>
      </c>
      <c r="J6" s="1">
        <v>70</v>
      </c>
      <c r="K6" s="1">
        <v>0</v>
      </c>
      <c r="L6" s="23">
        <v>0</v>
      </c>
      <c r="M6" s="23">
        <f t="shared" ref="M6:M34" si="0">L6+K6+J6+I6</f>
        <v>70</v>
      </c>
      <c r="N6" s="2"/>
    </row>
    <row r="7" spans="1:14" ht="19.5" customHeight="1" x14ac:dyDescent="0.3">
      <c r="A7" s="8">
        <v>44564</v>
      </c>
      <c r="B7" s="55"/>
      <c r="C7" s="55"/>
      <c r="D7" s="21">
        <v>213.8</v>
      </c>
      <c r="E7" s="26">
        <v>949</v>
      </c>
      <c r="F7" s="24">
        <v>213.4</v>
      </c>
      <c r="G7" s="11">
        <v>907.24199999999996</v>
      </c>
      <c r="H7" s="9">
        <v>33</v>
      </c>
      <c r="I7" s="23">
        <v>0</v>
      </c>
      <c r="J7" s="1">
        <v>70</v>
      </c>
      <c r="K7" s="1">
        <v>0</v>
      </c>
      <c r="L7" s="23">
        <v>0</v>
      </c>
      <c r="M7" s="23">
        <f t="shared" si="0"/>
        <v>70</v>
      </c>
      <c r="N7" s="2"/>
    </row>
    <row r="8" spans="1:14" ht="19.5" customHeight="1" x14ac:dyDescent="0.3">
      <c r="A8" s="8">
        <v>44565</v>
      </c>
      <c r="B8" s="55"/>
      <c r="C8" s="55"/>
      <c r="D8" s="21">
        <v>213.8</v>
      </c>
      <c r="E8" s="26">
        <v>949</v>
      </c>
      <c r="F8" s="24">
        <v>213.36</v>
      </c>
      <c r="G8" s="11">
        <v>903.35699999999997</v>
      </c>
      <c r="H8" s="9">
        <v>25</v>
      </c>
      <c r="I8" s="23">
        <v>0</v>
      </c>
      <c r="J8" s="1">
        <v>70</v>
      </c>
      <c r="K8" s="1">
        <v>0</v>
      </c>
      <c r="L8" s="23">
        <v>0</v>
      </c>
      <c r="M8" s="23">
        <f t="shared" si="0"/>
        <v>70</v>
      </c>
      <c r="N8" s="2"/>
    </row>
    <row r="9" spans="1:14" ht="19.5" customHeight="1" x14ac:dyDescent="0.3">
      <c r="A9" s="8">
        <v>44566</v>
      </c>
      <c r="B9" s="55"/>
      <c r="C9" s="55"/>
      <c r="D9" s="21">
        <v>213.8</v>
      </c>
      <c r="E9" s="26">
        <v>949</v>
      </c>
      <c r="F9" s="24">
        <v>213.33</v>
      </c>
      <c r="G9" s="11">
        <v>900.17899999999997</v>
      </c>
      <c r="H9" s="9">
        <v>33</v>
      </c>
      <c r="I9" s="23">
        <v>0</v>
      </c>
      <c r="J9" s="1">
        <v>70</v>
      </c>
      <c r="K9" s="1">
        <v>0</v>
      </c>
      <c r="L9" s="23">
        <v>0</v>
      </c>
      <c r="M9" s="23">
        <f t="shared" si="0"/>
        <v>70</v>
      </c>
      <c r="N9" s="2"/>
    </row>
    <row r="10" spans="1:14" ht="19.5" customHeight="1" x14ac:dyDescent="0.3">
      <c r="A10" s="8">
        <v>44567</v>
      </c>
      <c r="B10" s="55"/>
      <c r="C10" s="55"/>
      <c r="D10" s="21">
        <v>213.8</v>
      </c>
      <c r="E10" s="26">
        <v>949</v>
      </c>
      <c r="F10" s="24">
        <v>213.3</v>
      </c>
      <c r="G10" s="11">
        <v>897.00099999999998</v>
      </c>
      <c r="H10" s="9">
        <v>33</v>
      </c>
      <c r="I10" s="23">
        <v>0</v>
      </c>
      <c r="J10" s="1">
        <v>70</v>
      </c>
      <c r="K10" s="1">
        <v>0</v>
      </c>
      <c r="L10" s="23">
        <v>0</v>
      </c>
      <c r="M10" s="23">
        <f t="shared" si="0"/>
        <v>70</v>
      </c>
      <c r="N10" s="2"/>
    </row>
    <row r="11" spans="1:14" ht="19.5" customHeight="1" x14ac:dyDescent="0.3">
      <c r="A11" s="8">
        <v>44568</v>
      </c>
      <c r="B11" s="55"/>
      <c r="C11" s="55"/>
      <c r="D11" s="21">
        <v>213.8</v>
      </c>
      <c r="E11" s="26">
        <v>949</v>
      </c>
      <c r="F11" s="24">
        <v>213.28</v>
      </c>
      <c r="G11" s="11">
        <v>894.88199999999995</v>
      </c>
      <c r="H11" s="9">
        <v>16</v>
      </c>
      <c r="I11" s="23">
        <v>0</v>
      </c>
      <c r="J11" s="1">
        <v>40</v>
      </c>
      <c r="K11" s="1">
        <v>0</v>
      </c>
      <c r="L11" s="23">
        <v>0</v>
      </c>
      <c r="M11" s="23">
        <f t="shared" si="0"/>
        <v>40</v>
      </c>
      <c r="N11" s="2"/>
    </row>
    <row r="12" spans="1:14" ht="19.5" customHeight="1" x14ac:dyDescent="0.3">
      <c r="A12" s="8">
        <v>44569</v>
      </c>
      <c r="B12" s="55"/>
      <c r="C12" s="55"/>
      <c r="D12" s="21">
        <v>213.8</v>
      </c>
      <c r="E12" s="26">
        <v>949</v>
      </c>
      <c r="F12" s="24">
        <v>213.26</v>
      </c>
      <c r="G12" s="11">
        <v>892.76300000000003</v>
      </c>
      <c r="H12" s="9">
        <v>6</v>
      </c>
      <c r="I12" s="23">
        <v>0</v>
      </c>
      <c r="J12" s="1">
        <v>30</v>
      </c>
      <c r="K12" s="1">
        <v>0</v>
      </c>
      <c r="L12" s="23">
        <v>0</v>
      </c>
      <c r="M12" s="23">
        <f t="shared" si="0"/>
        <v>30</v>
      </c>
      <c r="N12" s="2"/>
    </row>
    <row r="13" spans="1:14" ht="19.5" customHeight="1" x14ac:dyDescent="0.3">
      <c r="A13" s="8">
        <v>44570</v>
      </c>
      <c r="B13" s="55"/>
      <c r="C13" s="55"/>
      <c r="D13" s="21">
        <v>213.8</v>
      </c>
      <c r="E13" s="26">
        <v>949</v>
      </c>
      <c r="F13" s="25">
        <v>213.26</v>
      </c>
      <c r="G13" s="24">
        <v>892.76300000000003</v>
      </c>
      <c r="H13" s="9">
        <v>10</v>
      </c>
      <c r="I13" s="23">
        <v>0</v>
      </c>
      <c r="J13" s="1">
        <v>0</v>
      </c>
      <c r="K13" s="1">
        <v>0</v>
      </c>
      <c r="L13" s="23">
        <v>10</v>
      </c>
      <c r="M13" s="23">
        <f t="shared" si="0"/>
        <v>10</v>
      </c>
      <c r="N13" s="2"/>
    </row>
    <row r="14" spans="1:14" ht="19.5" customHeight="1" x14ac:dyDescent="0.3">
      <c r="A14" s="8">
        <v>44571</v>
      </c>
      <c r="B14" s="55"/>
      <c r="C14" s="55"/>
      <c r="D14" s="21">
        <v>213.8</v>
      </c>
      <c r="E14" s="26">
        <v>949</v>
      </c>
      <c r="F14" s="24">
        <v>213.25</v>
      </c>
      <c r="G14" s="11">
        <v>892.76300000000003</v>
      </c>
      <c r="H14" s="9">
        <v>10</v>
      </c>
      <c r="I14" s="23">
        <v>0</v>
      </c>
      <c r="J14" s="1">
        <v>0</v>
      </c>
      <c r="K14" s="1">
        <v>0</v>
      </c>
      <c r="L14" s="23">
        <v>10</v>
      </c>
      <c r="M14" s="23">
        <f t="shared" si="0"/>
        <v>10</v>
      </c>
      <c r="N14" s="2"/>
    </row>
    <row r="15" spans="1:14" ht="19.5" customHeight="1" x14ac:dyDescent="0.3">
      <c r="A15" s="8">
        <v>44572</v>
      </c>
      <c r="B15" s="55"/>
      <c r="C15" s="55"/>
      <c r="D15" s="21">
        <v>213.8</v>
      </c>
      <c r="E15" s="26">
        <v>949</v>
      </c>
      <c r="F15" s="24">
        <v>213.25</v>
      </c>
      <c r="G15" s="11">
        <v>892.76300000000003</v>
      </c>
      <c r="H15" s="9">
        <v>10</v>
      </c>
      <c r="I15" s="23">
        <v>0</v>
      </c>
      <c r="J15" s="1">
        <v>0</v>
      </c>
      <c r="K15" s="1">
        <v>0</v>
      </c>
      <c r="L15" s="23">
        <v>10</v>
      </c>
      <c r="M15" s="23">
        <f t="shared" si="0"/>
        <v>10</v>
      </c>
      <c r="N15" s="2"/>
    </row>
    <row r="16" spans="1:14" ht="19.5" customHeight="1" x14ac:dyDescent="0.3">
      <c r="A16" s="8">
        <v>44573</v>
      </c>
      <c r="B16" s="55"/>
      <c r="C16" s="55"/>
      <c r="D16" s="21">
        <v>213.8</v>
      </c>
      <c r="E16" s="26">
        <v>949</v>
      </c>
      <c r="F16" s="24">
        <v>213.25</v>
      </c>
      <c r="G16" s="11">
        <v>892.76300000000003</v>
      </c>
      <c r="H16" s="9">
        <v>10</v>
      </c>
      <c r="I16" s="23">
        <v>0</v>
      </c>
      <c r="J16" s="1">
        <v>0</v>
      </c>
      <c r="K16" s="1">
        <v>0</v>
      </c>
      <c r="L16" s="23">
        <v>10</v>
      </c>
      <c r="M16" s="23">
        <f t="shared" si="0"/>
        <v>10</v>
      </c>
      <c r="N16" s="2"/>
    </row>
    <row r="17" spans="1:15" ht="19.5" customHeight="1" x14ac:dyDescent="0.3">
      <c r="A17" s="8">
        <v>44574</v>
      </c>
      <c r="B17" s="55"/>
      <c r="C17" s="55"/>
      <c r="D17" s="21">
        <v>213.8</v>
      </c>
      <c r="E17" s="26">
        <v>949</v>
      </c>
      <c r="F17" s="24">
        <v>213.28</v>
      </c>
      <c r="G17" s="11">
        <v>894.88199999999995</v>
      </c>
      <c r="H17" s="9">
        <v>35</v>
      </c>
      <c r="I17" s="23">
        <v>0</v>
      </c>
      <c r="J17" s="1">
        <v>0</v>
      </c>
      <c r="K17" s="1">
        <v>0</v>
      </c>
      <c r="L17" s="23">
        <v>10</v>
      </c>
      <c r="M17" s="23">
        <f t="shared" si="0"/>
        <v>10</v>
      </c>
      <c r="N17" s="2"/>
    </row>
    <row r="18" spans="1:15" ht="19.5" customHeight="1" x14ac:dyDescent="0.3">
      <c r="A18" s="8">
        <v>44575</v>
      </c>
      <c r="B18" s="55"/>
      <c r="C18" s="55"/>
      <c r="D18" s="21">
        <v>213.8</v>
      </c>
      <c r="E18" s="26">
        <v>949</v>
      </c>
      <c r="F18" s="24">
        <v>213.3</v>
      </c>
      <c r="G18" s="11">
        <v>897.00099999999998</v>
      </c>
      <c r="H18" s="9">
        <v>35</v>
      </c>
      <c r="I18" s="23">
        <v>0</v>
      </c>
      <c r="J18" s="1">
        <v>0</v>
      </c>
      <c r="K18" s="1">
        <v>0</v>
      </c>
      <c r="L18" s="23">
        <v>10</v>
      </c>
      <c r="M18" s="23">
        <f t="shared" si="0"/>
        <v>10</v>
      </c>
      <c r="N18" s="2"/>
    </row>
    <row r="19" spans="1:15" ht="19.5" customHeight="1" x14ac:dyDescent="0.3">
      <c r="A19" s="8">
        <v>44576</v>
      </c>
      <c r="B19" s="55"/>
      <c r="C19" s="55"/>
      <c r="D19" s="21">
        <v>213.8</v>
      </c>
      <c r="E19" s="26">
        <v>949</v>
      </c>
      <c r="F19" s="24">
        <v>213.33</v>
      </c>
      <c r="G19" s="11">
        <v>900.17899999999997</v>
      </c>
      <c r="H19" s="9">
        <v>47</v>
      </c>
      <c r="I19" s="23">
        <v>0</v>
      </c>
      <c r="J19" s="1">
        <v>0</v>
      </c>
      <c r="K19" s="1">
        <v>0</v>
      </c>
      <c r="L19" s="23">
        <v>10</v>
      </c>
      <c r="M19" s="23">
        <f t="shared" si="0"/>
        <v>10</v>
      </c>
      <c r="N19" s="2"/>
    </row>
    <row r="20" spans="1:15" ht="19.5" customHeight="1" x14ac:dyDescent="0.3">
      <c r="A20" s="8">
        <v>44577</v>
      </c>
      <c r="B20" s="55"/>
      <c r="C20" s="55"/>
      <c r="D20" s="21">
        <v>213.8</v>
      </c>
      <c r="E20" s="26">
        <v>949</v>
      </c>
      <c r="F20" s="24">
        <v>213.35</v>
      </c>
      <c r="G20" s="11">
        <v>902.298</v>
      </c>
      <c r="H20" s="9">
        <v>35</v>
      </c>
      <c r="I20" s="23">
        <v>0</v>
      </c>
      <c r="J20" s="1">
        <v>0</v>
      </c>
      <c r="K20" s="1">
        <v>0</v>
      </c>
      <c r="L20" s="23">
        <v>10</v>
      </c>
      <c r="M20" s="23">
        <f t="shared" si="0"/>
        <v>10</v>
      </c>
      <c r="N20" s="2"/>
    </row>
    <row r="21" spans="1:15" ht="19.5" customHeight="1" x14ac:dyDescent="0.3">
      <c r="A21" s="8">
        <v>44578</v>
      </c>
      <c r="B21" s="55"/>
      <c r="C21" s="55"/>
      <c r="D21" s="21">
        <v>213.8</v>
      </c>
      <c r="E21" s="26">
        <v>949</v>
      </c>
      <c r="F21" s="24">
        <v>213.35</v>
      </c>
      <c r="G21" s="11">
        <v>902.298</v>
      </c>
      <c r="H21" s="9">
        <v>10</v>
      </c>
      <c r="I21" s="23">
        <v>0</v>
      </c>
      <c r="J21" s="1">
        <v>0</v>
      </c>
      <c r="K21" s="1">
        <v>0</v>
      </c>
      <c r="L21" s="23">
        <v>10</v>
      </c>
      <c r="M21" s="23">
        <f t="shared" si="0"/>
        <v>10</v>
      </c>
      <c r="N21" s="2"/>
    </row>
    <row r="22" spans="1:15" ht="19.5" customHeight="1" x14ac:dyDescent="0.3">
      <c r="A22" s="8">
        <v>44579</v>
      </c>
      <c r="B22" s="55"/>
      <c r="C22" s="55"/>
      <c r="D22" s="21">
        <v>213.8</v>
      </c>
      <c r="E22" s="26">
        <v>949</v>
      </c>
      <c r="F22" s="24">
        <v>213.35</v>
      </c>
      <c r="G22" s="11">
        <v>902.298</v>
      </c>
      <c r="H22" s="9">
        <v>10</v>
      </c>
      <c r="I22" s="23">
        <v>0</v>
      </c>
      <c r="J22" s="1">
        <v>0</v>
      </c>
      <c r="K22" s="1">
        <v>0</v>
      </c>
      <c r="L22" s="23">
        <v>10</v>
      </c>
      <c r="M22" s="23">
        <f t="shared" si="0"/>
        <v>10</v>
      </c>
      <c r="N22" s="2"/>
    </row>
    <row r="23" spans="1:15" ht="19.5" customHeight="1" x14ac:dyDescent="0.3">
      <c r="A23" s="8">
        <v>44580</v>
      </c>
      <c r="B23" s="55"/>
      <c r="C23" s="55"/>
      <c r="D23" s="21">
        <v>213.8</v>
      </c>
      <c r="E23" s="26">
        <v>949</v>
      </c>
      <c r="F23" s="24">
        <v>213.35</v>
      </c>
      <c r="G23" s="11">
        <v>902.298</v>
      </c>
      <c r="H23" s="9">
        <v>10</v>
      </c>
      <c r="I23" s="23">
        <v>0</v>
      </c>
      <c r="J23" s="1">
        <v>0</v>
      </c>
      <c r="K23" s="1">
        <v>0</v>
      </c>
      <c r="L23" s="23">
        <v>10</v>
      </c>
      <c r="M23" s="23">
        <f t="shared" si="0"/>
        <v>10</v>
      </c>
      <c r="N23" s="2"/>
    </row>
    <row r="24" spans="1:15" ht="19.5" customHeight="1" x14ac:dyDescent="0.3">
      <c r="A24" s="8">
        <v>44581</v>
      </c>
      <c r="B24" s="55"/>
      <c r="C24" s="55"/>
      <c r="D24" s="21">
        <v>213.8</v>
      </c>
      <c r="E24" s="26">
        <v>949</v>
      </c>
      <c r="F24" s="24">
        <v>213.35</v>
      </c>
      <c r="G24" s="11">
        <v>902.298</v>
      </c>
      <c r="H24" s="9">
        <v>10</v>
      </c>
      <c r="I24" s="23">
        <v>0</v>
      </c>
      <c r="J24" s="1">
        <v>0</v>
      </c>
      <c r="K24" s="1">
        <v>0</v>
      </c>
      <c r="L24" s="23">
        <v>10</v>
      </c>
      <c r="M24" s="23">
        <f t="shared" ref="M24:M26" si="1">L24+K24+J24+I24</f>
        <v>10</v>
      </c>
      <c r="N24" s="2"/>
    </row>
    <row r="25" spans="1:15" ht="19.5" customHeight="1" x14ac:dyDescent="0.3">
      <c r="A25" s="8">
        <v>44582</v>
      </c>
      <c r="B25" s="55"/>
      <c r="C25" s="55"/>
      <c r="D25" s="21">
        <v>213.8</v>
      </c>
      <c r="E25" s="26">
        <v>949</v>
      </c>
      <c r="F25" s="24">
        <v>213.35</v>
      </c>
      <c r="G25" s="11">
        <v>902.298</v>
      </c>
      <c r="H25" s="9">
        <v>10</v>
      </c>
      <c r="I25" s="23">
        <v>0</v>
      </c>
      <c r="J25" s="1">
        <v>0</v>
      </c>
      <c r="K25" s="1">
        <v>0</v>
      </c>
      <c r="L25" s="23">
        <v>10</v>
      </c>
      <c r="M25" s="23">
        <f t="shared" si="1"/>
        <v>10</v>
      </c>
      <c r="N25" s="2"/>
    </row>
    <row r="26" spans="1:15" ht="19.5" customHeight="1" x14ac:dyDescent="0.3">
      <c r="A26" s="8">
        <v>44583</v>
      </c>
      <c r="B26" s="55"/>
      <c r="C26" s="55"/>
      <c r="D26" s="21">
        <v>213.8</v>
      </c>
      <c r="E26" s="26">
        <v>949</v>
      </c>
      <c r="F26" s="24">
        <v>213.35</v>
      </c>
      <c r="G26" s="11">
        <v>902.298</v>
      </c>
      <c r="H26" s="9">
        <v>10</v>
      </c>
      <c r="I26" s="23">
        <v>0</v>
      </c>
      <c r="J26" s="1">
        <v>0</v>
      </c>
      <c r="K26" s="1">
        <v>0</v>
      </c>
      <c r="L26" s="23">
        <v>10</v>
      </c>
      <c r="M26" s="23">
        <f t="shared" si="1"/>
        <v>10</v>
      </c>
      <c r="N26" s="2"/>
      <c r="O26" s="18"/>
    </row>
    <row r="27" spans="1:15" ht="19.5" customHeight="1" x14ac:dyDescent="0.3">
      <c r="A27" s="8">
        <v>44584</v>
      </c>
      <c r="B27" s="55"/>
      <c r="C27" s="55"/>
      <c r="D27" s="21">
        <v>213.8</v>
      </c>
      <c r="E27" s="26">
        <v>949</v>
      </c>
      <c r="F27" s="24">
        <v>213.34</v>
      </c>
      <c r="G27" s="11">
        <v>901.23800000000006</v>
      </c>
      <c r="H27" s="9">
        <v>3</v>
      </c>
      <c r="I27" s="23">
        <v>0</v>
      </c>
      <c r="J27" s="1">
        <v>0</v>
      </c>
      <c r="K27" s="1">
        <v>0</v>
      </c>
      <c r="L27" s="23">
        <v>15</v>
      </c>
      <c r="M27" s="23">
        <f t="shared" si="0"/>
        <v>15</v>
      </c>
      <c r="N27" s="2"/>
    </row>
    <row r="28" spans="1:15" ht="19.5" customHeight="1" x14ac:dyDescent="0.3">
      <c r="A28" s="8">
        <v>44585</v>
      </c>
      <c r="B28" s="55"/>
      <c r="C28" s="55"/>
      <c r="D28" s="21">
        <v>213.8</v>
      </c>
      <c r="E28" s="26">
        <v>949</v>
      </c>
      <c r="F28" s="24">
        <v>213.33</v>
      </c>
      <c r="G28" s="11">
        <v>900.17899999999997</v>
      </c>
      <c r="H28" s="9">
        <v>3</v>
      </c>
      <c r="I28" s="23">
        <v>0</v>
      </c>
      <c r="J28" s="1">
        <v>0</v>
      </c>
      <c r="K28" s="1">
        <v>0</v>
      </c>
      <c r="L28" s="23">
        <v>15</v>
      </c>
      <c r="M28" s="23">
        <f t="shared" si="0"/>
        <v>15</v>
      </c>
      <c r="N28" s="2"/>
    </row>
    <row r="29" spans="1:15" ht="19.5" customHeight="1" x14ac:dyDescent="0.3">
      <c r="A29" s="8">
        <v>44586</v>
      </c>
      <c r="B29" s="55"/>
      <c r="C29" s="55"/>
      <c r="D29" s="21">
        <v>213.8</v>
      </c>
      <c r="E29" s="26">
        <v>949</v>
      </c>
      <c r="F29" s="24">
        <v>213.31</v>
      </c>
      <c r="G29" s="11">
        <v>898.06</v>
      </c>
      <c r="H29" s="9">
        <v>0</v>
      </c>
      <c r="I29" s="23">
        <v>0</v>
      </c>
      <c r="J29" s="1">
        <v>0</v>
      </c>
      <c r="K29" s="1">
        <v>0</v>
      </c>
      <c r="L29" s="23">
        <v>25</v>
      </c>
      <c r="M29" s="23">
        <f t="shared" si="0"/>
        <v>25</v>
      </c>
      <c r="N29" s="2"/>
    </row>
    <row r="30" spans="1:15" ht="19.5" customHeight="1" x14ac:dyDescent="0.3">
      <c r="A30" s="8">
        <v>44587</v>
      </c>
      <c r="B30" s="55"/>
      <c r="C30" s="55"/>
      <c r="D30" s="21">
        <v>213.8</v>
      </c>
      <c r="E30" s="26">
        <v>949</v>
      </c>
      <c r="F30" s="24">
        <v>213.3</v>
      </c>
      <c r="G30" s="11">
        <v>897.00099999999998</v>
      </c>
      <c r="H30" s="9">
        <v>8</v>
      </c>
      <c r="I30" s="23">
        <v>0</v>
      </c>
      <c r="J30" s="1">
        <v>0</v>
      </c>
      <c r="K30" s="1">
        <v>0</v>
      </c>
      <c r="L30" s="23">
        <v>20</v>
      </c>
      <c r="M30" s="23">
        <f t="shared" si="0"/>
        <v>20</v>
      </c>
      <c r="N30" s="2"/>
    </row>
    <row r="31" spans="1:15" ht="21" customHeight="1" x14ac:dyDescent="0.3">
      <c r="A31" s="8">
        <v>44588</v>
      </c>
      <c r="B31" s="55"/>
      <c r="C31" s="55"/>
      <c r="D31" s="21">
        <v>213.8</v>
      </c>
      <c r="E31" s="26">
        <v>949</v>
      </c>
      <c r="F31" s="24">
        <v>213.3</v>
      </c>
      <c r="G31" s="11">
        <v>897.00099999999998</v>
      </c>
      <c r="H31" s="9">
        <v>20</v>
      </c>
      <c r="I31" s="23">
        <v>0</v>
      </c>
      <c r="J31" s="1">
        <v>0</v>
      </c>
      <c r="K31" s="1">
        <v>0</v>
      </c>
      <c r="L31" s="23">
        <v>20</v>
      </c>
      <c r="M31" s="23">
        <f t="shared" ref="M31" si="2">L31+K31+J31+I31</f>
        <v>20</v>
      </c>
      <c r="N31" s="2"/>
    </row>
    <row r="32" spans="1:15" ht="21" customHeight="1" x14ac:dyDescent="0.3">
      <c r="A32" s="8">
        <v>44589</v>
      </c>
      <c r="B32" s="55"/>
      <c r="C32" s="55"/>
      <c r="D32" s="21">
        <v>213.8</v>
      </c>
      <c r="E32" s="26">
        <v>949</v>
      </c>
      <c r="F32" s="24">
        <v>213.3</v>
      </c>
      <c r="G32" s="11">
        <v>897.00099999999998</v>
      </c>
      <c r="H32" s="9">
        <v>20</v>
      </c>
      <c r="I32" s="23">
        <v>0</v>
      </c>
      <c r="J32" s="1">
        <v>0</v>
      </c>
      <c r="K32" s="1">
        <v>0</v>
      </c>
      <c r="L32" s="23">
        <v>20</v>
      </c>
      <c r="M32" s="23">
        <f t="shared" ref="M32" si="3">L32+K32+J32+I32</f>
        <v>20</v>
      </c>
      <c r="N32" s="2"/>
    </row>
    <row r="33" spans="1:15" ht="21" customHeight="1" x14ac:dyDescent="0.3">
      <c r="A33" s="8">
        <v>44590</v>
      </c>
      <c r="B33" s="55"/>
      <c r="C33" s="55"/>
      <c r="D33" s="21">
        <v>213.8</v>
      </c>
      <c r="E33" s="26">
        <v>949</v>
      </c>
      <c r="F33" s="24">
        <v>213.29</v>
      </c>
      <c r="G33" s="11">
        <v>895.94100000000003</v>
      </c>
      <c r="H33" s="9">
        <v>8</v>
      </c>
      <c r="I33" s="23">
        <v>0</v>
      </c>
      <c r="J33" s="1">
        <v>0</v>
      </c>
      <c r="K33" s="1">
        <v>0</v>
      </c>
      <c r="L33" s="23">
        <v>20</v>
      </c>
      <c r="M33" s="23">
        <f t="shared" si="0"/>
        <v>20</v>
      </c>
      <c r="N33" s="2"/>
    </row>
    <row r="34" spans="1:15" ht="21" customHeight="1" x14ac:dyDescent="0.3">
      <c r="A34" s="8">
        <v>44591</v>
      </c>
      <c r="B34" s="55"/>
      <c r="C34" s="55"/>
      <c r="D34" s="21">
        <v>213.8</v>
      </c>
      <c r="E34" s="26">
        <v>949</v>
      </c>
      <c r="F34" s="24">
        <v>213.28</v>
      </c>
      <c r="G34" s="11">
        <v>894.88199999999995</v>
      </c>
      <c r="H34" s="9">
        <v>10</v>
      </c>
      <c r="I34" s="23">
        <v>0</v>
      </c>
      <c r="J34" s="1">
        <v>0</v>
      </c>
      <c r="K34" s="1">
        <v>0</v>
      </c>
      <c r="L34" s="23">
        <v>10</v>
      </c>
      <c r="M34" s="23">
        <f t="shared" si="0"/>
        <v>10</v>
      </c>
      <c r="N34" s="2"/>
    </row>
    <row r="35" spans="1:15" ht="21" customHeight="1" x14ac:dyDescent="0.3">
      <c r="A35" s="8">
        <v>44592</v>
      </c>
      <c r="B35" s="56"/>
      <c r="C35" s="56"/>
      <c r="D35" s="22">
        <v>213.8</v>
      </c>
      <c r="E35" s="26">
        <v>949</v>
      </c>
      <c r="F35" s="24">
        <v>213.28</v>
      </c>
      <c r="G35" s="11">
        <v>894.88199999999995</v>
      </c>
      <c r="H35" s="9">
        <v>8</v>
      </c>
      <c r="I35" s="23">
        <v>0</v>
      </c>
      <c r="J35" s="1">
        <v>0</v>
      </c>
      <c r="K35" s="1">
        <v>0</v>
      </c>
      <c r="L35" s="23">
        <v>20</v>
      </c>
      <c r="M35" s="23">
        <f t="shared" ref="M35" si="4">L35+K35+J35+I35</f>
        <v>20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535</v>
      </c>
      <c r="I36" s="16">
        <f t="shared" ref="I36:M36" si="5">SUM(I5:I35)</f>
        <v>0</v>
      </c>
      <c r="J36" s="16">
        <f t="shared" si="5"/>
        <v>490</v>
      </c>
      <c r="K36" s="16">
        <f t="shared" si="5"/>
        <v>0</v>
      </c>
      <c r="L36" s="16">
        <f t="shared" si="5"/>
        <v>305</v>
      </c>
      <c r="M36" s="16">
        <f t="shared" si="5"/>
        <v>795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4.6224295835493347E-2</v>
      </c>
      <c r="I37" s="5"/>
      <c r="J37" s="5">
        <f>J36/11574</f>
        <v>4.2336270952134096E-2</v>
      </c>
      <c r="K37" s="5">
        <f>K36/11574</f>
        <v>0</v>
      </c>
      <c r="L37" s="6"/>
      <c r="M37" s="6"/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99"/>
  <sheetViews>
    <sheetView view="pageBreakPreview" topLeftCell="A16" zoomScale="60" workbookViewId="0">
      <selection activeCell="L34" sqref="L34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8.1093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55"/>
      <c r="B4" s="55"/>
      <c r="C4" s="55"/>
      <c r="D4" s="55"/>
      <c r="E4" s="50"/>
      <c r="F4" s="5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30">
        <v>44593</v>
      </c>
      <c r="B5" s="59" t="s">
        <v>11</v>
      </c>
      <c r="C5" s="59" t="s">
        <v>12</v>
      </c>
      <c r="D5" s="26">
        <v>213.8</v>
      </c>
      <c r="E5" s="26">
        <v>949</v>
      </c>
      <c r="F5" s="24">
        <v>213.27</v>
      </c>
      <c r="G5" s="28">
        <v>893.822</v>
      </c>
      <c r="H5" s="9">
        <v>8</v>
      </c>
      <c r="I5" s="23">
        <v>0</v>
      </c>
      <c r="J5" s="1">
        <v>0</v>
      </c>
      <c r="K5" s="1">
        <v>0</v>
      </c>
      <c r="L5" s="23">
        <v>20</v>
      </c>
      <c r="M5" s="23">
        <f>L5+K5+J5+I5</f>
        <v>20</v>
      </c>
      <c r="N5" s="2"/>
    </row>
    <row r="6" spans="1:14" ht="19.5" customHeight="1" x14ac:dyDescent="0.3">
      <c r="A6" s="30">
        <v>44594</v>
      </c>
      <c r="B6" s="60"/>
      <c r="C6" s="60"/>
      <c r="D6" s="26">
        <v>213.8</v>
      </c>
      <c r="E6" s="26">
        <v>949</v>
      </c>
      <c r="F6" s="24">
        <v>213.26</v>
      </c>
      <c r="G6" s="28">
        <v>892.76199999999994</v>
      </c>
      <c r="H6" s="9">
        <v>8</v>
      </c>
      <c r="I6" s="23">
        <v>0</v>
      </c>
      <c r="J6" s="1">
        <v>0</v>
      </c>
      <c r="K6" s="1">
        <v>0</v>
      </c>
      <c r="L6" s="23">
        <v>20</v>
      </c>
      <c r="M6" s="23">
        <f t="shared" ref="M6:M32" si="0">L6+K6+J6+I6</f>
        <v>20</v>
      </c>
      <c r="N6" s="2"/>
    </row>
    <row r="7" spans="1:14" ht="19.5" customHeight="1" x14ac:dyDescent="0.3">
      <c r="A7" s="30">
        <v>44595</v>
      </c>
      <c r="B7" s="60"/>
      <c r="C7" s="60"/>
      <c r="D7" s="26">
        <v>213.8</v>
      </c>
      <c r="E7" s="26">
        <v>949</v>
      </c>
      <c r="F7" s="24">
        <v>213.25</v>
      </c>
      <c r="G7" s="28">
        <v>891.70299999999997</v>
      </c>
      <c r="H7" s="9">
        <v>8</v>
      </c>
      <c r="I7" s="23">
        <v>0</v>
      </c>
      <c r="J7" s="1">
        <v>0</v>
      </c>
      <c r="K7" s="1">
        <v>0</v>
      </c>
      <c r="L7" s="23">
        <v>20</v>
      </c>
      <c r="M7" s="23">
        <f t="shared" si="0"/>
        <v>20</v>
      </c>
      <c r="N7" s="2"/>
    </row>
    <row r="8" spans="1:14" ht="19.5" customHeight="1" x14ac:dyDescent="0.3">
      <c r="A8" s="30">
        <v>44596</v>
      </c>
      <c r="B8" s="60"/>
      <c r="C8" s="60"/>
      <c r="D8" s="26">
        <v>213.8</v>
      </c>
      <c r="E8" s="26">
        <v>949</v>
      </c>
      <c r="F8" s="24">
        <v>213.24</v>
      </c>
      <c r="G8" s="28">
        <v>890.64400000000001</v>
      </c>
      <c r="H8" s="9">
        <v>8</v>
      </c>
      <c r="I8" s="23">
        <v>0</v>
      </c>
      <c r="J8" s="1">
        <v>0</v>
      </c>
      <c r="K8" s="1">
        <v>0</v>
      </c>
      <c r="L8" s="23">
        <v>20</v>
      </c>
      <c r="M8" s="23">
        <f t="shared" si="0"/>
        <v>20</v>
      </c>
      <c r="N8" s="2"/>
    </row>
    <row r="9" spans="1:14" ht="19.5" customHeight="1" x14ac:dyDescent="0.3">
      <c r="A9" s="30">
        <v>44597</v>
      </c>
      <c r="B9" s="60"/>
      <c r="C9" s="60"/>
      <c r="D9" s="26">
        <v>213.8</v>
      </c>
      <c r="E9" s="26">
        <v>949</v>
      </c>
      <c r="F9" s="24">
        <v>213.23</v>
      </c>
      <c r="G9" s="28">
        <v>889.58</v>
      </c>
      <c r="H9" s="9">
        <v>8</v>
      </c>
      <c r="I9" s="23">
        <v>0</v>
      </c>
      <c r="J9" s="1">
        <v>0</v>
      </c>
      <c r="K9" s="1">
        <v>0</v>
      </c>
      <c r="L9" s="23">
        <v>20</v>
      </c>
      <c r="M9" s="23">
        <f t="shared" si="0"/>
        <v>20</v>
      </c>
      <c r="N9" s="2"/>
    </row>
    <row r="10" spans="1:14" ht="19.5" customHeight="1" x14ac:dyDescent="0.3">
      <c r="A10" s="30">
        <v>44598</v>
      </c>
      <c r="B10" s="60"/>
      <c r="C10" s="60"/>
      <c r="D10" s="26">
        <v>213.8</v>
      </c>
      <c r="E10" s="26">
        <v>949</v>
      </c>
      <c r="F10" s="24">
        <v>213.22</v>
      </c>
      <c r="G10" s="28">
        <v>888.52499999999998</v>
      </c>
      <c r="H10" s="9">
        <v>8</v>
      </c>
      <c r="I10" s="23">
        <v>0</v>
      </c>
      <c r="J10" s="1">
        <v>0</v>
      </c>
      <c r="K10" s="1">
        <v>0</v>
      </c>
      <c r="L10" s="23">
        <v>20</v>
      </c>
      <c r="M10" s="23">
        <f t="shared" si="0"/>
        <v>20</v>
      </c>
      <c r="N10" s="2"/>
    </row>
    <row r="11" spans="1:14" ht="19.5" customHeight="1" x14ac:dyDescent="0.3">
      <c r="A11" s="30">
        <v>44599</v>
      </c>
      <c r="B11" s="60"/>
      <c r="C11" s="60"/>
      <c r="D11" s="26">
        <v>213.8</v>
      </c>
      <c r="E11" s="26">
        <v>949</v>
      </c>
      <c r="F11" s="24">
        <v>213.21</v>
      </c>
      <c r="G11" s="28">
        <v>887.46500000000003</v>
      </c>
      <c r="H11" s="9">
        <v>8</v>
      </c>
      <c r="I11" s="23">
        <v>0</v>
      </c>
      <c r="J11" s="1">
        <v>0</v>
      </c>
      <c r="K11" s="1">
        <v>0</v>
      </c>
      <c r="L11" s="23">
        <v>20</v>
      </c>
      <c r="M11" s="23">
        <f t="shared" si="0"/>
        <v>20</v>
      </c>
      <c r="N11" s="2"/>
    </row>
    <row r="12" spans="1:14" ht="19.5" customHeight="1" x14ac:dyDescent="0.3">
      <c r="A12" s="30">
        <v>44600</v>
      </c>
      <c r="B12" s="60"/>
      <c r="C12" s="60"/>
      <c r="D12" s="26">
        <v>213.8</v>
      </c>
      <c r="E12" s="26">
        <v>949</v>
      </c>
      <c r="F12" s="24">
        <v>213.2</v>
      </c>
      <c r="G12" s="28">
        <v>886.40599999999995</v>
      </c>
      <c r="H12" s="9">
        <v>8</v>
      </c>
      <c r="I12" s="23">
        <v>0</v>
      </c>
      <c r="J12" s="1">
        <v>0</v>
      </c>
      <c r="K12" s="1">
        <v>0</v>
      </c>
      <c r="L12" s="23">
        <v>20</v>
      </c>
      <c r="M12" s="23">
        <f t="shared" si="0"/>
        <v>20</v>
      </c>
      <c r="N12" s="2"/>
    </row>
    <row r="13" spans="1:14" ht="19.5" customHeight="1" x14ac:dyDescent="0.3">
      <c r="A13" s="30">
        <v>44601</v>
      </c>
      <c r="B13" s="60"/>
      <c r="C13" s="60"/>
      <c r="D13" s="26">
        <v>213.8</v>
      </c>
      <c r="E13" s="26">
        <v>949</v>
      </c>
      <c r="F13" s="24">
        <v>213.18</v>
      </c>
      <c r="G13" s="29">
        <v>884.28700000000003</v>
      </c>
      <c r="H13" s="9">
        <v>1</v>
      </c>
      <c r="I13" s="23">
        <v>0</v>
      </c>
      <c r="J13" s="1">
        <v>0</v>
      </c>
      <c r="K13" s="1">
        <v>0</v>
      </c>
      <c r="L13" s="23">
        <v>25</v>
      </c>
      <c r="M13" s="23">
        <f t="shared" si="0"/>
        <v>25</v>
      </c>
      <c r="N13" s="2"/>
    </row>
    <row r="14" spans="1:14" ht="19.5" customHeight="1" x14ac:dyDescent="0.3">
      <c r="A14" s="30">
        <v>44602</v>
      </c>
      <c r="B14" s="60"/>
      <c r="C14" s="60"/>
      <c r="D14" s="26">
        <v>213.8</v>
      </c>
      <c r="E14" s="26">
        <v>949</v>
      </c>
      <c r="F14" s="24">
        <v>213.16</v>
      </c>
      <c r="G14" s="28">
        <v>882.16800000000001</v>
      </c>
      <c r="H14" s="9">
        <v>1</v>
      </c>
      <c r="I14" s="23">
        <v>0</v>
      </c>
      <c r="J14" s="1">
        <v>0</v>
      </c>
      <c r="K14" s="1">
        <v>0</v>
      </c>
      <c r="L14" s="23">
        <v>25</v>
      </c>
      <c r="M14" s="23">
        <f t="shared" si="0"/>
        <v>25</v>
      </c>
      <c r="N14" s="2"/>
    </row>
    <row r="15" spans="1:14" ht="19.5" customHeight="1" x14ac:dyDescent="0.3">
      <c r="A15" s="30">
        <v>44603</v>
      </c>
      <c r="B15" s="60"/>
      <c r="C15" s="60"/>
      <c r="D15" s="26">
        <v>213.8</v>
      </c>
      <c r="E15" s="26">
        <v>949</v>
      </c>
      <c r="F15" s="24">
        <v>213.14</v>
      </c>
      <c r="G15" s="28">
        <v>880.04899999999998</v>
      </c>
      <c r="H15" s="9">
        <v>1</v>
      </c>
      <c r="I15" s="23">
        <v>0</v>
      </c>
      <c r="J15" s="1">
        <v>0</v>
      </c>
      <c r="K15" s="1">
        <v>0</v>
      </c>
      <c r="L15" s="23">
        <v>25</v>
      </c>
      <c r="M15" s="23">
        <f t="shared" si="0"/>
        <v>25</v>
      </c>
      <c r="N15" s="2"/>
    </row>
    <row r="16" spans="1:14" ht="19.5" customHeight="1" x14ac:dyDescent="0.3">
      <c r="A16" s="30">
        <v>44604</v>
      </c>
      <c r="B16" s="60"/>
      <c r="C16" s="60"/>
      <c r="D16" s="26">
        <v>213.8</v>
      </c>
      <c r="E16" s="26">
        <v>949</v>
      </c>
      <c r="F16" s="24">
        <v>213.12</v>
      </c>
      <c r="G16" s="28">
        <v>877.93100000000004</v>
      </c>
      <c r="H16" s="9">
        <v>1</v>
      </c>
      <c r="I16" s="23">
        <v>0</v>
      </c>
      <c r="J16" s="1">
        <v>0</v>
      </c>
      <c r="K16" s="1">
        <v>0</v>
      </c>
      <c r="L16" s="23">
        <v>25</v>
      </c>
      <c r="M16" s="23">
        <f t="shared" si="0"/>
        <v>25</v>
      </c>
      <c r="N16" s="2"/>
    </row>
    <row r="17" spans="1:15" ht="19.5" customHeight="1" x14ac:dyDescent="0.3">
      <c r="A17" s="30">
        <v>44605</v>
      </c>
      <c r="B17" s="60"/>
      <c r="C17" s="60"/>
      <c r="D17" s="26">
        <v>213.8</v>
      </c>
      <c r="E17" s="26">
        <v>949</v>
      </c>
      <c r="F17" s="24">
        <v>213.1</v>
      </c>
      <c r="G17" s="28">
        <v>875.81200000000001</v>
      </c>
      <c r="H17" s="9">
        <v>1</v>
      </c>
      <c r="I17" s="23">
        <v>0</v>
      </c>
      <c r="J17" s="1">
        <v>0</v>
      </c>
      <c r="K17" s="1">
        <v>0</v>
      </c>
      <c r="L17" s="23">
        <v>25</v>
      </c>
      <c r="M17" s="23">
        <f t="shared" si="0"/>
        <v>25</v>
      </c>
      <c r="N17" s="2"/>
    </row>
    <row r="18" spans="1:15" ht="19.5" customHeight="1" x14ac:dyDescent="0.3">
      <c r="A18" s="30">
        <v>44606</v>
      </c>
      <c r="B18" s="60"/>
      <c r="C18" s="60"/>
      <c r="D18" s="26">
        <v>213.8</v>
      </c>
      <c r="E18" s="26">
        <v>949</v>
      </c>
      <c r="F18" s="24">
        <v>213.09</v>
      </c>
      <c r="G18" s="28">
        <v>875.10599999999999</v>
      </c>
      <c r="H18" s="9">
        <v>12</v>
      </c>
      <c r="I18" s="23">
        <v>0</v>
      </c>
      <c r="J18" s="1">
        <v>0</v>
      </c>
      <c r="K18" s="1">
        <v>0</v>
      </c>
      <c r="L18" s="23">
        <v>20</v>
      </c>
      <c r="M18" s="23">
        <f t="shared" si="0"/>
        <v>20</v>
      </c>
      <c r="N18" s="2"/>
    </row>
    <row r="19" spans="1:15" ht="19.5" customHeight="1" x14ac:dyDescent="0.3">
      <c r="A19" s="30">
        <v>44607</v>
      </c>
      <c r="B19" s="60"/>
      <c r="C19" s="60"/>
      <c r="D19" s="26">
        <v>213.8</v>
      </c>
      <c r="E19" s="26">
        <v>949</v>
      </c>
      <c r="F19" s="24">
        <v>213.07</v>
      </c>
      <c r="G19" s="28">
        <v>870.98599999999999</v>
      </c>
      <c r="H19" s="9">
        <v>1</v>
      </c>
      <c r="I19" s="23">
        <v>0</v>
      </c>
      <c r="J19" s="1">
        <v>0</v>
      </c>
      <c r="K19" s="1">
        <v>0</v>
      </c>
      <c r="L19" s="23">
        <v>25</v>
      </c>
      <c r="M19" s="23">
        <f t="shared" si="0"/>
        <v>25</v>
      </c>
      <c r="N19" s="2"/>
    </row>
    <row r="20" spans="1:15" ht="19.5" customHeight="1" x14ac:dyDescent="0.3">
      <c r="A20" s="30">
        <v>44608</v>
      </c>
      <c r="B20" s="60"/>
      <c r="C20" s="60"/>
      <c r="D20" s="26">
        <v>213.8</v>
      </c>
      <c r="E20" s="26">
        <v>949</v>
      </c>
      <c r="F20" s="24">
        <v>213.05</v>
      </c>
      <c r="G20" s="28">
        <v>870.86800000000005</v>
      </c>
      <c r="H20" s="9">
        <v>1</v>
      </c>
      <c r="I20" s="23">
        <v>0</v>
      </c>
      <c r="J20" s="1">
        <v>0</v>
      </c>
      <c r="K20" s="1">
        <v>0</v>
      </c>
      <c r="L20" s="23">
        <v>25</v>
      </c>
      <c r="M20" s="23">
        <f t="shared" si="0"/>
        <v>25</v>
      </c>
      <c r="N20" s="2"/>
    </row>
    <row r="21" spans="1:15" ht="19.5" customHeight="1" x14ac:dyDescent="0.3">
      <c r="A21" s="30">
        <v>44609</v>
      </c>
      <c r="B21" s="60"/>
      <c r="C21" s="60"/>
      <c r="D21" s="26">
        <v>213.8</v>
      </c>
      <c r="E21" s="26">
        <v>949</v>
      </c>
      <c r="F21" s="24">
        <v>213.04</v>
      </c>
      <c r="G21" s="28">
        <v>869.80799999999999</v>
      </c>
      <c r="H21" s="9">
        <v>8</v>
      </c>
      <c r="I21" s="23">
        <v>0</v>
      </c>
      <c r="J21" s="1">
        <v>0</v>
      </c>
      <c r="K21" s="1">
        <v>0</v>
      </c>
      <c r="L21" s="23">
        <v>20</v>
      </c>
      <c r="M21" s="23">
        <f t="shared" si="0"/>
        <v>20</v>
      </c>
      <c r="N21" s="2"/>
    </row>
    <row r="22" spans="1:15" ht="19.5" customHeight="1" x14ac:dyDescent="0.3">
      <c r="A22" s="30">
        <v>44610</v>
      </c>
      <c r="B22" s="60"/>
      <c r="C22" s="60"/>
      <c r="D22" s="26">
        <v>213.8</v>
      </c>
      <c r="E22" s="26">
        <v>949</v>
      </c>
      <c r="F22" s="24">
        <v>213.02</v>
      </c>
      <c r="G22" s="28">
        <v>867.68899999999996</v>
      </c>
      <c r="H22" s="9">
        <v>1</v>
      </c>
      <c r="I22" s="23">
        <v>0</v>
      </c>
      <c r="J22" s="1">
        <v>0</v>
      </c>
      <c r="K22" s="1">
        <v>0</v>
      </c>
      <c r="L22" s="23">
        <v>25</v>
      </c>
      <c r="M22" s="23">
        <f t="shared" si="0"/>
        <v>25</v>
      </c>
      <c r="N22" s="2"/>
    </row>
    <row r="23" spans="1:15" ht="19.5" customHeight="1" x14ac:dyDescent="0.3">
      <c r="A23" s="30">
        <v>44611</v>
      </c>
      <c r="B23" s="60"/>
      <c r="C23" s="60"/>
      <c r="D23" s="26">
        <v>213.8</v>
      </c>
      <c r="E23" s="26">
        <v>949</v>
      </c>
      <c r="F23" s="24">
        <v>213</v>
      </c>
      <c r="G23" s="28">
        <v>865.57</v>
      </c>
      <c r="H23" s="9">
        <v>1</v>
      </c>
      <c r="I23" s="23">
        <v>0</v>
      </c>
      <c r="J23" s="1">
        <v>0</v>
      </c>
      <c r="K23" s="1">
        <v>0</v>
      </c>
      <c r="L23" s="23">
        <v>25</v>
      </c>
      <c r="M23" s="23">
        <f t="shared" si="0"/>
        <v>25</v>
      </c>
      <c r="N23" s="2"/>
    </row>
    <row r="24" spans="1:15" ht="19.5" customHeight="1" x14ac:dyDescent="0.3">
      <c r="A24" s="30">
        <v>44612</v>
      </c>
      <c r="B24" s="60"/>
      <c r="C24" s="60"/>
      <c r="D24" s="26">
        <v>213.8</v>
      </c>
      <c r="E24" s="26">
        <v>949</v>
      </c>
      <c r="F24" s="24">
        <v>212.98</v>
      </c>
      <c r="G24" s="28">
        <v>863.452</v>
      </c>
      <c r="H24" s="9">
        <v>1</v>
      </c>
      <c r="I24" s="23">
        <v>0</v>
      </c>
      <c r="J24" s="1">
        <v>0</v>
      </c>
      <c r="K24" s="1">
        <v>0</v>
      </c>
      <c r="L24" s="23">
        <v>25</v>
      </c>
      <c r="M24" s="23">
        <f t="shared" si="0"/>
        <v>25</v>
      </c>
      <c r="N24" s="2"/>
    </row>
    <row r="25" spans="1:15" ht="19.5" customHeight="1" x14ac:dyDescent="0.3">
      <c r="A25" s="30">
        <v>44613</v>
      </c>
      <c r="B25" s="60"/>
      <c r="C25" s="60"/>
      <c r="D25" s="26">
        <v>213.8</v>
      </c>
      <c r="E25" s="26">
        <v>949</v>
      </c>
      <c r="F25" s="24">
        <v>212.96</v>
      </c>
      <c r="G25" s="28">
        <v>861.33199999999999</v>
      </c>
      <c r="H25" s="9">
        <v>1</v>
      </c>
      <c r="I25" s="23">
        <v>0</v>
      </c>
      <c r="J25" s="1">
        <v>0</v>
      </c>
      <c r="K25" s="1">
        <v>0</v>
      </c>
      <c r="L25" s="23">
        <v>25</v>
      </c>
      <c r="M25" s="23">
        <f t="shared" si="0"/>
        <v>25</v>
      </c>
      <c r="N25" s="2"/>
    </row>
    <row r="26" spans="1:15" ht="19.5" customHeight="1" x14ac:dyDescent="0.3">
      <c r="A26" s="30">
        <v>44614</v>
      </c>
      <c r="B26" s="60"/>
      <c r="C26" s="60"/>
      <c r="D26" s="26">
        <v>213.8</v>
      </c>
      <c r="E26" s="26">
        <v>949</v>
      </c>
      <c r="F26" s="24">
        <v>212.94</v>
      </c>
      <c r="G26" s="28">
        <v>859.21299999999997</v>
      </c>
      <c r="H26" s="9">
        <v>1</v>
      </c>
      <c r="I26" s="23">
        <v>0</v>
      </c>
      <c r="J26" s="1">
        <v>0</v>
      </c>
      <c r="K26" s="1">
        <v>0</v>
      </c>
      <c r="L26" s="23">
        <v>25</v>
      </c>
      <c r="M26" s="23">
        <f t="shared" si="0"/>
        <v>25</v>
      </c>
      <c r="N26" s="2"/>
      <c r="O26" s="18"/>
    </row>
    <row r="27" spans="1:15" ht="19.5" customHeight="1" x14ac:dyDescent="0.3">
      <c r="A27" s="30">
        <v>44615</v>
      </c>
      <c r="B27" s="60"/>
      <c r="C27" s="60"/>
      <c r="D27" s="26">
        <v>213.8</v>
      </c>
      <c r="E27" s="26">
        <v>949</v>
      </c>
      <c r="F27" s="24">
        <v>212.93</v>
      </c>
      <c r="G27" s="28">
        <v>858.154</v>
      </c>
      <c r="H27" s="9">
        <v>3</v>
      </c>
      <c r="I27" s="23">
        <v>0</v>
      </c>
      <c r="J27" s="1">
        <v>0</v>
      </c>
      <c r="K27" s="1">
        <v>0</v>
      </c>
      <c r="L27" s="23">
        <v>15</v>
      </c>
      <c r="M27" s="23">
        <f t="shared" si="0"/>
        <v>15</v>
      </c>
      <c r="N27" s="2"/>
    </row>
    <row r="28" spans="1:15" ht="19.5" customHeight="1" x14ac:dyDescent="0.3">
      <c r="A28" s="30">
        <v>44616</v>
      </c>
      <c r="B28" s="60"/>
      <c r="C28" s="60"/>
      <c r="D28" s="26">
        <v>213.8</v>
      </c>
      <c r="E28" s="26">
        <v>949</v>
      </c>
      <c r="F28" s="24">
        <v>212.92</v>
      </c>
      <c r="G28" s="28">
        <v>857.09500000000003</v>
      </c>
      <c r="H28" s="9">
        <v>3</v>
      </c>
      <c r="I28" s="23">
        <v>0</v>
      </c>
      <c r="J28" s="1">
        <v>0</v>
      </c>
      <c r="K28" s="1">
        <v>0</v>
      </c>
      <c r="L28" s="23">
        <v>15</v>
      </c>
      <c r="M28" s="23">
        <f t="shared" si="0"/>
        <v>15</v>
      </c>
      <c r="N28" s="2"/>
    </row>
    <row r="29" spans="1:15" ht="19.5" customHeight="1" x14ac:dyDescent="0.3">
      <c r="A29" s="30">
        <v>44617</v>
      </c>
      <c r="B29" s="60"/>
      <c r="C29" s="60"/>
      <c r="D29" s="26">
        <v>213.8</v>
      </c>
      <c r="E29" s="26">
        <v>949</v>
      </c>
      <c r="F29" s="24">
        <v>212.9</v>
      </c>
      <c r="G29" s="28">
        <v>854.976</v>
      </c>
      <c r="H29" s="9">
        <v>1</v>
      </c>
      <c r="I29" s="23">
        <v>0</v>
      </c>
      <c r="J29" s="1">
        <v>0</v>
      </c>
      <c r="K29" s="1">
        <v>0</v>
      </c>
      <c r="L29" s="23">
        <v>25</v>
      </c>
      <c r="M29" s="23">
        <f t="shared" si="0"/>
        <v>25</v>
      </c>
      <c r="N29" s="2"/>
    </row>
    <row r="30" spans="1:15" ht="19.5" customHeight="1" x14ac:dyDescent="0.3">
      <c r="A30" s="30">
        <v>44618</v>
      </c>
      <c r="B30" s="60"/>
      <c r="C30" s="60"/>
      <c r="D30" s="26">
        <v>213.8</v>
      </c>
      <c r="E30" s="26">
        <v>949</v>
      </c>
      <c r="F30" s="24">
        <v>212.88</v>
      </c>
      <c r="G30" s="28">
        <v>852.85699999999997</v>
      </c>
      <c r="H30" s="9">
        <v>1</v>
      </c>
      <c r="I30" s="23">
        <v>0</v>
      </c>
      <c r="J30" s="1">
        <v>0</v>
      </c>
      <c r="K30" s="1">
        <v>0</v>
      </c>
      <c r="L30" s="23">
        <v>25</v>
      </c>
      <c r="M30" s="23">
        <f t="shared" si="0"/>
        <v>25</v>
      </c>
      <c r="N30" s="2"/>
    </row>
    <row r="31" spans="1:15" ht="21" customHeight="1" x14ac:dyDescent="0.3">
      <c r="A31" s="30">
        <v>44619</v>
      </c>
      <c r="B31" s="60"/>
      <c r="C31" s="60"/>
      <c r="D31" s="26">
        <v>213.8</v>
      </c>
      <c r="E31" s="26">
        <v>949</v>
      </c>
      <c r="F31" s="24">
        <v>212.86</v>
      </c>
      <c r="G31" s="28">
        <v>851.09199999999998</v>
      </c>
      <c r="H31" s="9">
        <v>5</v>
      </c>
      <c r="I31" s="23">
        <v>0</v>
      </c>
      <c r="J31" s="1">
        <v>0</v>
      </c>
      <c r="K31" s="1">
        <v>0</v>
      </c>
      <c r="L31" s="23">
        <v>25</v>
      </c>
      <c r="M31" s="23">
        <f t="shared" si="0"/>
        <v>25</v>
      </c>
      <c r="N31" s="2"/>
    </row>
    <row r="32" spans="1:15" ht="21" customHeight="1" x14ac:dyDescent="0.3">
      <c r="A32" s="30">
        <v>44620</v>
      </c>
      <c r="B32" s="60"/>
      <c r="C32" s="60"/>
      <c r="D32" s="26">
        <v>213.8</v>
      </c>
      <c r="E32" s="26">
        <v>949</v>
      </c>
      <c r="F32" s="24">
        <v>212.84</v>
      </c>
      <c r="G32" s="28">
        <v>848.97199999999998</v>
      </c>
      <c r="H32" s="9">
        <v>1</v>
      </c>
      <c r="I32" s="23">
        <v>0</v>
      </c>
      <c r="J32" s="1">
        <v>0</v>
      </c>
      <c r="K32" s="1">
        <v>0</v>
      </c>
      <c r="L32" s="23">
        <v>25</v>
      </c>
      <c r="M32" s="23">
        <f t="shared" si="0"/>
        <v>25</v>
      </c>
      <c r="N32" s="2"/>
    </row>
    <row r="33" spans="1:15" ht="21" customHeight="1" x14ac:dyDescent="0.3">
      <c r="A33" s="12"/>
      <c r="B33" s="13"/>
      <c r="C33" s="13"/>
      <c r="D33" s="14"/>
      <c r="E33" s="14"/>
      <c r="F33" s="15"/>
      <c r="G33" s="14"/>
      <c r="H33" s="16">
        <f>SUM(H5:H32)</f>
        <v>110</v>
      </c>
      <c r="I33" s="16">
        <f t="shared" ref="I33:M33" si="1">SUM(I5:I32)</f>
        <v>0</v>
      </c>
      <c r="J33" s="16">
        <f t="shared" si="1"/>
        <v>0</v>
      </c>
      <c r="K33" s="16">
        <f t="shared" si="1"/>
        <v>0</v>
      </c>
      <c r="L33" s="16">
        <f t="shared" si="1"/>
        <v>630</v>
      </c>
      <c r="M33" s="16">
        <f t="shared" si="1"/>
        <v>630</v>
      </c>
      <c r="N33" s="17"/>
      <c r="O33" s="19"/>
    </row>
    <row r="34" spans="1:15" ht="47.25" customHeight="1" x14ac:dyDescent="0.3">
      <c r="A34" s="3"/>
      <c r="B34" s="4"/>
      <c r="C34" s="5"/>
      <c r="D34" s="5"/>
      <c r="E34" s="14"/>
      <c r="F34" s="5"/>
      <c r="G34" s="5"/>
      <c r="H34" s="5">
        <f>H33/11574</f>
        <v>9.5040608259892856E-3</v>
      </c>
      <c r="I34" s="5"/>
      <c r="J34" s="5">
        <f>J33/11574</f>
        <v>0</v>
      </c>
      <c r="K34" s="5">
        <f>K33/11574</f>
        <v>0</v>
      </c>
      <c r="L34" s="6"/>
      <c r="M34" s="6"/>
      <c r="N34" s="7"/>
    </row>
    <row r="35" spans="1:15" ht="15.75" customHeight="1" x14ac:dyDescent="0.3">
      <c r="A35" s="57" t="s">
        <v>9</v>
      </c>
      <c r="B35" s="52"/>
      <c r="C35" s="52"/>
      <c r="D35" s="52"/>
      <c r="E35" s="14"/>
      <c r="J35" s="57" t="s">
        <v>10</v>
      </c>
      <c r="K35" s="52"/>
      <c r="L35" s="52"/>
      <c r="M35" s="52"/>
      <c r="N35" s="7"/>
    </row>
    <row r="36" spans="1:15" ht="15.75" customHeight="1" x14ac:dyDescent="0.3">
      <c r="A36" s="58" t="s">
        <v>16</v>
      </c>
      <c r="B36" s="52"/>
      <c r="C36" s="52"/>
      <c r="D36" s="52"/>
      <c r="J36" s="58" t="s">
        <v>16</v>
      </c>
      <c r="K36" s="52"/>
      <c r="L36" s="52"/>
      <c r="M36" s="52"/>
      <c r="N36" s="7"/>
    </row>
    <row r="37" spans="1:15" ht="15.75" customHeight="1" x14ac:dyDescent="0.3">
      <c r="A37" s="51" t="s">
        <v>17</v>
      </c>
      <c r="B37" s="52"/>
      <c r="C37" s="52"/>
      <c r="D37" s="52"/>
      <c r="J37" s="51" t="s">
        <v>17</v>
      </c>
      <c r="K37" s="52"/>
      <c r="L37" s="52"/>
      <c r="M37" s="52"/>
      <c r="N37" s="7"/>
    </row>
    <row r="38" spans="1:15" ht="15.75" customHeight="1" x14ac:dyDescent="0.3">
      <c r="N38" s="7"/>
    </row>
    <row r="39" spans="1:15" ht="15.75" customHeight="1" x14ac:dyDescent="0.3">
      <c r="N39" s="7"/>
    </row>
    <row r="40" spans="1:15" ht="15.75" customHeight="1" x14ac:dyDescent="0.3"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O102"/>
  <sheetViews>
    <sheetView view="pageBreakPreview" topLeftCell="A22" zoomScale="60" workbookViewId="0">
      <selection activeCell="H36" sqref="H36:M36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6.5546875" customWidth="1"/>
    <col min="9" max="9" width="8.6640625" customWidth="1"/>
    <col min="10" max="10" width="8.44140625" customWidth="1"/>
    <col min="11" max="11" width="8.6640625" customWidth="1"/>
    <col min="12" max="12" width="7.55468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44621</v>
      </c>
      <c r="B5" s="54" t="s">
        <v>11</v>
      </c>
      <c r="C5" s="54" t="s">
        <v>12</v>
      </c>
      <c r="D5" s="21">
        <v>213.8</v>
      </c>
      <c r="E5" s="26">
        <v>949</v>
      </c>
      <c r="F5" s="24">
        <v>212.82</v>
      </c>
      <c r="G5" s="11">
        <v>846.85299999999995</v>
      </c>
      <c r="H5" s="9">
        <v>1</v>
      </c>
      <c r="I5" s="23">
        <v>0</v>
      </c>
      <c r="J5" s="1">
        <v>0</v>
      </c>
      <c r="K5" s="1">
        <v>0</v>
      </c>
      <c r="L5" s="23">
        <v>25</v>
      </c>
      <c r="M5" s="23">
        <f>L5+K5+J5+I5</f>
        <v>25</v>
      </c>
      <c r="N5" s="2"/>
    </row>
    <row r="6" spans="1:14" ht="19.5" customHeight="1" x14ac:dyDescent="0.3">
      <c r="A6" s="8">
        <v>44622</v>
      </c>
      <c r="B6" s="55"/>
      <c r="C6" s="55"/>
      <c r="D6" s="21">
        <v>213.8</v>
      </c>
      <c r="E6" s="26">
        <v>949</v>
      </c>
      <c r="F6" s="24">
        <v>212.8</v>
      </c>
      <c r="G6" s="11">
        <v>844.73400000000004</v>
      </c>
      <c r="H6" s="9">
        <v>1</v>
      </c>
      <c r="I6" s="23">
        <v>0</v>
      </c>
      <c r="J6" s="1">
        <v>0</v>
      </c>
      <c r="K6" s="1">
        <v>0</v>
      </c>
      <c r="L6" s="23">
        <v>25</v>
      </c>
      <c r="M6" s="23">
        <f t="shared" ref="M6:M35" si="0">L6+K6+J6+I6</f>
        <v>25</v>
      </c>
      <c r="N6" s="2"/>
    </row>
    <row r="7" spans="1:14" ht="19.5" customHeight="1" x14ac:dyDescent="0.3">
      <c r="A7" s="8">
        <v>44623</v>
      </c>
      <c r="B7" s="55"/>
      <c r="C7" s="55"/>
      <c r="D7" s="21">
        <v>213.8</v>
      </c>
      <c r="E7" s="26">
        <v>949</v>
      </c>
      <c r="F7" s="24">
        <v>212.78</v>
      </c>
      <c r="G7" s="11">
        <v>842.61500000000001</v>
      </c>
      <c r="H7" s="9">
        <v>1</v>
      </c>
      <c r="I7" s="23">
        <v>0</v>
      </c>
      <c r="J7" s="1">
        <v>0</v>
      </c>
      <c r="K7" s="1">
        <v>0</v>
      </c>
      <c r="L7" s="23">
        <v>25</v>
      </c>
      <c r="M7" s="23">
        <f t="shared" si="0"/>
        <v>25</v>
      </c>
      <c r="N7" s="2"/>
    </row>
    <row r="8" spans="1:14" ht="19.5" customHeight="1" x14ac:dyDescent="0.3">
      <c r="A8" s="8">
        <v>44624</v>
      </c>
      <c r="B8" s="55"/>
      <c r="C8" s="55"/>
      <c r="D8" s="21">
        <v>213.8</v>
      </c>
      <c r="E8" s="26">
        <v>949</v>
      </c>
      <c r="F8" s="24">
        <v>212.76</v>
      </c>
      <c r="G8" s="11">
        <v>840.49699999999996</v>
      </c>
      <c r="H8" s="9">
        <v>1</v>
      </c>
      <c r="I8" s="23">
        <v>0</v>
      </c>
      <c r="J8" s="1">
        <v>0</v>
      </c>
      <c r="K8" s="1">
        <v>0</v>
      </c>
      <c r="L8" s="23">
        <v>25</v>
      </c>
      <c r="M8" s="23">
        <f t="shared" si="0"/>
        <v>25</v>
      </c>
      <c r="N8" s="2"/>
    </row>
    <row r="9" spans="1:14" ht="19.5" customHeight="1" x14ac:dyDescent="0.3">
      <c r="A9" s="8">
        <v>44625</v>
      </c>
      <c r="B9" s="55"/>
      <c r="C9" s="55"/>
      <c r="D9" s="21">
        <v>213.8</v>
      </c>
      <c r="E9" s="26">
        <v>949</v>
      </c>
      <c r="F9" s="24">
        <v>212.74</v>
      </c>
      <c r="G9" s="11">
        <v>838.37800000000004</v>
      </c>
      <c r="H9" s="9">
        <v>1</v>
      </c>
      <c r="I9" s="23">
        <v>0</v>
      </c>
      <c r="J9" s="1">
        <v>0</v>
      </c>
      <c r="K9" s="1">
        <v>0</v>
      </c>
      <c r="L9" s="23">
        <v>25</v>
      </c>
      <c r="M9" s="23">
        <f t="shared" si="0"/>
        <v>25</v>
      </c>
      <c r="N9" s="2"/>
    </row>
    <row r="10" spans="1:14" ht="19.5" customHeight="1" x14ac:dyDescent="0.3">
      <c r="A10" s="8">
        <v>44626</v>
      </c>
      <c r="B10" s="55"/>
      <c r="C10" s="55"/>
      <c r="D10" s="21">
        <v>213.8</v>
      </c>
      <c r="E10" s="26">
        <v>949</v>
      </c>
      <c r="F10" s="24">
        <v>212.72</v>
      </c>
      <c r="G10" s="11">
        <v>836.25900000000001</v>
      </c>
      <c r="H10" s="9">
        <v>1</v>
      </c>
      <c r="I10" s="23">
        <v>0</v>
      </c>
      <c r="J10" s="1">
        <v>0</v>
      </c>
      <c r="K10" s="1">
        <v>0</v>
      </c>
      <c r="L10" s="23">
        <v>25</v>
      </c>
      <c r="M10" s="23">
        <f t="shared" si="0"/>
        <v>25</v>
      </c>
      <c r="N10" s="2"/>
    </row>
    <row r="11" spans="1:14" ht="19.5" customHeight="1" x14ac:dyDescent="0.3">
      <c r="A11" s="8">
        <v>44627</v>
      </c>
      <c r="B11" s="55"/>
      <c r="C11" s="55"/>
      <c r="D11" s="21">
        <v>213.8</v>
      </c>
      <c r="E11" s="26">
        <v>949</v>
      </c>
      <c r="F11" s="24">
        <v>212.7</v>
      </c>
      <c r="G11" s="11">
        <v>834.14</v>
      </c>
      <c r="H11" s="9">
        <v>1</v>
      </c>
      <c r="I11" s="23">
        <v>0</v>
      </c>
      <c r="J11" s="1">
        <v>0</v>
      </c>
      <c r="K11" s="1">
        <v>0</v>
      </c>
      <c r="L11" s="23">
        <v>25</v>
      </c>
      <c r="M11" s="23">
        <f t="shared" si="0"/>
        <v>25</v>
      </c>
      <c r="N11" s="2"/>
    </row>
    <row r="12" spans="1:14" ht="19.5" customHeight="1" x14ac:dyDescent="0.3">
      <c r="A12" s="8">
        <v>44628</v>
      </c>
      <c r="B12" s="55"/>
      <c r="C12" s="55"/>
      <c r="D12" s="21">
        <v>213.8</v>
      </c>
      <c r="E12" s="26">
        <v>949</v>
      </c>
      <c r="F12" s="24">
        <v>212.68</v>
      </c>
      <c r="G12" s="11">
        <v>832.02099999999996</v>
      </c>
      <c r="H12" s="9">
        <v>1</v>
      </c>
      <c r="I12" s="23">
        <v>0</v>
      </c>
      <c r="J12" s="1">
        <v>0</v>
      </c>
      <c r="K12" s="1">
        <v>0</v>
      </c>
      <c r="L12" s="23">
        <v>25</v>
      </c>
      <c r="M12" s="23">
        <f t="shared" si="0"/>
        <v>25</v>
      </c>
      <c r="N12" s="2"/>
    </row>
    <row r="13" spans="1:14" ht="19.5" customHeight="1" x14ac:dyDescent="0.3">
      <c r="A13" s="8">
        <v>44629</v>
      </c>
      <c r="B13" s="55"/>
      <c r="C13" s="55"/>
      <c r="D13" s="21">
        <v>213.8</v>
      </c>
      <c r="E13" s="26">
        <v>949</v>
      </c>
      <c r="F13" s="25">
        <v>212.66</v>
      </c>
      <c r="G13" s="24">
        <v>829.90200000000004</v>
      </c>
      <c r="H13" s="9">
        <v>1</v>
      </c>
      <c r="I13" s="23">
        <v>0</v>
      </c>
      <c r="J13" s="1">
        <v>0</v>
      </c>
      <c r="K13" s="1">
        <v>0</v>
      </c>
      <c r="L13" s="23">
        <v>25</v>
      </c>
      <c r="M13" s="23">
        <f t="shared" si="0"/>
        <v>25</v>
      </c>
      <c r="N13" s="2"/>
    </row>
    <row r="14" spans="1:14" ht="19.5" customHeight="1" x14ac:dyDescent="0.3">
      <c r="A14" s="8">
        <v>44630</v>
      </c>
      <c r="B14" s="55"/>
      <c r="C14" s="55"/>
      <c r="D14" s="21">
        <v>213.8</v>
      </c>
      <c r="E14" s="26">
        <v>949</v>
      </c>
      <c r="F14" s="24">
        <v>212.64</v>
      </c>
      <c r="G14" s="11">
        <v>827.78300000000002</v>
      </c>
      <c r="H14" s="9">
        <v>1</v>
      </c>
      <c r="I14" s="23">
        <v>0</v>
      </c>
      <c r="J14" s="1">
        <v>0</v>
      </c>
      <c r="K14" s="1">
        <v>0</v>
      </c>
      <c r="L14" s="23">
        <v>25</v>
      </c>
      <c r="M14" s="23">
        <f t="shared" si="0"/>
        <v>25</v>
      </c>
      <c r="N14" s="2"/>
    </row>
    <row r="15" spans="1:14" ht="19.5" customHeight="1" x14ac:dyDescent="0.3">
      <c r="A15" s="8">
        <v>44631</v>
      </c>
      <c r="B15" s="55"/>
      <c r="C15" s="55"/>
      <c r="D15" s="21">
        <v>213.8</v>
      </c>
      <c r="E15" s="26">
        <v>949</v>
      </c>
      <c r="F15" s="24">
        <v>212.62</v>
      </c>
      <c r="G15" s="11">
        <v>825.66399999999999</v>
      </c>
      <c r="H15" s="9">
        <v>1</v>
      </c>
      <c r="I15" s="23">
        <v>0</v>
      </c>
      <c r="J15" s="1">
        <v>0</v>
      </c>
      <c r="K15" s="1">
        <v>0</v>
      </c>
      <c r="L15" s="23">
        <v>25</v>
      </c>
      <c r="M15" s="23">
        <f t="shared" si="0"/>
        <v>25</v>
      </c>
      <c r="N15" s="2"/>
    </row>
    <row r="16" spans="1:14" ht="19.5" customHeight="1" x14ac:dyDescent="0.3">
      <c r="A16" s="8">
        <v>44632</v>
      </c>
      <c r="B16" s="55"/>
      <c r="C16" s="55"/>
      <c r="D16" s="21">
        <v>213.8</v>
      </c>
      <c r="E16" s="26">
        <v>949</v>
      </c>
      <c r="F16" s="24">
        <v>212.6</v>
      </c>
      <c r="G16" s="11">
        <v>823.54499999999996</v>
      </c>
      <c r="H16" s="9">
        <v>1</v>
      </c>
      <c r="I16" s="23">
        <v>0</v>
      </c>
      <c r="J16" s="1">
        <v>0</v>
      </c>
      <c r="K16" s="1">
        <v>0</v>
      </c>
      <c r="L16" s="23">
        <v>25</v>
      </c>
      <c r="M16" s="23">
        <f t="shared" si="0"/>
        <v>25</v>
      </c>
      <c r="N16" s="2"/>
    </row>
    <row r="17" spans="1:15" ht="19.5" customHeight="1" x14ac:dyDescent="0.3">
      <c r="A17" s="8">
        <v>44633</v>
      </c>
      <c r="B17" s="55"/>
      <c r="C17" s="55"/>
      <c r="D17" s="21">
        <v>213.8</v>
      </c>
      <c r="E17" s="26">
        <v>949</v>
      </c>
      <c r="F17" s="24">
        <v>212.58</v>
      </c>
      <c r="G17" s="11">
        <v>821.42700000000002</v>
      </c>
      <c r="H17" s="9">
        <v>1</v>
      </c>
      <c r="I17" s="23">
        <v>0</v>
      </c>
      <c r="J17" s="1">
        <v>0</v>
      </c>
      <c r="K17" s="1">
        <v>0</v>
      </c>
      <c r="L17" s="23">
        <v>25</v>
      </c>
      <c r="M17" s="23">
        <f t="shared" si="0"/>
        <v>25</v>
      </c>
      <c r="N17" s="2"/>
    </row>
    <row r="18" spans="1:15" ht="19.5" customHeight="1" x14ac:dyDescent="0.3">
      <c r="A18" s="8">
        <v>44634</v>
      </c>
      <c r="B18" s="55"/>
      <c r="C18" s="55"/>
      <c r="D18" s="21">
        <v>213.8</v>
      </c>
      <c r="E18" s="26">
        <v>949</v>
      </c>
      <c r="F18" s="24">
        <v>212.56</v>
      </c>
      <c r="G18" s="11">
        <v>819.30799999999999</v>
      </c>
      <c r="H18" s="9">
        <v>1</v>
      </c>
      <c r="I18" s="23">
        <v>0</v>
      </c>
      <c r="J18" s="1">
        <v>0</v>
      </c>
      <c r="K18" s="1">
        <v>0</v>
      </c>
      <c r="L18" s="23">
        <v>25</v>
      </c>
      <c r="M18" s="23">
        <f t="shared" si="0"/>
        <v>25</v>
      </c>
      <c r="N18" s="2"/>
    </row>
    <row r="19" spans="1:15" ht="19.5" customHeight="1" x14ac:dyDescent="0.3">
      <c r="A19" s="8">
        <v>44635</v>
      </c>
      <c r="B19" s="55"/>
      <c r="C19" s="55"/>
      <c r="D19" s="21">
        <v>213.8</v>
      </c>
      <c r="E19" s="26">
        <v>949</v>
      </c>
      <c r="F19" s="24">
        <v>212.54</v>
      </c>
      <c r="G19" s="11">
        <v>817.18399999999997</v>
      </c>
      <c r="H19" s="9">
        <v>1</v>
      </c>
      <c r="I19" s="23">
        <v>0</v>
      </c>
      <c r="J19" s="1">
        <v>0</v>
      </c>
      <c r="K19" s="1">
        <v>0</v>
      </c>
      <c r="L19" s="23">
        <v>25</v>
      </c>
      <c r="M19" s="23">
        <f t="shared" si="0"/>
        <v>25</v>
      </c>
      <c r="N19" s="2"/>
    </row>
    <row r="20" spans="1:15" ht="19.5" customHeight="1" x14ac:dyDescent="0.3">
      <c r="A20" s="8">
        <v>44636</v>
      </c>
      <c r="B20" s="55"/>
      <c r="C20" s="55"/>
      <c r="D20" s="21">
        <v>213.8</v>
      </c>
      <c r="E20" s="26">
        <v>949</v>
      </c>
      <c r="F20" s="24">
        <v>212.52</v>
      </c>
      <c r="G20" s="11">
        <v>815.07</v>
      </c>
      <c r="H20" s="9">
        <v>1</v>
      </c>
      <c r="I20" s="23">
        <v>0</v>
      </c>
      <c r="J20" s="1">
        <v>0</v>
      </c>
      <c r="K20" s="1">
        <v>0</v>
      </c>
      <c r="L20" s="23">
        <v>25</v>
      </c>
      <c r="M20" s="23">
        <f t="shared" si="0"/>
        <v>25</v>
      </c>
      <c r="N20" s="2"/>
    </row>
    <row r="21" spans="1:15" ht="19.5" customHeight="1" x14ac:dyDescent="0.3">
      <c r="A21" s="8">
        <v>44637</v>
      </c>
      <c r="B21" s="55"/>
      <c r="C21" s="55"/>
      <c r="D21" s="21">
        <v>213.8</v>
      </c>
      <c r="E21" s="26">
        <v>949</v>
      </c>
      <c r="F21" s="24">
        <v>212.5</v>
      </c>
      <c r="G21" s="11">
        <v>812.95100000000002</v>
      </c>
      <c r="H21" s="9">
        <v>1</v>
      </c>
      <c r="I21" s="23">
        <v>0</v>
      </c>
      <c r="J21" s="1">
        <v>0</v>
      </c>
      <c r="K21" s="1">
        <v>0</v>
      </c>
      <c r="L21" s="23">
        <v>25</v>
      </c>
      <c r="M21" s="23">
        <f t="shared" si="0"/>
        <v>25</v>
      </c>
      <c r="N21" s="2"/>
    </row>
    <row r="22" spans="1:15" ht="19.5" customHeight="1" x14ac:dyDescent="0.3">
      <c r="A22" s="8">
        <v>44638</v>
      </c>
      <c r="B22" s="55"/>
      <c r="C22" s="55"/>
      <c r="D22" s="21">
        <v>213.8</v>
      </c>
      <c r="E22" s="26">
        <v>949</v>
      </c>
      <c r="F22" s="24">
        <v>212.48</v>
      </c>
      <c r="G22" s="11">
        <v>810.83199999999999</v>
      </c>
      <c r="H22" s="9">
        <v>1</v>
      </c>
      <c r="I22" s="23">
        <v>0</v>
      </c>
      <c r="J22" s="1">
        <v>0</v>
      </c>
      <c r="K22" s="1">
        <v>0</v>
      </c>
      <c r="L22" s="23">
        <v>25</v>
      </c>
      <c r="M22" s="23">
        <f t="shared" si="0"/>
        <v>25</v>
      </c>
      <c r="N22" s="2"/>
    </row>
    <row r="23" spans="1:15" ht="19.5" customHeight="1" x14ac:dyDescent="0.3">
      <c r="A23" s="8">
        <v>44639</v>
      </c>
      <c r="B23" s="55"/>
      <c r="C23" s="55"/>
      <c r="D23" s="21">
        <v>213.8</v>
      </c>
      <c r="E23" s="26">
        <v>949</v>
      </c>
      <c r="F23" s="24">
        <v>212.46</v>
      </c>
      <c r="G23" s="11">
        <v>808.71299999999997</v>
      </c>
      <c r="H23" s="9">
        <v>1</v>
      </c>
      <c r="I23" s="23">
        <v>0</v>
      </c>
      <c r="J23" s="1">
        <v>0</v>
      </c>
      <c r="K23" s="1">
        <v>0</v>
      </c>
      <c r="L23" s="23">
        <v>25</v>
      </c>
      <c r="M23" s="23">
        <f t="shared" si="0"/>
        <v>25</v>
      </c>
      <c r="N23" s="2"/>
    </row>
    <row r="24" spans="1:15" ht="19.5" customHeight="1" x14ac:dyDescent="0.3">
      <c r="A24" s="8">
        <v>44640</v>
      </c>
      <c r="B24" s="55"/>
      <c r="C24" s="55"/>
      <c r="D24" s="21">
        <v>213.8</v>
      </c>
      <c r="E24" s="26">
        <v>949</v>
      </c>
      <c r="F24" s="24">
        <v>212.44</v>
      </c>
      <c r="G24" s="11">
        <v>806.59400000000005</v>
      </c>
      <c r="H24" s="9">
        <v>1</v>
      </c>
      <c r="I24" s="23">
        <v>0</v>
      </c>
      <c r="J24" s="1">
        <v>0</v>
      </c>
      <c r="K24" s="1">
        <v>0</v>
      </c>
      <c r="L24" s="23">
        <v>25</v>
      </c>
      <c r="M24" s="23">
        <f t="shared" si="0"/>
        <v>25</v>
      </c>
      <c r="N24" s="2"/>
    </row>
    <row r="25" spans="1:15" ht="19.5" customHeight="1" x14ac:dyDescent="0.3">
      <c r="A25" s="8">
        <v>44641</v>
      </c>
      <c r="B25" s="55"/>
      <c r="C25" s="55"/>
      <c r="D25" s="21">
        <v>213.8</v>
      </c>
      <c r="E25" s="26">
        <v>949</v>
      </c>
      <c r="F25" s="24">
        <v>212.42</v>
      </c>
      <c r="G25" s="11">
        <v>804.82799999999997</v>
      </c>
      <c r="H25" s="9">
        <v>5</v>
      </c>
      <c r="I25" s="23">
        <v>0</v>
      </c>
      <c r="J25" s="1">
        <v>0</v>
      </c>
      <c r="K25" s="1">
        <v>0</v>
      </c>
      <c r="L25" s="23">
        <v>25</v>
      </c>
      <c r="M25" s="23">
        <f t="shared" si="0"/>
        <v>25</v>
      </c>
      <c r="N25" s="2"/>
    </row>
    <row r="26" spans="1:15" ht="19.5" customHeight="1" x14ac:dyDescent="0.3">
      <c r="A26" s="8">
        <v>44642</v>
      </c>
      <c r="B26" s="55"/>
      <c r="C26" s="55"/>
      <c r="D26" s="21">
        <v>213.8</v>
      </c>
      <c r="E26" s="26">
        <v>949</v>
      </c>
      <c r="F26" s="24">
        <v>212.4</v>
      </c>
      <c r="G26" s="11">
        <v>802.70899999999995</v>
      </c>
      <c r="H26" s="9">
        <v>1</v>
      </c>
      <c r="I26" s="23">
        <v>0</v>
      </c>
      <c r="J26" s="1">
        <v>0</v>
      </c>
      <c r="K26" s="1">
        <v>0</v>
      </c>
      <c r="L26" s="23">
        <v>25</v>
      </c>
      <c r="M26" s="23">
        <f t="shared" si="0"/>
        <v>25</v>
      </c>
      <c r="N26" s="2"/>
      <c r="O26" s="18"/>
    </row>
    <row r="27" spans="1:15" ht="19.5" customHeight="1" x14ac:dyDescent="0.3">
      <c r="A27" s="8">
        <v>44643</v>
      </c>
      <c r="B27" s="55"/>
      <c r="C27" s="55"/>
      <c r="D27" s="21">
        <v>213.8</v>
      </c>
      <c r="E27" s="26">
        <v>949</v>
      </c>
      <c r="F27" s="24">
        <v>212.38</v>
      </c>
      <c r="G27" s="11">
        <v>800.59100000000001</v>
      </c>
      <c r="H27" s="9">
        <v>1</v>
      </c>
      <c r="I27" s="23">
        <v>0</v>
      </c>
      <c r="J27" s="1">
        <v>0</v>
      </c>
      <c r="K27" s="1">
        <v>0</v>
      </c>
      <c r="L27" s="23">
        <v>25</v>
      </c>
      <c r="M27" s="23">
        <f t="shared" si="0"/>
        <v>25</v>
      </c>
      <c r="N27" s="2"/>
    </row>
    <row r="28" spans="1:15" ht="19.5" customHeight="1" x14ac:dyDescent="0.3">
      <c r="A28" s="8">
        <v>44644</v>
      </c>
      <c r="B28" s="55"/>
      <c r="C28" s="55"/>
      <c r="D28" s="21">
        <v>213.8</v>
      </c>
      <c r="E28" s="26">
        <v>949</v>
      </c>
      <c r="F28" s="24">
        <v>212.36</v>
      </c>
      <c r="G28" s="11">
        <v>798.47199999999998</v>
      </c>
      <c r="H28" s="9">
        <v>1</v>
      </c>
      <c r="I28" s="23">
        <v>0</v>
      </c>
      <c r="J28" s="1">
        <v>0</v>
      </c>
      <c r="K28" s="1">
        <v>0</v>
      </c>
      <c r="L28" s="23">
        <v>25</v>
      </c>
      <c r="M28" s="23">
        <f t="shared" si="0"/>
        <v>25</v>
      </c>
      <c r="N28" s="2"/>
    </row>
    <row r="29" spans="1:15" ht="19.5" customHeight="1" x14ac:dyDescent="0.3">
      <c r="A29" s="8">
        <v>44645</v>
      </c>
      <c r="B29" s="55"/>
      <c r="C29" s="55"/>
      <c r="D29" s="21">
        <v>213.8</v>
      </c>
      <c r="E29" s="26">
        <v>949</v>
      </c>
      <c r="F29" s="24">
        <v>212.34</v>
      </c>
      <c r="G29" s="11">
        <v>796.35299999999995</v>
      </c>
      <c r="H29" s="9">
        <v>1</v>
      </c>
      <c r="I29" s="23">
        <v>0</v>
      </c>
      <c r="J29" s="1">
        <v>0</v>
      </c>
      <c r="K29" s="1">
        <v>0</v>
      </c>
      <c r="L29" s="23">
        <v>25</v>
      </c>
      <c r="M29" s="23">
        <f t="shared" si="0"/>
        <v>25</v>
      </c>
      <c r="N29" s="2"/>
    </row>
    <row r="30" spans="1:15" ht="19.5" customHeight="1" x14ac:dyDescent="0.3">
      <c r="A30" s="8">
        <v>44646</v>
      </c>
      <c r="B30" s="55"/>
      <c r="C30" s="55"/>
      <c r="D30" s="21">
        <v>213.8</v>
      </c>
      <c r="E30" s="26">
        <v>949</v>
      </c>
      <c r="F30" s="24">
        <v>212.32</v>
      </c>
      <c r="G30" s="11">
        <v>794.23400000000004</v>
      </c>
      <c r="H30" s="9">
        <v>1</v>
      </c>
      <c r="I30" s="23">
        <v>0</v>
      </c>
      <c r="J30" s="1">
        <v>0</v>
      </c>
      <c r="K30" s="1">
        <v>0</v>
      </c>
      <c r="L30" s="23">
        <v>25</v>
      </c>
      <c r="M30" s="23">
        <f t="shared" si="0"/>
        <v>25</v>
      </c>
      <c r="N30" s="2"/>
    </row>
    <row r="31" spans="1:15" ht="21" customHeight="1" x14ac:dyDescent="0.3">
      <c r="A31" s="8">
        <v>44647</v>
      </c>
      <c r="B31" s="55"/>
      <c r="C31" s="55"/>
      <c r="D31" s="21">
        <v>213.8</v>
      </c>
      <c r="E31" s="26">
        <v>949</v>
      </c>
      <c r="F31" s="24">
        <v>212.3</v>
      </c>
      <c r="G31" s="11">
        <v>792.11500000000001</v>
      </c>
      <c r="H31" s="9">
        <v>1</v>
      </c>
      <c r="I31" s="23">
        <v>0</v>
      </c>
      <c r="J31" s="1">
        <v>0</v>
      </c>
      <c r="K31" s="1">
        <v>0</v>
      </c>
      <c r="L31" s="23">
        <v>25</v>
      </c>
      <c r="M31" s="23">
        <f t="shared" si="0"/>
        <v>25</v>
      </c>
      <c r="N31" s="2"/>
    </row>
    <row r="32" spans="1:15" ht="21" customHeight="1" x14ac:dyDescent="0.3">
      <c r="A32" s="8">
        <v>44648</v>
      </c>
      <c r="B32" s="55"/>
      <c r="C32" s="55"/>
      <c r="D32" s="21">
        <v>213.8</v>
      </c>
      <c r="E32" s="26">
        <v>949</v>
      </c>
      <c r="F32" s="24">
        <v>212.28</v>
      </c>
      <c r="G32" s="11">
        <v>789.99599999999998</v>
      </c>
      <c r="H32" s="9">
        <v>1</v>
      </c>
      <c r="I32" s="23">
        <v>0</v>
      </c>
      <c r="J32" s="1">
        <v>0</v>
      </c>
      <c r="K32" s="1">
        <v>0</v>
      </c>
      <c r="L32" s="23">
        <v>25</v>
      </c>
      <c r="M32" s="23">
        <f t="shared" si="0"/>
        <v>25</v>
      </c>
      <c r="N32" s="2"/>
    </row>
    <row r="33" spans="1:15" ht="21" customHeight="1" x14ac:dyDescent="0.3">
      <c r="A33" s="8">
        <v>44649</v>
      </c>
      <c r="B33" s="55"/>
      <c r="C33" s="55"/>
      <c r="D33" s="21">
        <v>213.8</v>
      </c>
      <c r="E33" s="26">
        <v>949</v>
      </c>
      <c r="F33" s="24">
        <v>212.26</v>
      </c>
      <c r="G33" s="11">
        <v>788.23</v>
      </c>
      <c r="H33" s="9">
        <v>5</v>
      </c>
      <c r="I33" s="23">
        <v>0</v>
      </c>
      <c r="J33" s="1">
        <v>0</v>
      </c>
      <c r="K33" s="1">
        <v>0</v>
      </c>
      <c r="L33" s="23">
        <v>25</v>
      </c>
      <c r="M33" s="23">
        <f t="shared" si="0"/>
        <v>25</v>
      </c>
      <c r="N33" s="2"/>
    </row>
    <row r="34" spans="1:15" ht="21" customHeight="1" x14ac:dyDescent="0.3">
      <c r="A34" s="8">
        <v>44650</v>
      </c>
      <c r="B34" s="55"/>
      <c r="C34" s="55"/>
      <c r="D34" s="21">
        <v>213.8</v>
      </c>
      <c r="E34" s="26">
        <v>949</v>
      </c>
      <c r="F34" s="24">
        <v>212.24</v>
      </c>
      <c r="G34" s="11">
        <v>786.11099999999999</v>
      </c>
      <c r="H34" s="9">
        <v>1</v>
      </c>
      <c r="I34" s="23">
        <v>0</v>
      </c>
      <c r="J34" s="1">
        <v>0</v>
      </c>
      <c r="K34" s="1">
        <v>0</v>
      </c>
      <c r="L34" s="23">
        <v>25</v>
      </c>
      <c r="M34" s="23">
        <f t="shared" si="0"/>
        <v>25</v>
      </c>
      <c r="N34" s="2"/>
    </row>
    <row r="35" spans="1:15" ht="21" customHeight="1" x14ac:dyDescent="0.3">
      <c r="A35" s="8">
        <v>44651</v>
      </c>
      <c r="B35" s="56"/>
      <c r="C35" s="56"/>
      <c r="D35" s="22">
        <v>213.8</v>
      </c>
      <c r="E35" s="26">
        <v>949</v>
      </c>
      <c r="F35" s="24">
        <v>212.22</v>
      </c>
      <c r="G35" s="11">
        <v>783.99300000000005</v>
      </c>
      <c r="H35" s="9">
        <v>1</v>
      </c>
      <c r="I35" s="23">
        <v>0</v>
      </c>
      <c r="J35" s="1">
        <v>0</v>
      </c>
      <c r="K35" s="1">
        <v>0</v>
      </c>
      <c r="L35" s="23">
        <v>25</v>
      </c>
      <c r="M35" s="23">
        <f t="shared" si="0"/>
        <v>25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39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775</v>
      </c>
      <c r="M36" s="16">
        <f t="shared" si="1"/>
        <v>775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3.3696215655780199E-3</v>
      </c>
      <c r="I37" s="5">
        <f t="shared" ref="I37:M37" si="2">I36/11574</f>
        <v>0</v>
      </c>
      <c r="J37" s="5">
        <f t="shared" si="2"/>
        <v>0</v>
      </c>
      <c r="K37" s="5">
        <f t="shared" si="2"/>
        <v>0</v>
      </c>
      <c r="L37" s="5">
        <f t="shared" si="2"/>
        <v>6.6960428546742695E-2</v>
      </c>
      <c r="M37" s="5">
        <f t="shared" si="2"/>
        <v>6.6960428546742695E-2</v>
      </c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01"/>
  <sheetViews>
    <sheetView view="pageBreakPreview" topLeftCell="A17" zoomScale="60" workbookViewId="0">
      <selection activeCell="G34" sqref="G5:G34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6.4414062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44652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212.2</v>
      </c>
      <c r="G5" s="35">
        <v>781.87400000000002</v>
      </c>
      <c r="H5" s="35">
        <v>1</v>
      </c>
      <c r="I5" s="35">
        <v>0</v>
      </c>
      <c r="J5" s="35">
        <v>0</v>
      </c>
      <c r="K5" s="35">
        <v>0</v>
      </c>
      <c r="L5" s="35">
        <v>25</v>
      </c>
      <c r="M5" s="23">
        <f>L5+K5+J5+I5</f>
        <v>25</v>
      </c>
      <c r="N5" s="2"/>
    </row>
    <row r="6" spans="1:14" ht="19.5" customHeight="1" x14ac:dyDescent="0.3">
      <c r="A6" s="8">
        <v>44653</v>
      </c>
      <c r="B6" s="55"/>
      <c r="C6" s="55"/>
      <c r="D6" s="21">
        <v>213.8</v>
      </c>
      <c r="E6" s="26">
        <v>949</v>
      </c>
      <c r="F6" s="35">
        <v>212.18</v>
      </c>
      <c r="G6" s="35">
        <v>779.755</v>
      </c>
      <c r="H6" s="35">
        <v>1</v>
      </c>
      <c r="I6" s="35">
        <v>0</v>
      </c>
      <c r="J6" s="35">
        <v>0</v>
      </c>
      <c r="K6" s="35">
        <v>0</v>
      </c>
      <c r="L6" s="35">
        <v>25</v>
      </c>
      <c r="M6" s="23">
        <f t="shared" ref="M6:M34" si="0">L6+K6+J6+I6</f>
        <v>25</v>
      </c>
      <c r="N6" s="2"/>
    </row>
    <row r="7" spans="1:14" ht="19.5" customHeight="1" x14ac:dyDescent="0.3">
      <c r="A7" s="8">
        <v>44654</v>
      </c>
      <c r="B7" s="55"/>
      <c r="C7" s="55"/>
      <c r="D7" s="21">
        <v>213.8</v>
      </c>
      <c r="E7" s="26">
        <v>949</v>
      </c>
      <c r="F7" s="35">
        <v>212.16</v>
      </c>
      <c r="G7" s="35">
        <v>777.63599999999997</v>
      </c>
      <c r="H7" s="35">
        <v>1</v>
      </c>
      <c r="I7" s="35">
        <v>0</v>
      </c>
      <c r="J7" s="35">
        <v>0</v>
      </c>
      <c r="K7" s="35">
        <v>0</v>
      </c>
      <c r="L7" s="35">
        <v>25</v>
      </c>
      <c r="M7" s="23">
        <f t="shared" si="0"/>
        <v>25</v>
      </c>
      <c r="N7" s="2"/>
    </row>
    <row r="8" spans="1:14" ht="19.5" customHeight="1" x14ac:dyDescent="0.3">
      <c r="A8" s="8">
        <v>44655</v>
      </c>
      <c r="B8" s="55"/>
      <c r="C8" s="55"/>
      <c r="D8" s="21">
        <v>213.8</v>
      </c>
      <c r="E8" s="26">
        <v>949</v>
      </c>
      <c r="F8" s="35">
        <v>212.14</v>
      </c>
      <c r="G8" s="35">
        <v>775.51700000000005</v>
      </c>
      <c r="H8" s="35">
        <v>1</v>
      </c>
      <c r="I8" s="35">
        <v>0</v>
      </c>
      <c r="J8" s="35">
        <v>0</v>
      </c>
      <c r="K8" s="35">
        <v>0</v>
      </c>
      <c r="L8" s="35">
        <v>25</v>
      </c>
      <c r="M8" s="23">
        <f t="shared" si="0"/>
        <v>25</v>
      </c>
      <c r="N8" s="2"/>
    </row>
    <row r="9" spans="1:14" ht="19.5" customHeight="1" x14ac:dyDescent="0.3">
      <c r="A9" s="8">
        <v>44656</v>
      </c>
      <c r="B9" s="55"/>
      <c r="C9" s="55"/>
      <c r="D9" s="21">
        <v>213.8</v>
      </c>
      <c r="E9" s="26">
        <v>949</v>
      </c>
      <c r="F9" s="35">
        <v>212.12</v>
      </c>
      <c r="G9" s="35">
        <v>773.39800000000002</v>
      </c>
      <c r="H9" s="35">
        <v>1</v>
      </c>
      <c r="I9" s="35">
        <v>0</v>
      </c>
      <c r="J9" s="35">
        <v>0</v>
      </c>
      <c r="K9" s="35">
        <v>0</v>
      </c>
      <c r="L9" s="35">
        <v>25</v>
      </c>
      <c r="M9" s="23">
        <f t="shared" si="0"/>
        <v>25</v>
      </c>
      <c r="N9" s="2"/>
    </row>
    <row r="10" spans="1:14" ht="19.5" customHeight="1" x14ac:dyDescent="0.3">
      <c r="A10" s="8">
        <v>44657</v>
      </c>
      <c r="B10" s="55"/>
      <c r="C10" s="55"/>
      <c r="D10" s="21">
        <v>213.8</v>
      </c>
      <c r="E10" s="26">
        <v>949</v>
      </c>
      <c r="F10" s="35">
        <v>212.1</v>
      </c>
      <c r="G10" s="35">
        <v>771.279</v>
      </c>
      <c r="H10" s="35">
        <v>1</v>
      </c>
      <c r="I10" s="35">
        <v>0</v>
      </c>
      <c r="J10" s="35">
        <v>0</v>
      </c>
      <c r="K10" s="35">
        <v>0</v>
      </c>
      <c r="L10" s="35">
        <v>25</v>
      </c>
      <c r="M10" s="23">
        <f t="shared" si="0"/>
        <v>25</v>
      </c>
      <c r="N10" s="2"/>
    </row>
    <row r="11" spans="1:14" ht="19.5" customHeight="1" x14ac:dyDescent="0.3">
      <c r="A11" s="8">
        <v>44658</v>
      </c>
      <c r="B11" s="55"/>
      <c r="C11" s="55"/>
      <c r="D11" s="21">
        <v>213.8</v>
      </c>
      <c r="E11" s="26">
        <v>949</v>
      </c>
      <c r="F11" s="36">
        <v>212.09</v>
      </c>
      <c r="G11" s="37">
        <v>770.22</v>
      </c>
      <c r="H11" s="35">
        <v>1</v>
      </c>
      <c r="I11" s="35">
        <v>0</v>
      </c>
      <c r="J11" s="35">
        <v>0</v>
      </c>
      <c r="K11" s="35">
        <v>0</v>
      </c>
      <c r="L11" s="35">
        <v>25</v>
      </c>
      <c r="M11" s="23">
        <f t="shared" si="0"/>
        <v>25</v>
      </c>
      <c r="N11" s="2"/>
    </row>
    <row r="12" spans="1:14" ht="19.5" customHeight="1" x14ac:dyDescent="0.3">
      <c r="A12" s="8">
        <v>44659</v>
      </c>
      <c r="B12" s="55"/>
      <c r="C12" s="55"/>
      <c r="D12" s="21">
        <v>213.8</v>
      </c>
      <c r="E12" s="26">
        <v>949</v>
      </c>
      <c r="F12" s="35">
        <v>212.07</v>
      </c>
      <c r="G12" s="35">
        <v>768.101</v>
      </c>
      <c r="H12" s="35">
        <v>1</v>
      </c>
      <c r="I12" s="35">
        <v>0</v>
      </c>
      <c r="J12" s="35">
        <v>0</v>
      </c>
      <c r="K12" s="35">
        <v>0</v>
      </c>
      <c r="L12" s="35">
        <v>25</v>
      </c>
      <c r="M12" s="23">
        <f t="shared" si="0"/>
        <v>25</v>
      </c>
      <c r="N12" s="2"/>
    </row>
    <row r="13" spans="1:14" ht="19.5" customHeight="1" x14ac:dyDescent="0.3">
      <c r="A13" s="8">
        <v>44660</v>
      </c>
      <c r="B13" s="55"/>
      <c r="C13" s="55"/>
      <c r="D13" s="21">
        <v>213.8</v>
      </c>
      <c r="E13" s="26">
        <v>949</v>
      </c>
      <c r="F13" s="35">
        <v>212.05</v>
      </c>
      <c r="G13" s="35">
        <v>765.98199999999997</v>
      </c>
      <c r="H13" s="35">
        <v>1</v>
      </c>
      <c r="I13" s="35">
        <v>0</v>
      </c>
      <c r="J13" s="35">
        <v>0</v>
      </c>
      <c r="K13" s="35">
        <v>0</v>
      </c>
      <c r="L13" s="35">
        <v>25</v>
      </c>
      <c r="M13" s="23">
        <f t="shared" si="0"/>
        <v>25</v>
      </c>
      <c r="N13" s="2"/>
    </row>
    <row r="14" spans="1:14" ht="19.5" customHeight="1" x14ac:dyDescent="0.3">
      <c r="A14" s="8">
        <v>44661</v>
      </c>
      <c r="B14" s="55"/>
      <c r="C14" s="55"/>
      <c r="D14" s="21">
        <v>213.8</v>
      </c>
      <c r="E14" s="26">
        <v>949</v>
      </c>
      <c r="F14" s="35">
        <v>212.03</v>
      </c>
      <c r="G14" s="35">
        <v>763.86300000000006</v>
      </c>
      <c r="H14" s="35">
        <v>1</v>
      </c>
      <c r="I14" s="35">
        <v>0</v>
      </c>
      <c r="J14" s="35">
        <v>0</v>
      </c>
      <c r="K14" s="35">
        <v>0</v>
      </c>
      <c r="L14" s="35">
        <v>25</v>
      </c>
      <c r="M14" s="23">
        <f t="shared" si="0"/>
        <v>25</v>
      </c>
      <c r="N14" s="2"/>
    </row>
    <row r="15" spans="1:14" ht="19.5" customHeight="1" x14ac:dyDescent="0.3">
      <c r="A15" s="8">
        <v>44662</v>
      </c>
      <c r="B15" s="55"/>
      <c r="C15" s="55"/>
      <c r="D15" s="21">
        <v>213.8</v>
      </c>
      <c r="E15" s="26">
        <v>949</v>
      </c>
      <c r="F15" s="35">
        <v>212.01</v>
      </c>
      <c r="G15" s="35">
        <v>761.74400000000003</v>
      </c>
      <c r="H15" s="35">
        <v>1</v>
      </c>
      <c r="I15" s="35">
        <v>0</v>
      </c>
      <c r="J15" s="35">
        <v>0</v>
      </c>
      <c r="K15" s="35">
        <v>0</v>
      </c>
      <c r="L15" s="35">
        <v>25</v>
      </c>
      <c r="M15" s="23">
        <f t="shared" si="0"/>
        <v>25</v>
      </c>
      <c r="N15" s="2"/>
    </row>
    <row r="16" spans="1:14" ht="19.5" customHeight="1" x14ac:dyDescent="0.3">
      <c r="A16" s="8">
        <v>44663</v>
      </c>
      <c r="B16" s="55"/>
      <c r="C16" s="55"/>
      <c r="D16" s="21">
        <v>213.8</v>
      </c>
      <c r="E16" s="26">
        <v>949</v>
      </c>
      <c r="F16" s="36">
        <v>211.99</v>
      </c>
      <c r="G16" s="35">
        <v>759.625</v>
      </c>
      <c r="H16" s="35">
        <v>1</v>
      </c>
      <c r="I16" s="35">
        <v>0</v>
      </c>
      <c r="J16" s="35">
        <v>0</v>
      </c>
      <c r="K16" s="35">
        <v>0</v>
      </c>
      <c r="L16" s="35">
        <v>25</v>
      </c>
      <c r="M16" s="23">
        <f t="shared" si="0"/>
        <v>25</v>
      </c>
      <c r="N16" s="2"/>
    </row>
    <row r="17" spans="1:15" ht="19.5" customHeight="1" x14ac:dyDescent="0.3">
      <c r="A17" s="8">
        <v>44664</v>
      </c>
      <c r="B17" s="55"/>
      <c r="C17" s="55"/>
      <c r="D17" s="21">
        <v>213.8</v>
      </c>
      <c r="E17" s="26">
        <v>949</v>
      </c>
      <c r="F17" s="35">
        <v>211.97</v>
      </c>
      <c r="G17" s="35">
        <v>757.50599999999997</v>
      </c>
      <c r="H17" s="35">
        <v>1</v>
      </c>
      <c r="I17" s="35">
        <v>0</v>
      </c>
      <c r="J17" s="35">
        <v>0</v>
      </c>
      <c r="K17" s="35">
        <v>0</v>
      </c>
      <c r="L17" s="35">
        <v>25</v>
      </c>
      <c r="M17" s="23">
        <f t="shared" si="0"/>
        <v>25</v>
      </c>
      <c r="N17" s="2"/>
    </row>
    <row r="18" spans="1:15" ht="19.5" customHeight="1" x14ac:dyDescent="0.3">
      <c r="A18" s="8">
        <v>44665</v>
      </c>
      <c r="B18" s="55"/>
      <c r="C18" s="55"/>
      <c r="D18" s="21">
        <v>213.8</v>
      </c>
      <c r="E18" s="26">
        <v>949</v>
      </c>
      <c r="F18" s="35">
        <v>211.95</v>
      </c>
      <c r="G18" s="35">
        <v>755.38699999999994</v>
      </c>
      <c r="H18" s="35">
        <v>1</v>
      </c>
      <c r="I18" s="35">
        <v>0</v>
      </c>
      <c r="J18" s="35">
        <v>0</v>
      </c>
      <c r="K18" s="35">
        <v>0</v>
      </c>
      <c r="L18" s="35">
        <v>25</v>
      </c>
      <c r="M18" s="23">
        <f t="shared" si="0"/>
        <v>25</v>
      </c>
      <c r="N18" s="2"/>
    </row>
    <row r="19" spans="1:15" ht="19.5" customHeight="1" x14ac:dyDescent="0.3">
      <c r="A19" s="8">
        <v>44666</v>
      </c>
      <c r="B19" s="55"/>
      <c r="C19" s="55"/>
      <c r="D19" s="21">
        <v>213.8</v>
      </c>
      <c r="E19" s="26">
        <v>949</v>
      </c>
      <c r="F19" s="35">
        <v>211.93</v>
      </c>
      <c r="G19" s="35">
        <v>753.62199999999996</v>
      </c>
      <c r="H19" s="35">
        <v>5</v>
      </c>
      <c r="I19" s="35">
        <v>0</v>
      </c>
      <c r="J19" s="35">
        <v>0</v>
      </c>
      <c r="K19" s="35">
        <v>0</v>
      </c>
      <c r="L19" s="35">
        <v>25</v>
      </c>
      <c r="M19" s="23">
        <f t="shared" si="0"/>
        <v>25</v>
      </c>
      <c r="N19" s="2"/>
    </row>
    <row r="20" spans="1:15" ht="19.5" customHeight="1" x14ac:dyDescent="0.3">
      <c r="A20" s="8">
        <v>44667</v>
      </c>
      <c r="B20" s="55"/>
      <c r="C20" s="55"/>
      <c r="D20" s="21">
        <v>213.8</v>
      </c>
      <c r="E20" s="26">
        <v>949</v>
      </c>
      <c r="F20" s="35">
        <v>211.91</v>
      </c>
      <c r="G20" s="35">
        <v>751.50300000000004</v>
      </c>
      <c r="H20" s="35">
        <v>1</v>
      </c>
      <c r="I20" s="35">
        <v>0</v>
      </c>
      <c r="J20" s="35">
        <v>0</v>
      </c>
      <c r="K20" s="35">
        <v>0</v>
      </c>
      <c r="L20" s="35">
        <v>25</v>
      </c>
      <c r="M20" s="23">
        <f t="shared" si="0"/>
        <v>25</v>
      </c>
      <c r="N20" s="2"/>
    </row>
    <row r="21" spans="1:15" ht="19.5" customHeight="1" x14ac:dyDescent="0.3">
      <c r="A21" s="8">
        <v>44668</v>
      </c>
      <c r="B21" s="55"/>
      <c r="C21" s="55"/>
      <c r="D21" s="21">
        <v>213.8</v>
      </c>
      <c r="E21" s="26">
        <v>949</v>
      </c>
      <c r="F21" s="36">
        <v>211.89</v>
      </c>
      <c r="G21" s="35">
        <v>749.38400000000001</v>
      </c>
      <c r="H21" s="35">
        <v>1</v>
      </c>
      <c r="I21" s="35">
        <v>0</v>
      </c>
      <c r="J21" s="35">
        <v>0</v>
      </c>
      <c r="K21" s="35">
        <v>0</v>
      </c>
      <c r="L21" s="35">
        <v>25</v>
      </c>
      <c r="M21" s="23">
        <f t="shared" si="0"/>
        <v>25</v>
      </c>
      <c r="N21" s="2"/>
    </row>
    <row r="22" spans="1:15" ht="19.5" customHeight="1" x14ac:dyDescent="0.3">
      <c r="A22" s="8">
        <v>44669</v>
      </c>
      <c r="B22" s="55"/>
      <c r="C22" s="55"/>
      <c r="D22" s="21">
        <v>213.8</v>
      </c>
      <c r="E22" s="26">
        <v>949</v>
      </c>
      <c r="F22" s="35">
        <v>211.89</v>
      </c>
      <c r="G22" s="35">
        <v>749.38400000000001</v>
      </c>
      <c r="H22" s="35">
        <v>25</v>
      </c>
      <c r="I22" s="35">
        <v>0</v>
      </c>
      <c r="J22" s="35">
        <v>0</v>
      </c>
      <c r="K22" s="35">
        <v>0</v>
      </c>
      <c r="L22" s="35">
        <v>25</v>
      </c>
      <c r="M22" s="23">
        <f t="shared" si="0"/>
        <v>25</v>
      </c>
      <c r="N22" s="2"/>
    </row>
    <row r="23" spans="1:15" ht="19.5" customHeight="1" x14ac:dyDescent="0.3">
      <c r="A23" s="8">
        <v>44670</v>
      </c>
      <c r="B23" s="55"/>
      <c r="C23" s="55"/>
      <c r="D23" s="21">
        <v>213.8</v>
      </c>
      <c r="E23" s="26">
        <v>949</v>
      </c>
      <c r="F23" s="35">
        <v>211.87</v>
      </c>
      <c r="G23" s="35">
        <v>747.26499999999999</v>
      </c>
      <c r="H23" s="35">
        <v>1</v>
      </c>
      <c r="I23" s="35">
        <v>0</v>
      </c>
      <c r="J23" s="35">
        <v>0</v>
      </c>
      <c r="K23" s="35">
        <v>0</v>
      </c>
      <c r="L23" s="35">
        <v>25</v>
      </c>
      <c r="M23" s="23">
        <f t="shared" si="0"/>
        <v>25</v>
      </c>
      <c r="N23" s="2"/>
    </row>
    <row r="24" spans="1:15" ht="19.5" customHeight="1" x14ac:dyDescent="0.3">
      <c r="A24" s="8">
        <v>44671</v>
      </c>
      <c r="B24" s="55"/>
      <c r="C24" s="55"/>
      <c r="D24" s="21">
        <v>213.8</v>
      </c>
      <c r="E24" s="26">
        <v>949</v>
      </c>
      <c r="F24" s="35">
        <v>211.85</v>
      </c>
      <c r="G24" s="35">
        <v>745.14599999999996</v>
      </c>
      <c r="H24" s="35">
        <v>1</v>
      </c>
      <c r="I24" s="35">
        <v>0</v>
      </c>
      <c r="J24" s="35">
        <v>0</v>
      </c>
      <c r="K24" s="35">
        <v>0</v>
      </c>
      <c r="L24" s="35">
        <v>25</v>
      </c>
      <c r="M24" s="23">
        <f t="shared" si="0"/>
        <v>25</v>
      </c>
      <c r="N24" s="2"/>
    </row>
    <row r="25" spans="1:15" ht="19.5" customHeight="1" x14ac:dyDescent="0.3">
      <c r="A25" s="8">
        <v>44672</v>
      </c>
      <c r="B25" s="55"/>
      <c r="C25" s="55"/>
      <c r="D25" s="21">
        <v>213.8</v>
      </c>
      <c r="E25" s="26">
        <v>949</v>
      </c>
      <c r="F25" s="35">
        <v>211.83</v>
      </c>
      <c r="G25" s="35">
        <v>743.02700000000004</v>
      </c>
      <c r="H25" s="35">
        <v>1</v>
      </c>
      <c r="I25" s="35">
        <v>0</v>
      </c>
      <c r="J25" s="35">
        <v>0</v>
      </c>
      <c r="K25" s="35">
        <v>0</v>
      </c>
      <c r="L25" s="35">
        <v>25</v>
      </c>
      <c r="M25" s="23">
        <f t="shared" si="0"/>
        <v>25</v>
      </c>
      <c r="N25" s="2"/>
    </row>
    <row r="26" spans="1:15" ht="19.5" customHeight="1" x14ac:dyDescent="0.3">
      <c r="A26" s="8">
        <v>44673</v>
      </c>
      <c r="B26" s="55"/>
      <c r="C26" s="55"/>
      <c r="D26" s="21">
        <v>213.8</v>
      </c>
      <c r="E26" s="26">
        <v>949</v>
      </c>
      <c r="F26" s="35">
        <v>211.81</v>
      </c>
      <c r="G26" s="35">
        <v>741.26099999999997</v>
      </c>
      <c r="H26" s="35">
        <v>5</v>
      </c>
      <c r="I26" s="35">
        <v>0</v>
      </c>
      <c r="J26" s="35">
        <v>0</v>
      </c>
      <c r="K26" s="35">
        <v>0</v>
      </c>
      <c r="L26" s="35">
        <v>25</v>
      </c>
      <c r="M26" s="23">
        <f t="shared" si="0"/>
        <v>25</v>
      </c>
      <c r="N26" s="2"/>
      <c r="O26" s="18"/>
    </row>
    <row r="27" spans="1:15" ht="19.5" customHeight="1" x14ac:dyDescent="0.3">
      <c r="A27" s="8">
        <v>44674</v>
      </c>
      <c r="B27" s="55"/>
      <c r="C27" s="55"/>
      <c r="D27" s="21">
        <v>213.8</v>
      </c>
      <c r="E27" s="26">
        <v>949</v>
      </c>
      <c r="F27" s="35">
        <v>211.79</v>
      </c>
      <c r="G27" s="35">
        <v>739.14200000000005</v>
      </c>
      <c r="H27" s="35">
        <v>1</v>
      </c>
      <c r="I27" s="35">
        <v>0</v>
      </c>
      <c r="J27" s="35">
        <v>0</v>
      </c>
      <c r="K27" s="35">
        <v>0</v>
      </c>
      <c r="L27" s="35">
        <v>25</v>
      </c>
      <c r="M27" s="23">
        <f t="shared" si="0"/>
        <v>25</v>
      </c>
      <c r="N27" s="2"/>
    </row>
    <row r="28" spans="1:15" ht="19.5" customHeight="1" x14ac:dyDescent="0.3">
      <c r="A28" s="8">
        <v>44675</v>
      </c>
      <c r="B28" s="55"/>
      <c r="C28" s="55"/>
      <c r="D28" s="21">
        <v>213.8</v>
      </c>
      <c r="E28" s="26">
        <v>949</v>
      </c>
      <c r="F28" s="35">
        <v>211.77</v>
      </c>
      <c r="G28" s="35">
        <v>737.024</v>
      </c>
      <c r="H28" s="35">
        <v>1</v>
      </c>
      <c r="I28" s="35">
        <v>0</v>
      </c>
      <c r="J28" s="35">
        <v>0</v>
      </c>
      <c r="K28" s="35">
        <v>0</v>
      </c>
      <c r="L28" s="35">
        <v>25</v>
      </c>
      <c r="M28" s="23">
        <f t="shared" si="0"/>
        <v>25</v>
      </c>
      <c r="N28" s="2"/>
    </row>
    <row r="29" spans="1:15" ht="19.5" customHeight="1" x14ac:dyDescent="0.3">
      <c r="A29" s="8">
        <v>44676</v>
      </c>
      <c r="B29" s="55"/>
      <c r="C29" s="55"/>
      <c r="D29" s="21">
        <v>213.8</v>
      </c>
      <c r="E29" s="26">
        <v>949</v>
      </c>
      <c r="F29" s="35">
        <v>211.77</v>
      </c>
      <c r="G29" s="35">
        <v>737.024</v>
      </c>
      <c r="H29" s="35">
        <v>25</v>
      </c>
      <c r="I29" s="35">
        <v>0</v>
      </c>
      <c r="J29" s="35">
        <v>0</v>
      </c>
      <c r="K29" s="35">
        <v>0</v>
      </c>
      <c r="L29" s="35">
        <v>25</v>
      </c>
      <c r="M29" s="23">
        <f t="shared" si="0"/>
        <v>25</v>
      </c>
      <c r="N29" s="2"/>
    </row>
    <row r="30" spans="1:15" ht="19.5" customHeight="1" x14ac:dyDescent="0.3">
      <c r="A30" s="8">
        <v>44677</v>
      </c>
      <c r="B30" s="55"/>
      <c r="C30" s="55"/>
      <c r="D30" s="21">
        <v>213.8</v>
      </c>
      <c r="E30" s="26">
        <v>949</v>
      </c>
      <c r="F30" s="35">
        <v>211.76</v>
      </c>
      <c r="G30" s="35">
        <v>735.96400000000006</v>
      </c>
      <c r="H30" s="35">
        <v>12</v>
      </c>
      <c r="I30" s="35">
        <v>0</v>
      </c>
      <c r="J30" s="35">
        <v>0</v>
      </c>
      <c r="K30" s="35">
        <v>0</v>
      </c>
      <c r="L30" s="35">
        <v>25</v>
      </c>
      <c r="M30" s="23">
        <f t="shared" si="0"/>
        <v>25</v>
      </c>
      <c r="N30" s="2"/>
    </row>
    <row r="31" spans="1:15" ht="21" customHeight="1" x14ac:dyDescent="0.3">
      <c r="A31" s="8">
        <v>44678</v>
      </c>
      <c r="B31" s="55"/>
      <c r="C31" s="55"/>
      <c r="D31" s="21">
        <v>213.8</v>
      </c>
      <c r="E31" s="26">
        <v>949</v>
      </c>
      <c r="F31" s="36">
        <v>211.74</v>
      </c>
      <c r="G31" s="35">
        <v>733.84500000000003</v>
      </c>
      <c r="H31" s="35">
        <v>1</v>
      </c>
      <c r="I31" s="35">
        <v>0</v>
      </c>
      <c r="J31" s="35">
        <v>0</v>
      </c>
      <c r="K31" s="35">
        <v>0</v>
      </c>
      <c r="L31" s="35">
        <v>25</v>
      </c>
      <c r="M31" s="23">
        <f t="shared" si="0"/>
        <v>25</v>
      </c>
      <c r="N31" s="2"/>
    </row>
    <row r="32" spans="1:15" ht="21" customHeight="1" x14ac:dyDescent="0.3">
      <c r="A32" s="8">
        <v>44679</v>
      </c>
      <c r="B32" s="55"/>
      <c r="C32" s="55"/>
      <c r="D32" s="21">
        <v>213.8</v>
      </c>
      <c r="E32" s="26">
        <v>949</v>
      </c>
      <c r="F32" s="35">
        <v>211.74</v>
      </c>
      <c r="G32" s="35">
        <v>733.84500000000003</v>
      </c>
      <c r="H32" s="35">
        <v>25</v>
      </c>
      <c r="I32" s="35">
        <v>0</v>
      </c>
      <c r="J32" s="35">
        <v>0</v>
      </c>
      <c r="K32" s="35">
        <v>0</v>
      </c>
      <c r="L32" s="35">
        <v>25</v>
      </c>
      <c r="M32" s="23">
        <f t="shared" si="0"/>
        <v>25</v>
      </c>
      <c r="N32" s="2"/>
    </row>
    <row r="33" spans="1:15" ht="21" customHeight="1" x14ac:dyDescent="0.3">
      <c r="A33" s="8">
        <v>44680</v>
      </c>
      <c r="B33" s="55"/>
      <c r="C33" s="55"/>
      <c r="D33" s="21">
        <v>213.8</v>
      </c>
      <c r="E33" s="26">
        <v>949</v>
      </c>
      <c r="F33" s="35">
        <v>211.73</v>
      </c>
      <c r="G33" s="35">
        <v>732.78599999999994</v>
      </c>
      <c r="H33" s="35">
        <v>12</v>
      </c>
      <c r="I33" s="35">
        <v>0</v>
      </c>
      <c r="J33" s="35">
        <v>0</v>
      </c>
      <c r="K33" s="35">
        <v>0</v>
      </c>
      <c r="L33" s="35">
        <v>25</v>
      </c>
      <c r="M33" s="23">
        <f t="shared" si="0"/>
        <v>25</v>
      </c>
      <c r="N33" s="2"/>
    </row>
    <row r="34" spans="1:15" ht="21" customHeight="1" x14ac:dyDescent="0.3">
      <c r="A34" s="8">
        <v>44681</v>
      </c>
      <c r="B34" s="56"/>
      <c r="C34" s="56"/>
      <c r="D34" s="22">
        <v>213.8</v>
      </c>
      <c r="E34" s="26">
        <v>949</v>
      </c>
      <c r="F34" s="35">
        <v>211.71</v>
      </c>
      <c r="G34" s="35">
        <v>731.02</v>
      </c>
      <c r="H34" s="35">
        <v>5</v>
      </c>
      <c r="I34" s="35">
        <v>0</v>
      </c>
      <c r="J34" s="35">
        <v>0</v>
      </c>
      <c r="K34" s="35">
        <v>0</v>
      </c>
      <c r="L34" s="35">
        <v>25</v>
      </c>
      <c r="M34" s="23">
        <f t="shared" si="0"/>
        <v>25</v>
      </c>
      <c r="N34" s="2"/>
    </row>
    <row r="35" spans="1:15" ht="21" customHeight="1" x14ac:dyDescent="0.3">
      <c r="A35" s="12"/>
      <c r="B35" s="13"/>
      <c r="C35" s="13"/>
      <c r="D35" s="14"/>
      <c r="E35" s="14"/>
      <c r="F35" s="15"/>
      <c r="G35" s="14"/>
      <c r="H35" s="16">
        <f>SUM(H5:H34)</f>
        <v>136</v>
      </c>
      <c r="I35" s="16">
        <f t="shared" ref="I35:M35" si="1">SUM(I5:I34)</f>
        <v>0</v>
      </c>
      <c r="J35" s="16">
        <f t="shared" si="1"/>
        <v>0</v>
      </c>
      <c r="K35" s="16">
        <f t="shared" si="1"/>
        <v>0</v>
      </c>
      <c r="L35" s="16">
        <f t="shared" si="1"/>
        <v>750</v>
      </c>
      <c r="M35" s="16">
        <f t="shared" si="1"/>
        <v>750</v>
      </c>
      <c r="N35" s="17"/>
      <c r="O35" s="19"/>
    </row>
    <row r="36" spans="1:15" ht="47.25" customHeight="1" x14ac:dyDescent="0.3">
      <c r="A36" s="3"/>
      <c r="B36" s="4"/>
      <c r="C36" s="5"/>
      <c r="D36" s="5"/>
      <c r="E36" s="5"/>
      <c r="F36" s="5"/>
      <c r="G36" s="5"/>
      <c r="H36" s="5">
        <f>H35/11574</f>
        <v>1.1750475203041299E-2</v>
      </c>
      <c r="I36" s="5"/>
      <c r="J36" s="5">
        <f>J35/11574</f>
        <v>0</v>
      </c>
      <c r="K36" s="5">
        <f>K35/11574</f>
        <v>0</v>
      </c>
      <c r="L36" s="6"/>
      <c r="M36" s="6"/>
      <c r="N36" s="7"/>
    </row>
    <row r="37" spans="1:15" ht="15.75" customHeight="1" x14ac:dyDescent="0.3">
      <c r="A37" s="57" t="s">
        <v>9</v>
      </c>
      <c r="B37" s="52"/>
      <c r="C37" s="52"/>
      <c r="D37" s="52"/>
      <c r="J37" s="57" t="s">
        <v>10</v>
      </c>
      <c r="K37" s="52"/>
      <c r="L37" s="52"/>
      <c r="M37" s="52"/>
      <c r="N37" s="7"/>
    </row>
    <row r="38" spans="1:15" ht="15.75" customHeight="1" x14ac:dyDescent="0.3">
      <c r="A38" s="58" t="s">
        <v>16</v>
      </c>
      <c r="B38" s="52"/>
      <c r="C38" s="52"/>
      <c r="D38" s="52"/>
      <c r="J38" s="58" t="s">
        <v>16</v>
      </c>
      <c r="K38" s="52"/>
      <c r="L38" s="52"/>
      <c r="M38" s="52"/>
      <c r="N38" s="7"/>
    </row>
    <row r="39" spans="1:15" ht="15.75" customHeight="1" x14ac:dyDescent="0.3">
      <c r="A39" s="51" t="s">
        <v>17</v>
      </c>
      <c r="B39" s="52"/>
      <c r="C39" s="52"/>
      <c r="D39" s="52"/>
      <c r="J39" s="51" t="s">
        <v>17</v>
      </c>
      <c r="K39" s="52"/>
      <c r="L39" s="52"/>
      <c r="M39" s="52"/>
      <c r="N39" s="7"/>
    </row>
    <row r="40" spans="1:15" ht="15.75" customHeight="1" x14ac:dyDescent="0.3"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102"/>
  <sheetViews>
    <sheetView view="pageBreakPreview" topLeftCell="A19" zoomScale="60" workbookViewId="0">
      <selection activeCell="H36" sqref="H36:M36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7.55468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44682</v>
      </c>
      <c r="B5" s="54" t="s">
        <v>11</v>
      </c>
      <c r="C5" s="54" t="s">
        <v>12</v>
      </c>
      <c r="D5" s="21">
        <v>213.8</v>
      </c>
      <c r="E5" s="26">
        <v>949</v>
      </c>
      <c r="F5" s="31">
        <v>211.69</v>
      </c>
      <c r="G5" s="32">
        <v>728.90099999999995</v>
      </c>
      <c r="H5" s="33">
        <v>1</v>
      </c>
      <c r="I5" s="23">
        <v>0</v>
      </c>
      <c r="J5" s="1">
        <v>0</v>
      </c>
      <c r="K5" s="1">
        <v>0</v>
      </c>
      <c r="L5" s="33">
        <v>25</v>
      </c>
      <c r="M5" s="23">
        <f>L5+K5+J5+I5</f>
        <v>25</v>
      </c>
      <c r="N5" s="2"/>
    </row>
    <row r="6" spans="1:14" ht="19.5" customHeight="1" x14ac:dyDescent="0.3">
      <c r="A6" s="8">
        <v>44683</v>
      </c>
      <c r="B6" s="55"/>
      <c r="C6" s="55"/>
      <c r="D6" s="21">
        <v>213.8</v>
      </c>
      <c r="E6" s="26">
        <v>949</v>
      </c>
      <c r="F6" s="31">
        <v>211.69</v>
      </c>
      <c r="G6" s="32">
        <v>728.90099999999995</v>
      </c>
      <c r="H6" s="33">
        <v>25</v>
      </c>
      <c r="I6" s="23">
        <v>0</v>
      </c>
      <c r="J6" s="1">
        <v>0</v>
      </c>
      <c r="K6" s="1">
        <v>0</v>
      </c>
      <c r="L6" s="33">
        <v>25</v>
      </c>
      <c r="M6" s="23">
        <f t="shared" ref="M6:M35" si="0">L6+K6+J6+I6</f>
        <v>25</v>
      </c>
      <c r="N6" s="2"/>
    </row>
    <row r="7" spans="1:14" ht="19.5" customHeight="1" x14ac:dyDescent="0.3">
      <c r="A7" s="8">
        <v>44684</v>
      </c>
      <c r="B7" s="55"/>
      <c r="C7" s="55"/>
      <c r="D7" s="21">
        <v>213.8</v>
      </c>
      <c r="E7" s="26">
        <v>949</v>
      </c>
      <c r="F7" s="31">
        <v>211.67</v>
      </c>
      <c r="G7" s="32">
        <v>726.78200000000004</v>
      </c>
      <c r="H7" s="33">
        <v>1</v>
      </c>
      <c r="I7" s="23">
        <v>0</v>
      </c>
      <c r="J7" s="1">
        <v>0</v>
      </c>
      <c r="K7" s="1">
        <v>0</v>
      </c>
      <c r="L7" s="33">
        <v>25</v>
      </c>
      <c r="M7" s="23">
        <f t="shared" si="0"/>
        <v>25</v>
      </c>
      <c r="N7" s="2"/>
    </row>
    <row r="8" spans="1:14" ht="19.5" customHeight="1" x14ac:dyDescent="0.3">
      <c r="A8" s="8">
        <v>44685</v>
      </c>
      <c r="B8" s="55"/>
      <c r="C8" s="55"/>
      <c r="D8" s="21">
        <v>213.8</v>
      </c>
      <c r="E8" s="26">
        <v>949</v>
      </c>
      <c r="F8" s="31">
        <v>211.65</v>
      </c>
      <c r="G8" s="32">
        <v>724.66300000000001</v>
      </c>
      <c r="H8" s="33">
        <v>1</v>
      </c>
      <c r="I8" s="23">
        <v>0</v>
      </c>
      <c r="J8" s="1">
        <v>0</v>
      </c>
      <c r="K8" s="1">
        <v>0</v>
      </c>
      <c r="L8" s="33">
        <v>25</v>
      </c>
      <c r="M8" s="23">
        <f t="shared" si="0"/>
        <v>25</v>
      </c>
      <c r="N8" s="2"/>
    </row>
    <row r="9" spans="1:14" ht="19.5" customHeight="1" x14ac:dyDescent="0.3">
      <c r="A9" s="8">
        <v>44686</v>
      </c>
      <c r="B9" s="55"/>
      <c r="C9" s="55"/>
      <c r="D9" s="21">
        <v>213.8</v>
      </c>
      <c r="E9" s="26">
        <v>949</v>
      </c>
      <c r="F9" s="31">
        <v>211.63</v>
      </c>
      <c r="G9" s="32">
        <v>722.54399999999998</v>
      </c>
      <c r="H9" s="33">
        <v>1</v>
      </c>
      <c r="I9" s="23">
        <v>0</v>
      </c>
      <c r="J9" s="1">
        <v>0</v>
      </c>
      <c r="K9" s="1">
        <v>0</v>
      </c>
      <c r="L9" s="33">
        <v>25</v>
      </c>
      <c r="M9" s="23">
        <f t="shared" si="0"/>
        <v>25</v>
      </c>
      <c r="N9" s="2"/>
    </row>
    <row r="10" spans="1:14" ht="19.5" customHeight="1" x14ac:dyDescent="0.3">
      <c r="A10" s="8">
        <v>44687</v>
      </c>
      <c r="B10" s="55"/>
      <c r="C10" s="55"/>
      <c r="D10" s="21">
        <v>213.8</v>
      </c>
      <c r="E10" s="26">
        <v>949</v>
      </c>
      <c r="F10" s="31">
        <v>211.61</v>
      </c>
      <c r="G10" s="32">
        <v>720.42600000000004</v>
      </c>
      <c r="H10" s="33">
        <v>1</v>
      </c>
      <c r="I10" s="23">
        <v>0</v>
      </c>
      <c r="J10" s="1">
        <v>0</v>
      </c>
      <c r="K10" s="1">
        <v>0</v>
      </c>
      <c r="L10" s="33">
        <v>25</v>
      </c>
      <c r="M10" s="23">
        <f t="shared" si="0"/>
        <v>25</v>
      </c>
      <c r="N10" s="2"/>
    </row>
    <row r="11" spans="1:14" ht="19.5" customHeight="1" x14ac:dyDescent="0.3">
      <c r="A11" s="8">
        <v>44688</v>
      </c>
      <c r="B11" s="55"/>
      <c r="C11" s="55"/>
      <c r="D11" s="21">
        <v>213.8</v>
      </c>
      <c r="E11" s="26">
        <v>949</v>
      </c>
      <c r="F11" s="31">
        <v>211.6</v>
      </c>
      <c r="G11" s="32">
        <v>719.01300000000003</v>
      </c>
      <c r="H11" s="33">
        <v>9</v>
      </c>
      <c r="I11" s="23">
        <v>0</v>
      </c>
      <c r="J11" s="1">
        <v>0</v>
      </c>
      <c r="K11" s="1">
        <v>0</v>
      </c>
      <c r="L11" s="33">
        <v>25</v>
      </c>
      <c r="M11" s="23">
        <f t="shared" si="0"/>
        <v>25</v>
      </c>
      <c r="N11" s="2"/>
    </row>
    <row r="12" spans="1:14" ht="19.5" customHeight="1" x14ac:dyDescent="0.3">
      <c r="A12" s="8">
        <v>44689</v>
      </c>
      <c r="B12" s="55"/>
      <c r="C12" s="55"/>
      <c r="D12" s="21">
        <v>213.8</v>
      </c>
      <c r="E12" s="26">
        <v>949</v>
      </c>
      <c r="F12" s="34">
        <v>211.6</v>
      </c>
      <c r="G12" s="32">
        <v>719.01300000000003</v>
      </c>
      <c r="H12" s="33">
        <v>25</v>
      </c>
      <c r="I12" s="23">
        <v>0</v>
      </c>
      <c r="J12" s="1">
        <v>0</v>
      </c>
      <c r="K12" s="1">
        <v>0</v>
      </c>
      <c r="L12" s="33">
        <v>25</v>
      </c>
      <c r="M12" s="23">
        <f t="shared" si="0"/>
        <v>25</v>
      </c>
      <c r="N12" s="2"/>
    </row>
    <row r="13" spans="1:14" ht="19.5" customHeight="1" x14ac:dyDescent="0.3">
      <c r="A13" s="8">
        <v>44690</v>
      </c>
      <c r="B13" s="55"/>
      <c r="C13" s="55"/>
      <c r="D13" s="21">
        <v>213.8</v>
      </c>
      <c r="E13" s="26">
        <v>949</v>
      </c>
      <c r="F13" s="31">
        <v>211.58</v>
      </c>
      <c r="G13" s="32">
        <v>716.89400000000001</v>
      </c>
      <c r="H13" s="33">
        <v>1</v>
      </c>
      <c r="I13" s="23">
        <v>0</v>
      </c>
      <c r="J13" s="1">
        <v>0</v>
      </c>
      <c r="K13" s="1">
        <v>0</v>
      </c>
      <c r="L13" s="33">
        <v>25</v>
      </c>
      <c r="M13" s="23">
        <f t="shared" si="0"/>
        <v>25</v>
      </c>
      <c r="N13" s="2"/>
    </row>
    <row r="14" spans="1:14" ht="19.5" customHeight="1" x14ac:dyDescent="0.3">
      <c r="A14" s="8">
        <v>44691</v>
      </c>
      <c r="B14" s="55"/>
      <c r="C14" s="55"/>
      <c r="D14" s="21">
        <v>213.8</v>
      </c>
      <c r="E14" s="26">
        <v>949</v>
      </c>
      <c r="F14" s="31">
        <v>211.56</v>
      </c>
      <c r="G14" s="32">
        <v>714.755</v>
      </c>
      <c r="H14" s="33">
        <v>1</v>
      </c>
      <c r="I14" s="23">
        <v>0</v>
      </c>
      <c r="J14" s="1">
        <v>0</v>
      </c>
      <c r="K14" s="1">
        <v>0</v>
      </c>
      <c r="L14" s="33">
        <v>25</v>
      </c>
      <c r="M14" s="23">
        <f t="shared" si="0"/>
        <v>25</v>
      </c>
      <c r="N14" s="2"/>
    </row>
    <row r="15" spans="1:14" ht="19.5" customHeight="1" x14ac:dyDescent="0.3">
      <c r="A15" s="8">
        <v>44692</v>
      </c>
      <c r="B15" s="55"/>
      <c r="C15" s="55"/>
      <c r="D15" s="21">
        <v>213.8</v>
      </c>
      <c r="E15" s="26">
        <v>949</v>
      </c>
      <c r="F15" s="31">
        <v>211.58</v>
      </c>
      <c r="G15" s="32">
        <v>716.11800000000005</v>
      </c>
      <c r="H15" s="33">
        <v>36</v>
      </c>
      <c r="I15" s="23">
        <v>0</v>
      </c>
      <c r="J15" s="1">
        <v>0</v>
      </c>
      <c r="K15" s="1">
        <v>0</v>
      </c>
      <c r="L15" s="33">
        <v>20</v>
      </c>
      <c r="M15" s="23">
        <f t="shared" si="0"/>
        <v>20</v>
      </c>
      <c r="N15" s="2"/>
    </row>
    <row r="16" spans="1:14" ht="19.5" customHeight="1" x14ac:dyDescent="0.3">
      <c r="A16" s="8">
        <v>44693</v>
      </c>
      <c r="B16" s="55"/>
      <c r="C16" s="55"/>
      <c r="D16" s="21">
        <v>213.8</v>
      </c>
      <c r="E16" s="26">
        <v>949</v>
      </c>
      <c r="F16" s="31">
        <v>211.64</v>
      </c>
      <c r="G16" s="32">
        <v>723.60400000000004</v>
      </c>
      <c r="H16" s="33">
        <v>105</v>
      </c>
      <c r="I16" s="23">
        <v>0</v>
      </c>
      <c r="J16" s="1">
        <v>0</v>
      </c>
      <c r="K16" s="1">
        <v>0</v>
      </c>
      <c r="L16" s="33">
        <v>20</v>
      </c>
      <c r="M16" s="23">
        <f t="shared" si="0"/>
        <v>20</v>
      </c>
      <c r="N16" s="2"/>
    </row>
    <row r="17" spans="1:15" ht="19.5" customHeight="1" x14ac:dyDescent="0.3">
      <c r="A17" s="8">
        <v>44694</v>
      </c>
      <c r="B17" s="55"/>
      <c r="C17" s="55"/>
      <c r="D17" s="21">
        <v>213.8</v>
      </c>
      <c r="E17" s="26">
        <v>949</v>
      </c>
      <c r="F17" s="31">
        <v>211.67</v>
      </c>
      <c r="G17" s="32">
        <v>727.48900000000003</v>
      </c>
      <c r="H17" s="33">
        <v>65</v>
      </c>
      <c r="I17" s="23">
        <v>0</v>
      </c>
      <c r="J17" s="1">
        <v>0</v>
      </c>
      <c r="K17" s="1">
        <v>0</v>
      </c>
      <c r="L17" s="33">
        <v>20</v>
      </c>
      <c r="M17" s="23">
        <f t="shared" si="0"/>
        <v>20</v>
      </c>
      <c r="N17" s="2"/>
    </row>
    <row r="18" spans="1:15" ht="19.5" customHeight="1" x14ac:dyDescent="0.3">
      <c r="A18" s="8">
        <v>44695</v>
      </c>
      <c r="B18" s="55"/>
      <c r="C18" s="55"/>
      <c r="D18" s="21">
        <v>213.8</v>
      </c>
      <c r="E18" s="26">
        <v>949</v>
      </c>
      <c r="F18" s="31">
        <v>211.67</v>
      </c>
      <c r="G18" s="32">
        <v>727.48900000000003</v>
      </c>
      <c r="H18" s="33">
        <v>25</v>
      </c>
      <c r="I18" s="23">
        <v>0</v>
      </c>
      <c r="J18" s="1">
        <v>0</v>
      </c>
      <c r="K18" s="1">
        <v>0</v>
      </c>
      <c r="L18" s="33">
        <v>25</v>
      </c>
      <c r="M18" s="23">
        <f t="shared" si="0"/>
        <v>25</v>
      </c>
      <c r="N18" s="2"/>
    </row>
    <row r="19" spans="1:15" ht="19.5" customHeight="1" x14ac:dyDescent="0.3">
      <c r="A19" s="8">
        <v>44696</v>
      </c>
      <c r="B19" s="55"/>
      <c r="C19" s="55"/>
      <c r="D19" s="21">
        <v>213.8</v>
      </c>
      <c r="E19" s="26">
        <v>949</v>
      </c>
      <c r="F19" s="31">
        <v>211.66</v>
      </c>
      <c r="G19" s="32">
        <v>726.42899999999997</v>
      </c>
      <c r="H19" s="33">
        <v>13</v>
      </c>
      <c r="I19" s="23">
        <v>0</v>
      </c>
      <c r="J19" s="1">
        <v>0</v>
      </c>
      <c r="K19" s="1">
        <v>0</v>
      </c>
      <c r="L19" s="33">
        <v>25</v>
      </c>
      <c r="M19" s="23">
        <f t="shared" si="0"/>
        <v>25</v>
      </c>
      <c r="N19" s="2"/>
    </row>
    <row r="20" spans="1:15" ht="19.5" customHeight="1" x14ac:dyDescent="0.3">
      <c r="A20" s="8">
        <v>44697</v>
      </c>
      <c r="B20" s="55"/>
      <c r="C20" s="55"/>
      <c r="D20" s="21">
        <v>213.8</v>
      </c>
      <c r="E20" s="26">
        <v>949</v>
      </c>
      <c r="F20" s="31">
        <v>211.65</v>
      </c>
      <c r="G20" s="31">
        <v>725.37</v>
      </c>
      <c r="H20" s="33">
        <v>13</v>
      </c>
      <c r="I20" s="23">
        <v>0</v>
      </c>
      <c r="J20" s="1">
        <v>0</v>
      </c>
      <c r="K20" s="1">
        <v>0</v>
      </c>
      <c r="L20" s="33">
        <v>25</v>
      </c>
      <c r="M20" s="23">
        <f t="shared" si="0"/>
        <v>25</v>
      </c>
      <c r="N20" s="2"/>
    </row>
    <row r="21" spans="1:15" ht="19.5" customHeight="1" x14ac:dyDescent="0.3">
      <c r="A21" s="8">
        <v>44698</v>
      </c>
      <c r="B21" s="55"/>
      <c r="C21" s="55"/>
      <c r="D21" s="21">
        <v>213.8</v>
      </c>
      <c r="E21" s="26">
        <v>949</v>
      </c>
      <c r="F21" s="31">
        <v>211.64</v>
      </c>
      <c r="G21" s="31">
        <v>724.31</v>
      </c>
      <c r="H21" s="33">
        <v>13</v>
      </c>
      <c r="I21" s="23">
        <v>0</v>
      </c>
      <c r="J21" s="1">
        <v>0</v>
      </c>
      <c r="K21" s="1">
        <v>0</v>
      </c>
      <c r="L21" s="33">
        <v>25</v>
      </c>
      <c r="M21" s="23">
        <f t="shared" si="0"/>
        <v>25</v>
      </c>
      <c r="N21" s="2"/>
    </row>
    <row r="22" spans="1:15" ht="19.5" customHeight="1" x14ac:dyDescent="0.3">
      <c r="A22" s="8">
        <v>44699</v>
      </c>
      <c r="B22" s="55"/>
      <c r="C22" s="55"/>
      <c r="D22" s="21">
        <v>213.8</v>
      </c>
      <c r="E22" s="26">
        <v>949</v>
      </c>
      <c r="F22" s="31">
        <v>211.63</v>
      </c>
      <c r="G22" s="32">
        <v>723.25099999999998</v>
      </c>
      <c r="H22" s="33">
        <v>13</v>
      </c>
      <c r="I22" s="23">
        <v>0</v>
      </c>
      <c r="J22" s="1">
        <v>0</v>
      </c>
      <c r="K22" s="1">
        <v>0</v>
      </c>
      <c r="L22" s="33">
        <v>25</v>
      </c>
      <c r="M22" s="23">
        <f t="shared" si="0"/>
        <v>25</v>
      </c>
      <c r="N22" s="2"/>
    </row>
    <row r="23" spans="1:15" ht="19.5" customHeight="1" x14ac:dyDescent="0.3">
      <c r="A23" s="8">
        <v>44700</v>
      </c>
      <c r="B23" s="55"/>
      <c r="C23" s="55"/>
      <c r="D23" s="21">
        <v>213.8</v>
      </c>
      <c r="E23" s="26">
        <v>949</v>
      </c>
      <c r="F23" s="31">
        <v>211.62</v>
      </c>
      <c r="G23" s="32">
        <v>722.19100000000003</v>
      </c>
      <c r="H23" s="33">
        <v>13</v>
      </c>
      <c r="I23" s="23">
        <v>0</v>
      </c>
      <c r="J23" s="1">
        <v>0</v>
      </c>
      <c r="K23" s="1">
        <v>0</v>
      </c>
      <c r="L23" s="33">
        <v>25</v>
      </c>
      <c r="M23" s="23">
        <f t="shared" si="0"/>
        <v>25</v>
      </c>
      <c r="N23" s="2"/>
    </row>
    <row r="24" spans="1:15" ht="19.5" customHeight="1" x14ac:dyDescent="0.3">
      <c r="A24" s="8">
        <v>44701</v>
      </c>
      <c r="B24" s="55"/>
      <c r="C24" s="55"/>
      <c r="D24" s="21">
        <v>213.8</v>
      </c>
      <c r="E24" s="26">
        <v>949</v>
      </c>
      <c r="F24" s="31">
        <v>211.62</v>
      </c>
      <c r="G24" s="32">
        <v>722.19100000000003</v>
      </c>
      <c r="H24" s="33">
        <v>25</v>
      </c>
      <c r="I24" s="23">
        <v>0</v>
      </c>
      <c r="J24" s="1">
        <v>0</v>
      </c>
      <c r="K24" s="1">
        <v>0</v>
      </c>
      <c r="L24" s="33">
        <v>25</v>
      </c>
      <c r="M24" s="23">
        <f t="shared" si="0"/>
        <v>25</v>
      </c>
      <c r="N24" s="2"/>
    </row>
    <row r="25" spans="1:15" ht="19.5" customHeight="1" x14ac:dyDescent="0.3">
      <c r="A25" s="8">
        <v>44702</v>
      </c>
      <c r="B25" s="55"/>
      <c r="C25" s="55"/>
      <c r="D25" s="21">
        <v>213.8</v>
      </c>
      <c r="E25" s="26">
        <v>949</v>
      </c>
      <c r="F25" s="31">
        <v>211.61</v>
      </c>
      <c r="G25" s="32">
        <v>721.13199999999995</v>
      </c>
      <c r="H25" s="33">
        <v>13</v>
      </c>
      <c r="I25" s="23">
        <v>0</v>
      </c>
      <c r="J25" s="1">
        <v>0</v>
      </c>
      <c r="K25" s="1">
        <v>0</v>
      </c>
      <c r="L25" s="33">
        <v>25</v>
      </c>
      <c r="M25" s="23">
        <f t="shared" si="0"/>
        <v>25</v>
      </c>
      <c r="N25" s="2"/>
    </row>
    <row r="26" spans="1:15" ht="19.5" customHeight="1" x14ac:dyDescent="0.3">
      <c r="A26" s="8">
        <v>44703</v>
      </c>
      <c r="B26" s="55"/>
      <c r="C26" s="55"/>
      <c r="D26" s="21">
        <v>213.8</v>
      </c>
      <c r="E26" s="26">
        <v>949</v>
      </c>
      <c r="F26" s="34">
        <v>211.6</v>
      </c>
      <c r="G26" s="32">
        <v>720.072</v>
      </c>
      <c r="H26" s="33">
        <v>13</v>
      </c>
      <c r="I26" s="23">
        <v>0</v>
      </c>
      <c r="J26" s="1">
        <v>0</v>
      </c>
      <c r="K26" s="1">
        <v>0</v>
      </c>
      <c r="L26" s="33">
        <v>25</v>
      </c>
      <c r="M26" s="23">
        <f t="shared" si="0"/>
        <v>25</v>
      </c>
      <c r="N26" s="2"/>
      <c r="O26" s="18"/>
    </row>
    <row r="27" spans="1:15" ht="19.5" customHeight="1" x14ac:dyDescent="0.3">
      <c r="A27" s="8">
        <v>44704</v>
      </c>
      <c r="B27" s="55"/>
      <c r="C27" s="55"/>
      <c r="D27" s="21">
        <v>213.8</v>
      </c>
      <c r="E27" s="26">
        <v>949</v>
      </c>
      <c r="F27" s="31">
        <v>211.59</v>
      </c>
      <c r="G27" s="32">
        <v>719.01300000000003</v>
      </c>
      <c r="H27" s="33">
        <v>13</v>
      </c>
      <c r="I27" s="23">
        <v>0</v>
      </c>
      <c r="J27" s="1">
        <v>0</v>
      </c>
      <c r="K27" s="1">
        <v>0</v>
      </c>
      <c r="L27" s="33">
        <v>25</v>
      </c>
      <c r="M27" s="23">
        <f t="shared" si="0"/>
        <v>25</v>
      </c>
      <c r="N27" s="2"/>
    </row>
    <row r="28" spans="1:15" ht="19.5" customHeight="1" x14ac:dyDescent="0.3">
      <c r="A28" s="8">
        <v>44705</v>
      </c>
      <c r="B28" s="55"/>
      <c r="C28" s="55"/>
      <c r="D28" s="21">
        <v>213.8</v>
      </c>
      <c r="E28" s="26">
        <v>949</v>
      </c>
      <c r="F28" s="31">
        <v>211.59</v>
      </c>
      <c r="G28" s="32">
        <v>719.01300000000003</v>
      </c>
      <c r="H28" s="33">
        <v>25</v>
      </c>
      <c r="I28" s="23">
        <v>0</v>
      </c>
      <c r="J28" s="1">
        <v>0</v>
      </c>
      <c r="K28" s="1">
        <v>0</v>
      </c>
      <c r="L28" s="33">
        <v>25</v>
      </c>
      <c r="M28" s="23">
        <f t="shared" si="0"/>
        <v>25</v>
      </c>
      <c r="N28" s="2"/>
    </row>
    <row r="29" spans="1:15" ht="19.5" customHeight="1" x14ac:dyDescent="0.3">
      <c r="A29" s="8">
        <v>44706</v>
      </c>
      <c r="B29" s="55"/>
      <c r="C29" s="55"/>
      <c r="D29" s="21">
        <v>213.8</v>
      </c>
      <c r="E29" s="26">
        <v>949</v>
      </c>
      <c r="F29" s="31">
        <v>211.61</v>
      </c>
      <c r="G29" s="32">
        <v>721.13199999999995</v>
      </c>
      <c r="H29" s="33">
        <v>50</v>
      </c>
      <c r="I29" s="23">
        <v>0</v>
      </c>
      <c r="J29" s="1">
        <v>0</v>
      </c>
      <c r="K29" s="1">
        <v>0</v>
      </c>
      <c r="L29" s="33">
        <v>25</v>
      </c>
      <c r="M29" s="23">
        <f t="shared" si="0"/>
        <v>25</v>
      </c>
      <c r="N29" s="2"/>
    </row>
    <row r="30" spans="1:15" ht="19.5" customHeight="1" x14ac:dyDescent="0.3">
      <c r="A30" s="8">
        <v>44707</v>
      </c>
      <c r="B30" s="55"/>
      <c r="C30" s="55"/>
      <c r="D30" s="21">
        <v>213.8</v>
      </c>
      <c r="E30" s="26">
        <v>949</v>
      </c>
      <c r="F30" s="31">
        <v>211.61</v>
      </c>
      <c r="G30" s="32">
        <v>721.13199999999995</v>
      </c>
      <c r="H30" s="33">
        <v>25</v>
      </c>
      <c r="I30" s="23">
        <v>0</v>
      </c>
      <c r="J30" s="1">
        <v>0</v>
      </c>
      <c r="K30" s="1">
        <v>0</v>
      </c>
      <c r="L30" s="33">
        <v>25</v>
      </c>
      <c r="M30" s="23">
        <f t="shared" si="0"/>
        <v>25</v>
      </c>
      <c r="N30" s="2"/>
    </row>
    <row r="31" spans="1:15" ht="21" customHeight="1" x14ac:dyDescent="0.3">
      <c r="A31" s="8">
        <v>44708</v>
      </c>
      <c r="B31" s="55"/>
      <c r="C31" s="55"/>
      <c r="D31" s="21">
        <v>213.8</v>
      </c>
      <c r="E31" s="26">
        <v>949</v>
      </c>
      <c r="F31" s="31">
        <v>211.61</v>
      </c>
      <c r="G31" s="32">
        <v>721.13199999999995</v>
      </c>
      <c r="H31" s="33">
        <v>25</v>
      </c>
      <c r="I31" s="23">
        <v>0</v>
      </c>
      <c r="J31" s="1">
        <v>0</v>
      </c>
      <c r="K31" s="1">
        <v>0</v>
      </c>
      <c r="L31" s="33">
        <v>25</v>
      </c>
      <c r="M31" s="23">
        <f t="shared" si="0"/>
        <v>25</v>
      </c>
      <c r="N31" s="2"/>
    </row>
    <row r="32" spans="1:15" ht="21" customHeight="1" x14ac:dyDescent="0.3">
      <c r="A32" s="8">
        <v>44709</v>
      </c>
      <c r="B32" s="55"/>
      <c r="C32" s="55"/>
      <c r="D32" s="21">
        <v>213.8</v>
      </c>
      <c r="E32" s="26">
        <v>949</v>
      </c>
      <c r="F32" s="34">
        <v>211.6</v>
      </c>
      <c r="G32" s="32">
        <v>720.072</v>
      </c>
      <c r="H32" s="33">
        <v>13</v>
      </c>
      <c r="I32" s="23">
        <v>0</v>
      </c>
      <c r="J32" s="1">
        <v>0</v>
      </c>
      <c r="K32" s="1">
        <v>0</v>
      </c>
      <c r="L32" s="33">
        <v>25</v>
      </c>
      <c r="M32" s="23">
        <f t="shared" si="0"/>
        <v>25</v>
      </c>
      <c r="N32" s="2"/>
    </row>
    <row r="33" spans="1:15" ht="21" customHeight="1" x14ac:dyDescent="0.3">
      <c r="A33" s="8">
        <v>44710</v>
      </c>
      <c r="B33" s="55"/>
      <c r="C33" s="55"/>
      <c r="D33" s="21">
        <v>213.8</v>
      </c>
      <c r="E33" s="26">
        <v>949</v>
      </c>
      <c r="F33" s="31">
        <v>211.59</v>
      </c>
      <c r="G33" s="32">
        <v>719.01300000000003</v>
      </c>
      <c r="H33" s="33">
        <v>13</v>
      </c>
      <c r="I33" s="23">
        <v>0</v>
      </c>
      <c r="J33" s="1">
        <v>0</v>
      </c>
      <c r="K33" s="1">
        <v>0</v>
      </c>
      <c r="L33" s="33">
        <v>25</v>
      </c>
      <c r="M33" s="23">
        <f t="shared" si="0"/>
        <v>25</v>
      </c>
      <c r="N33" s="2"/>
    </row>
    <row r="34" spans="1:15" ht="21" customHeight="1" x14ac:dyDescent="0.3">
      <c r="A34" s="8">
        <v>44711</v>
      </c>
      <c r="B34" s="55"/>
      <c r="C34" s="55"/>
      <c r="D34" s="21">
        <v>213.8</v>
      </c>
      <c r="E34" s="26">
        <v>949</v>
      </c>
      <c r="F34" s="31">
        <v>211.59</v>
      </c>
      <c r="G34" s="32">
        <v>719.01300000000003</v>
      </c>
      <c r="H34" s="33">
        <v>25</v>
      </c>
      <c r="I34" s="23">
        <v>0</v>
      </c>
      <c r="J34" s="1">
        <v>0</v>
      </c>
      <c r="K34" s="1">
        <v>0</v>
      </c>
      <c r="L34" s="33">
        <v>25</v>
      </c>
      <c r="M34" s="23">
        <f t="shared" si="0"/>
        <v>25</v>
      </c>
      <c r="N34" s="2"/>
    </row>
    <row r="35" spans="1:15" ht="21" customHeight="1" x14ac:dyDescent="0.3">
      <c r="A35" s="8">
        <v>44712</v>
      </c>
      <c r="B35" s="56"/>
      <c r="C35" s="56"/>
      <c r="D35" s="22">
        <v>213.8</v>
      </c>
      <c r="E35" s="26">
        <v>949</v>
      </c>
      <c r="F35" s="31">
        <v>211.58</v>
      </c>
      <c r="G35" s="32">
        <v>717.95299999999997</v>
      </c>
      <c r="H35" s="33">
        <v>13</v>
      </c>
      <c r="I35" s="23">
        <v>0</v>
      </c>
      <c r="J35" s="1">
        <v>0</v>
      </c>
      <c r="K35" s="1">
        <v>0</v>
      </c>
      <c r="L35" s="33">
        <v>25</v>
      </c>
      <c r="M35" s="23">
        <f t="shared" si="0"/>
        <v>25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615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760</v>
      </c>
      <c r="M36" s="16">
        <f t="shared" si="1"/>
        <v>760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5.3136340072576463E-2</v>
      </c>
      <c r="I37" s="5"/>
      <c r="J37" s="5">
        <f>J36/11574</f>
        <v>0</v>
      </c>
      <c r="K37" s="5">
        <f>K36/11574</f>
        <v>0</v>
      </c>
      <c r="L37" s="6"/>
      <c r="M37" s="6"/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G106"/>
  <sheetViews>
    <sheetView zoomScaleNormal="100" workbookViewId="0">
      <pane xSplit="4" ySplit="4" topLeftCell="E29" activePane="bottomRight" state="frozen"/>
      <selection pane="topRight" activeCell="E1" sqref="E1"/>
      <selection pane="bottomLeft" activeCell="A5" sqref="A5"/>
      <selection pane="bottomRight" activeCell="Q32" sqref="Q32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7.55468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44713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211.58</v>
      </c>
      <c r="G5" s="35">
        <v>716.89400000000001</v>
      </c>
      <c r="H5" s="35">
        <v>13</v>
      </c>
      <c r="I5" s="35">
        <v>0</v>
      </c>
      <c r="J5" s="35">
        <v>0</v>
      </c>
      <c r="K5" s="35">
        <v>0</v>
      </c>
      <c r="L5" s="35">
        <v>25</v>
      </c>
      <c r="M5" s="23">
        <f>L5+K5+J5+I5</f>
        <v>25</v>
      </c>
      <c r="N5" s="2"/>
    </row>
    <row r="6" spans="1:14" ht="19.5" customHeight="1" x14ac:dyDescent="0.3">
      <c r="A6" s="8">
        <v>44714</v>
      </c>
      <c r="B6" s="55"/>
      <c r="C6" s="55"/>
      <c r="D6" s="21">
        <v>213.8</v>
      </c>
      <c r="E6" s="26">
        <v>949</v>
      </c>
      <c r="F6" s="35">
        <v>211.57</v>
      </c>
      <c r="G6" s="35">
        <v>715.83500000000004</v>
      </c>
      <c r="H6" s="35">
        <v>13</v>
      </c>
      <c r="I6" s="35">
        <v>0</v>
      </c>
      <c r="J6" s="35">
        <v>0</v>
      </c>
      <c r="K6" s="35">
        <v>0</v>
      </c>
      <c r="L6" s="35">
        <v>25</v>
      </c>
      <c r="M6" s="23">
        <f t="shared" ref="M6:M34" si="0">L6+K6+J6+I6</f>
        <v>25</v>
      </c>
      <c r="N6" s="2"/>
    </row>
    <row r="7" spans="1:14" ht="19.5" customHeight="1" x14ac:dyDescent="0.3">
      <c r="A7" s="8">
        <v>44715</v>
      </c>
      <c r="B7" s="55"/>
      <c r="C7" s="55"/>
      <c r="D7" s="21">
        <v>213.8</v>
      </c>
      <c r="E7" s="26">
        <v>949</v>
      </c>
      <c r="F7" s="35">
        <v>211.56</v>
      </c>
      <c r="G7" s="35">
        <v>714.77499999999998</v>
      </c>
      <c r="H7" s="35">
        <v>13</v>
      </c>
      <c r="I7" s="35">
        <v>0</v>
      </c>
      <c r="J7" s="35">
        <v>0</v>
      </c>
      <c r="K7" s="35">
        <v>0</v>
      </c>
      <c r="L7" s="35">
        <v>25</v>
      </c>
      <c r="M7" s="23">
        <f t="shared" si="0"/>
        <v>25</v>
      </c>
      <c r="N7" s="2"/>
    </row>
    <row r="8" spans="1:14" ht="19.5" customHeight="1" x14ac:dyDescent="0.3">
      <c r="A8" s="8">
        <v>44716</v>
      </c>
      <c r="B8" s="55"/>
      <c r="C8" s="55"/>
      <c r="D8" s="21">
        <v>213.8</v>
      </c>
      <c r="E8" s="26">
        <v>949</v>
      </c>
      <c r="F8" s="35">
        <v>211.56</v>
      </c>
      <c r="G8" s="35">
        <v>714.77499999999998</v>
      </c>
      <c r="H8" s="35">
        <v>25</v>
      </c>
      <c r="I8" s="35">
        <v>0</v>
      </c>
      <c r="J8" s="35">
        <v>0</v>
      </c>
      <c r="K8" s="35">
        <v>0</v>
      </c>
      <c r="L8" s="35">
        <v>25</v>
      </c>
      <c r="M8" s="23">
        <f t="shared" si="0"/>
        <v>25</v>
      </c>
      <c r="N8" s="2"/>
    </row>
    <row r="9" spans="1:14" ht="19.5" customHeight="1" x14ac:dyDescent="0.3">
      <c r="A9" s="8">
        <v>44717</v>
      </c>
      <c r="B9" s="55"/>
      <c r="C9" s="55"/>
      <c r="D9" s="21">
        <v>213.8</v>
      </c>
      <c r="E9" s="26">
        <v>949</v>
      </c>
      <c r="F9" s="35">
        <v>211.55</v>
      </c>
      <c r="G9" s="35">
        <v>713.71600000000001</v>
      </c>
      <c r="H9" s="35">
        <v>13</v>
      </c>
      <c r="I9" s="35">
        <v>0</v>
      </c>
      <c r="J9" s="35">
        <v>0</v>
      </c>
      <c r="K9" s="35">
        <v>0</v>
      </c>
      <c r="L9" s="35">
        <v>25</v>
      </c>
      <c r="M9" s="23">
        <f t="shared" si="0"/>
        <v>25</v>
      </c>
      <c r="N9" s="2"/>
    </row>
    <row r="10" spans="1:14" ht="19.5" customHeight="1" x14ac:dyDescent="0.3">
      <c r="A10" s="8">
        <v>44718</v>
      </c>
      <c r="B10" s="55"/>
      <c r="C10" s="55"/>
      <c r="D10" s="21">
        <v>213.8</v>
      </c>
      <c r="E10" s="26">
        <v>949</v>
      </c>
      <c r="F10" s="35">
        <v>211.54</v>
      </c>
      <c r="G10" s="35">
        <v>712.65599999999995</v>
      </c>
      <c r="H10" s="35">
        <v>13</v>
      </c>
      <c r="I10" s="35">
        <v>0</v>
      </c>
      <c r="J10" s="35">
        <v>0</v>
      </c>
      <c r="K10" s="35">
        <v>0</v>
      </c>
      <c r="L10" s="35">
        <v>25</v>
      </c>
      <c r="M10" s="23">
        <f t="shared" si="0"/>
        <v>25</v>
      </c>
      <c r="N10" s="2"/>
    </row>
    <row r="11" spans="1:14" ht="19.5" customHeight="1" x14ac:dyDescent="0.3">
      <c r="A11" s="8">
        <v>44719</v>
      </c>
      <c r="B11" s="55"/>
      <c r="C11" s="55"/>
      <c r="D11" s="21">
        <v>213.8</v>
      </c>
      <c r="E11" s="26">
        <v>949</v>
      </c>
      <c r="F11" s="36">
        <v>211.54</v>
      </c>
      <c r="G11" s="37">
        <v>712.65599999999995</v>
      </c>
      <c r="H11" s="35">
        <v>25</v>
      </c>
      <c r="I11" s="35">
        <v>0</v>
      </c>
      <c r="J11" s="35">
        <v>0</v>
      </c>
      <c r="K11" s="35">
        <v>0</v>
      </c>
      <c r="L11" s="35">
        <v>25</v>
      </c>
      <c r="M11" s="23">
        <f t="shared" si="0"/>
        <v>25</v>
      </c>
      <c r="N11" s="2"/>
    </row>
    <row r="12" spans="1:14" ht="19.5" customHeight="1" x14ac:dyDescent="0.3">
      <c r="A12" s="8">
        <v>44720</v>
      </c>
      <c r="B12" s="55"/>
      <c r="C12" s="55"/>
      <c r="D12" s="21">
        <v>213.8</v>
      </c>
      <c r="E12" s="26">
        <v>949</v>
      </c>
      <c r="F12" s="35">
        <v>211.53</v>
      </c>
      <c r="G12" s="35">
        <v>711.59699999999998</v>
      </c>
      <c r="H12" s="35">
        <v>13</v>
      </c>
      <c r="I12" s="35">
        <v>0</v>
      </c>
      <c r="J12" s="35">
        <v>0</v>
      </c>
      <c r="K12" s="35">
        <v>0</v>
      </c>
      <c r="L12" s="35">
        <v>25</v>
      </c>
      <c r="M12" s="23">
        <f t="shared" si="0"/>
        <v>25</v>
      </c>
      <c r="N12" s="2"/>
    </row>
    <row r="13" spans="1:14" ht="19.5" customHeight="1" x14ac:dyDescent="0.3">
      <c r="A13" s="8">
        <v>44721</v>
      </c>
      <c r="B13" s="55"/>
      <c r="C13" s="55"/>
      <c r="D13" s="21">
        <v>213.8</v>
      </c>
      <c r="E13" s="26">
        <v>949</v>
      </c>
      <c r="F13" s="35">
        <v>211.52</v>
      </c>
      <c r="G13" s="35">
        <v>710.53700000000003</v>
      </c>
      <c r="H13" s="35">
        <v>13</v>
      </c>
      <c r="I13" s="35">
        <v>0</v>
      </c>
      <c r="J13" s="35">
        <v>0</v>
      </c>
      <c r="K13" s="35">
        <v>0</v>
      </c>
      <c r="L13" s="35">
        <v>25</v>
      </c>
      <c r="M13" s="23">
        <f t="shared" si="0"/>
        <v>25</v>
      </c>
      <c r="N13" s="2"/>
    </row>
    <row r="14" spans="1:14" ht="19.5" customHeight="1" x14ac:dyDescent="0.3">
      <c r="A14" s="8">
        <v>44722</v>
      </c>
      <c r="B14" s="55"/>
      <c r="C14" s="55"/>
      <c r="D14" s="21">
        <v>213.8</v>
      </c>
      <c r="E14" s="26">
        <v>949</v>
      </c>
      <c r="F14" s="35">
        <v>211.51</v>
      </c>
      <c r="G14" s="35">
        <v>709.47799999999995</v>
      </c>
      <c r="H14" s="35">
        <v>13</v>
      </c>
      <c r="I14" s="35">
        <v>0</v>
      </c>
      <c r="J14" s="35">
        <v>0</v>
      </c>
      <c r="K14" s="35">
        <v>0</v>
      </c>
      <c r="L14" s="35">
        <v>25</v>
      </c>
      <c r="M14" s="23">
        <f t="shared" si="0"/>
        <v>25</v>
      </c>
      <c r="N14" s="2"/>
    </row>
    <row r="15" spans="1:14" ht="19.5" customHeight="1" x14ac:dyDescent="0.3">
      <c r="A15" s="8">
        <v>44723</v>
      </c>
      <c r="B15" s="55"/>
      <c r="C15" s="55"/>
      <c r="D15" s="21">
        <v>213.8</v>
      </c>
      <c r="E15" s="26">
        <v>949</v>
      </c>
      <c r="F15" s="35">
        <v>211.5</v>
      </c>
      <c r="G15" s="35">
        <v>708.41800000000001</v>
      </c>
      <c r="H15" s="35">
        <v>13</v>
      </c>
      <c r="I15" s="35">
        <v>0</v>
      </c>
      <c r="J15" s="35">
        <v>0</v>
      </c>
      <c r="K15" s="35">
        <v>0</v>
      </c>
      <c r="L15" s="35">
        <v>25</v>
      </c>
      <c r="M15" s="23">
        <f t="shared" si="0"/>
        <v>25</v>
      </c>
      <c r="N15" s="2"/>
    </row>
    <row r="16" spans="1:14" ht="19.5" customHeight="1" x14ac:dyDescent="0.3">
      <c r="A16" s="8">
        <v>44724</v>
      </c>
      <c r="B16" s="55"/>
      <c r="C16" s="55"/>
      <c r="D16" s="21">
        <v>213.8</v>
      </c>
      <c r="E16" s="26">
        <v>949</v>
      </c>
      <c r="F16" s="36">
        <v>211.49</v>
      </c>
      <c r="G16" s="35">
        <v>707.34900000000005</v>
      </c>
      <c r="H16" s="35">
        <v>13</v>
      </c>
      <c r="I16" s="35">
        <v>0</v>
      </c>
      <c r="J16" s="35">
        <v>0</v>
      </c>
      <c r="K16" s="35">
        <v>0</v>
      </c>
      <c r="L16" s="35">
        <v>25</v>
      </c>
      <c r="M16" s="23">
        <f t="shared" si="0"/>
        <v>25</v>
      </c>
      <c r="N16" s="2"/>
    </row>
    <row r="17" spans="1:17" ht="19.5" customHeight="1" x14ac:dyDescent="0.3">
      <c r="A17" s="8">
        <v>44725</v>
      </c>
      <c r="B17" s="55"/>
      <c r="C17" s="55"/>
      <c r="D17" s="21">
        <v>213.8</v>
      </c>
      <c r="E17" s="26">
        <v>949</v>
      </c>
      <c r="F17" s="35">
        <v>211.51</v>
      </c>
      <c r="G17" s="35">
        <v>709.47799999999995</v>
      </c>
      <c r="H17" s="35">
        <v>50</v>
      </c>
      <c r="I17" s="35">
        <v>0</v>
      </c>
      <c r="J17" s="35">
        <v>0</v>
      </c>
      <c r="K17" s="35">
        <v>0</v>
      </c>
      <c r="L17" s="35">
        <v>25</v>
      </c>
      <c r="M17" s="23">
        <f t="shared" si="0"/>
        <v>25</v>
      </c>
      <c r="N17" s="2"/>
    </row>
    <row r="18" spans="1:17" ht="19.5" customHeight="1" x14ac:dyDescent="0.3">
      <c r="A18" s="8">
        <v>44726</v>
      </c>
      <c r="B18" s="55"/>
      <c r="C18" s="55"/>
      <c r="D18" s="21">
        <v>213.8</v>
      </c>
      <c r="E18" s="26">
        <v>949</v>
      </c>
      <c r="F18" s="35">
        <v>211.5</v>
      </c>
      <c r="G18" s="35">
        <v>708.41800000000001</v>
      </c>
      <c r="H18" s="35">
        <v>13</v>
      </c>
      <c r="I18" s="35">
        <v>0</v>
      </c>
      <c r="J18" s="35">
        <v>0</v>
      </c>
      <c r="K18" s="35">
        <v>0</v>
      </c>
      <c r="L18" s="35">
        <v>25</v>
      </c>
      <c r="M18" s="23">
        <f t="shared" si="0"/>
        <v>25</v>
      </c>
      <c r="N18" s="2"/>
    </row>
    <row r="19" spans="1:17" ht="19.5" customHeight="1" x14ac:dyDescent="0.3">
      <c r="A19" s="8">
        <v>44727</v>
      </c>
      <c r="B19" s="55"/>
      <c r="C19" s="55"/>
      <c r="D19" s="21">
        <v>213.8</v>
      </c>
      <c r="E19" s="26">
        <v>949</v>
      </c>
      <c r="F19" s="35">
        <v>211.5</v>
      </c>
      <c r="G19" s="35">
        <v>708.41800000000001</v>
      </c>
      <c r="H19" s="35">
        <v>25</v>
      </c>
      <c r="I19" s="35">
        <v>0</v>
      </c>
      <c r="J19" s="35">
        <v>0</v>
      </c>
      <c r="K19" s="35">
        <v>0</v>
      </c>
      <c r="L19" s="35">
        <v>25</v>
      </c>
      <c r="M19" s="23">
        <f t="shared" si="0"/>
        <v>25</v>
      </c>
      <c r="N19" s="2"/>
    </row>
    <row r="20" spans="1:17" ht="19.5" customHeight="1" x14ac:dyDescent="0.3">
      <c r="A20" s="8">
        <v>44728</v>
      </c>
      <c r="B20" s="55"/>
      <c r="C20" s="55"/>
      <c r="D20" s="21">
        <v>213.8</v>
      </c>
      <c r="E20" s="26">
        <v>949</v>
      </c>
      <c r="F20" s="35">
        <v>211.5</v>
      </c>
      <c r="G20" s="35">
        <v>708.41800000000001</v>
      </c>
      <c r="H20" s="35">
        <v>25</v>
      </c>
      <c r="I20" s="35">
        <v>0</v>
      </c>
      <c r="J20" s="35">
        <v>0</v>
      </c>
      <c r="K20" s="35">
        <v>0</v>
      </c>
      <c r="L20" s="35">
        <v>25</v>
      </c>
      <c r="M20" s="23">
        <f t="shared" si="0"/>
        <v>25</v>
      </c>
      <c r="N20" s="2"/>
    </row>
    <row r="21" spans="1:17" ht="19.5" customHeight="1" x14ac:dyDescent="0.3">
      <c r="A21" s="8">
        <v>44729</v>
      </c>
      <c r="B21" s="55"/>
      <c r="C21" s="55"/>
      <c r="D21" s="21">
        <v>213.8</v>
      </c>
      <c r="E21" s="26">
        <v>949</v>
      </c>
      <c r="F21" s="36">
        <v>211.5</v>
      </c>
      <c r="G21" s="35">
        <v>708.41800000000001</v>
      </c>
      <c r="H21" s="35">
        <v>25</v>
      </c>
      <c r="I21" s="35">
        <v>0</v>
      </c>
      <c r="J21" s="35">
        <v>0</v>
      </c>
      <c r="K21" s="35">
        <v>0</v>
      </c>
      <c r="L21" s="35">
        <v>25</v>
      </c>
      <c r="M21" s="23">
        <f t="shared" si="0"/>
        <v>25</v>
      </c>
      <c r="N21" s="2"/>
    </row>
    <row r="22" spans="1:17" ht="19.5" customHeight="1" x14ac:dyDescent="0.3">
      <c r="A22" s="8">
        <v>44730</v>
      </c>
      <c r="B22" s="55"/>
      <c r="C22" s="55"/>
      <c r="D22" s="21">
        <v>213.8</v>
      </c>
      <c r="E22" s="26">
        <v>949</v>
      </c>
      <c r="F22" s="35">
        <v>211.5</v>
      </c>
      <c r="G22" s="35">
        <v>708.41800000000001</v>
      </c>
      <c r="H22" s="35">
        <v>25</v>
      </c>
      <c r="I22" s="35">
        <v>0</v>
      </c>
      <c r="J22" s="35">
        <v>0</v>
      </c>
      <c r="K22" s="35">
        <v>0</v>
      </c>
      <c r="L22" s="35">
        <v>25</v>
      </c>
      <c r="M22" s="23">
        <f t="shared" si="0"/>
        <v>25</v>
      </c>
      <c r="N22" s="2"/>
    </row>
    <row r="23" spans="1:17" ht="19.5" customHeight="1" x14ac:dyDescent="0.3">
      <c r="A23" s="8">
        <v>44731</v>
      </c>
      <c r="B23" s="55"/>
      <c r="C23" s="55"/>
      <c r="D23" s="21">
        <v>213.8</v>
      </c>
      <c r="E23" s="26">
        <v>949</v>
      </c>
      <c r="F23" s="35">
        <v>211.5</v>
      </c>
      <c r="G23" s="35">
        <v>708.41800000000001</v>
      </c>
      <c r="H23" s="35">
        <v>25</v>
      </c>
      <c r="I23" s="35">
        <v>0</v>
      </c>
      <c r="J23" s="35">
        <v>0</v>
      </c>
      <c r="K23" s="35">
        <v>0</v>
      </c>
      <c r="L23" s="35">
        <v>25</v>
      </c>
      <c r="M23" s="23">
        <f t="shared" si="0"/>
        <v>25</v>
      </c>
      <c r="N23" s="2"/>
    </row>
    <row r="24" spans="1:17" ht="19.5" customHeight="1" x14ac:dyDescent="0.3">
      <c r="A24" s="8">
        <v>44732</v>
      </c>
      <c r="B24" s="55"/>
      <c r="C24" s="55"/>
      <c r="D24" s="21">
        <v>213.8</v>
      </c>
      <c r="E24" s="26">
        <v>949</v>
      </c>
      <c r="F24" s="35">
        <v>211.49</v>
      </c>
      <c r="G24" s="35">
        <v>707.35900000000004</v>
      </c>
      <c r="H24" s="35">
        <v>13</v>
      </c>
      <c r="I24" s="35">
        <v>0</v>
      </c>
      <c r="J24" s="35">
        <v>0</v>
      </c>
      <c r="K24" s="35">
        <v>0</v>
      </c>
      <c r="L24" s="35">
        <v>25</v>
      </c>
      <c r="M24" s="23">
        <f t="shared" si="0"/>
        <v>25</v>
      </c>
      <c r="N24" s="2"/>
    </row>
    <row r="25" spans="1:17" ht="19.5" customHeight="1" x14ac:dyDescent="0.3">
      <c r="A25" s="8">
        <v>44733</v>
      </c>
      <c r="B25" s="55"/>
      <c r="C25" s="55"/>
      <c r="D25" s="21">
        <v>213.8</v>
      </c>
      <c r="E25" s="26">
        <v>949</v>
      </c>
      <c r="F25" s="35">
        <v>211.5</v>
      </c>
      <c r="G25" s="35">
        <v>708.41899999999998</v>
      </c>
      <c r="H25" s="35">
        <v>38</v>
      </c>
      <c r="I25" s="35">
        <v>0</v>
      </c>
      <c r="J25" s="35">
        <v>0</v>
      </c>
      <c r="K25" s="35">
        <v>0</v>
      </c>
      <c r="L25" s="35">
        <v>25</v>
      </c>
      <c r="M25" s="23">
        <f t="shared" si="0"/>
        <v>25</v>
      </c>
      <c r="N25" s="2"/>
    </row>
    <row r="26" spans="1:17" ht="19.5" customHeight="1" x14ac:dyDescent="0.3">
      <c r="A26" s="8">
        <v>44734</v>
      </c>
      <c r="B26" s="55"/>
      <c r="C26" s="55"/>
      <c r="D26" s="21">
        <v>213.8</v>
      </c>
      <c r="E26" s="26">
        <v>949</v>
      </c>
      <c r="F26" s="35">
        <v>211.5</v>
      </c>
      <c r="G26" s="35">
        <v>708.41899999999998</v>
      </c>
      <c r="H26" s="35">
        <v>25</v>
      </c>
      <c r="I26" s="35">
        <v>0</v>
      </c>
      <c r="J26" s="35">
        <v>0</v>
      </c>
      <c r="K26" s="35">
        <v>0</v>
      </c>
      <c r="L26" s="35">
        <v>25</v>
      </c>
      <c r="M26" s="23">
        <f t="shared" si="0"/>
        <v>25</v>
      </c>
      <c r="N26" s="2"/>
      <c r="O26" s="18"/>
    </row>
    <row r="27" spans="1:17" ht="19.5" customHeight="1" x14ac:dyDescent="0.3">
      <c r="A27" s="8">
        <v>44735</v>
      </c>
      <c r="B27" s="55"/>
      <c r="C27" s="55"/>
      <c r="D27" s="21">
        <v>213.8</v>
      </c>
      <c r="E27" s="26">
        <v>949</v>
      </c>
      <c r="F27" s="35">
        <v>211.5</v>
      </c>
      <c r="G27" s="35">
        <v>708.41899999999998</v>
      </c>
      <c r="H27" s="35">
        <v>25</v>
      </c>
      <c r="I27" s="35">
        <v>0</v>
      </c>
      <c r="J27" s="35">
        <v>0</v>
      </c>
      <c r="K27" s="35">
        <v>0</v>
      </c>
      <c r="L27" s="35">
        <v>25</v>
      </c>
      <c r="M27" s="23">
        <f t="shared" si="0"/>
        <v>25</v>
      </c>
      <c r="N27" s="2"/>
    </row>
    <row r="28" spans="1:17" ht="19.5" customHeight="1" x14ac:dyDescent="0.3">
      <c r="A28" s="8">
        <v>44736</v>
      </c>
      <c r="B28" s="55"/>
      <c r="C28" s="55"/>
      <c r="D28" s="21">
        <v>213.8</v>
      </c>
      <c r="E28" s="26">
        <v>949</v>
      </c>
      <c r="F28" s="35">
        <v>211.55</v>
      </c>
      <c r="G28" s="35">
        <v>713.71600000000001</v>
      </c>
      <c r="H28" s="35">
        <v>87</v>
      </c>
      <c r="I28" s="35">
        <v>0</v>
      </c>
      <c r="J28" s="35">
        <v>0</v>
      </c>
      <c r="K28" s="35">
        <v>0</v>
      </c>
      <c r="L28" s="35">
        <v>25</v>
      </c>
      <c r="M28" s="23">
        <f t="shared" si="0"/>
        <v>25</v>
      </c>
      <c r="N28" s="2"/>
    </row>
    <row r="29" spans="1:17" ht="19.5" customHeight="1" x14ac:dyDescent="0.3">
      <c r="A29" s="8">
        <v>44737</v>
      </c>
      <c r="B29" s="55"/>
      <c r="C29" s="55"/>
      <c r="D29" s="21">
        <v>213.8</v>
      </c>
      <c r="E29" s="26">
        <v>949</v>
      </c>
      <c r="F29" s="35">
        <v>211.59</v>
      </c>
      <c r="G29" s="35">
        <v>717.95299999999997</v>
      </c>
      <c r="H29" s="35">
        <v>75</v>
      </c>
      <c r="I29" s="35">
        <v>0</v>
      </c>
      <c r="J29" s="35">
        <v>0</v>
      </c>
      <c r="K29" s="35">
        <v>0</v>
      </c>
      <c r="L29" s="35">
        <v>25</v>
      </c>
      <c r="M29" s="23">
        <f t="shared" si="0"/>
        <v>25</v>
      </c>
      <c r="N29" s="2"/>
    </row>
    <row r="30" spans="1:17" ht="19.5" customHeight="1" x14ac:dyDescent="0.3">
      <c r="A30" s="8">
        <v>44738</v>
      </c>
      <c r="B30" s="55"/>
      <c r="C30" s="55"/>
      <c r="D30" s="21">
        <v>213.8</v>
      </c>
      <c r="E30" s="26">
        <v>949</v>
      </c>
      <c r="F30" s="35">
        <v>211.63</v>
      </c>
      <c r="G30" s="35">
        <v>722.19100000000003</v>
      </c>
      <c r="H30" s="35">
        <v>75</v>
      </c>
      <c r="I30" s="35">
        <v>0</v>
      </c>
      <c r="J30" s="35">
        <v>0</v>
      </c>
      <c r="K30" s="35">
        <v>0</v>
      </c>
      <c r="L30" s="35">
        <v>25</v>
      </c>
      <c r="M30" s="23">
        <f t="shared" si="0"/>
        <v>25</v>
      </c>
      <c r="N30" s="2"/>
    </row>
    <row r="31" spans="1:17" ht="21" customHeight="1" x14ac:dyDescent="0.3">
      <c r="A31" s="8">
        <v>44739</v>
      </c>
      <c r="B31" s="55"/>
      <c r="C31" s="55"/>
      <c r="D31" s="21">
        <v>213.8</v>
      </c>
      <c r="E31" s="26">
        <v>949</v>
      </c>
      <c r="F31" s="36">
        <v>211.67</v>
      </c>
      <c r="G31" s="35">
        <v>726.42899999999997</v>
      </c>
      <c r="H31" s="35">
        <v>75</v>
      </c>
      <c r="I31" s="35">
        <v>0</v>
      </c>
      <c r="J31" s="35">
        <v>0</v>
      </c>
      <c r="K31" s="35">
        <v>0</v>
      </c>
      <c r="L31" s="35">
        <v>25</v>
      </c>
      <c r="M31" s="23">
        <f t="shared" si="0"/>
        <v>25</v>
      </c>
      <c r="N31" s="2"/>
      <c r="O31">
        <f>38+32+150+15</f>
        <v>235</v>
      </c>
      <c r="Q31">
        <f>(L35*86400)/1000000</f>
        <v>64.8</v>
      </c>
    </row>
    <row r="32" spans="1:17" ht="21" customHeight="1" x14ac:dyDescent="0.3">
      <c r="A32" s="8">
        <v>44740</v>
      </c>
      <c r="B32" s="55"/>
      <c r="C32" s="55"/>
      <c r="D32" s="21">
        <v>213.8</v>
      </c>
      <c r="E32" s="26">
        <v>949</v>
      </c>
      <c r="F32" s="35">
        <v>211.71</v>
      </c>
      <c r="G32" s="35">
        <v>730.66700000000003</v>
      </c>
      <c r="H32" s="35">
        <v>75</v>
      </c>
      <c r="I32" s="35">
        <v>0</v>
      </c>
      <c r="J32" s="35">
        <v>0</v>
      </c>
      <c r="K32" s="35">
        <v>0</v>
      </c>
      <c r="L32" s="35">
        <v>25</v>
      </c>
      <c r="M32" s="23">
        <f t="shared" si="0"/>
        <v>25</v>
      </c>
      <c r="N32" s="2"/>
      <c r="O32">
        <f>O31/12</f>
        <v>19.583333333333332</v>
      </c>
      <c r="Q32">
        <f>Q31/35.315</f>
        <v>1.8349143423474445</v>
      </c>
    </row>
    <row r="33" spans="1:33" ht="21" customHeight="1" x14ac:dyDescent="0.3">
      <c r="A33" s="8">
        <v>44741</v>
      </c>
      <c r="B33" s="55"/>
      <c r="C33" s="55"/>
      <c r="D33" s="21">
        <v>213.8</v>
      </c>
      <c r="E33" s="26">
        <v>949</v>
      </c>
      <c r="F33" s="35">
        <v>211.75</v>
      </c>
      <c r="G33" s="35">
        <v>734.90499999999997</v>
      </c>
      <c r="H33" s="35">
        <v>75</v>
      </c>
      <c r="I33" s="35">
        <v>0</v>
      </c>
      <c r="J33" s="35">
        <v>0</v>
      </c>
      <c r="K33" s="35">
        <v>0</v>
      </c>
      <c r="L33" s="35">
        <v>25</v>
      </c>
      <c r="M33" s="23">
        <f t="shared" si="0"/>
        <v>25</v>
      </c>
      <c r="N33" s="2"/>
      <c r="O33">
        <f>O32/35.315</f>
        <v>0.55453301241210062</v>
      </c>
    </row>
    <row r="34" spans="1:33" ht="21" customHeight="1" x14ac:dyDescent="0.3">
      <c r="A34" s="8">
        <v>44742</v>
      </c>
      <c r="B34" s="56"/>
      <c r="C34" s="56"/>
      <c r="D34" s="22">
        <v>213.8</v>
      </c>
      <c r="E34" s="26">
        <v>949</v>
      </c>
      <c r="F34" s="35">
        <v>211.74</v>
      </c>
      <c r="G34" s="35">
        <v>733.84500000000003</v>
      </c>
      <c r="H34" s="35">
        <v>13</v>
      </c>
      <c r="I34" s="35">
        <v>0</v>
      </c>
      <c r="J34" s="35">
        <v>0</v>
      </c>
      <c r="K34" s="35">
        <v>0</v>
      </c>
      <c r="L34" s="35">
        <v>25</v>
      </c>
      <c r="M34" s="23">
        <f t="shared" si="0"/>
        <v>25</v>
      </c>
      <c r="N34" s="2"/>
    </row>
    <row r="35" spans="1:33" ht="21" customHeight="1" x14ac:dyDescent="0.3">
      <c r="A35" s="12"/>
      <c r="B35" s="13"/>
      <c r="C35" s="13"/>
      <c r="D35" s="14"/>
      <c r="E35" s="14"/>
      <c r="F35" s="15"/>
      <c r="G35" s="14"/>
      <c r="H35" s="16">
        <f>SUM(H5:H34)</f>
        <v>944</v>
      </c>
      <c r="I35" s="16">
        <f t="shared" ref="I35:K35" si="1">SUM(I5:I34)</f>
        <v>0</v>
      </c>
      <c r="J35" s="16">
        <f t="shared" si="1"/>
        <v>0</v>
      </c>
      <c r="K35" s="16">
        <f t="shared" si="1"/>
        <v>0</v>
      </c>
      <c r="L35" s="16">
        <f>SUM(L5:L34)</f>
        <v>750</v>
      </c>
      <c r="M35" s="16">
        <f>SUM(M5:M34)</f>
        <v>750</v>
      </c>
      <c r="N35" s="17"/>
      <c r="O35" s="19"/>
      <c r="P35" s="19">
        <f>+H35+'JULY 2022 '!H36+'AUGUST 2022'!H36+'SEPTEMBER 2022'!H35+'OCTOBER 2022'!H36+'NOVEMBER 2022 '!H35+'DECEMBER 2022'!H36+'JANUARY 2022 '!H36+'FEBRUARY 2022'!H33+'MARCH 2022'!H36+'APRIL 2022'!H35+'MAY 2022'!H36</f>
        <v>31622</v>
      </c>
      <c r="Q35" s="19">
        <f>+I35+'JULY 2022 '!I36+'AUGUST 2022'!I36+'SEPTEMBER 2022'!I35+'OCTOBER 2022'!I36+'NOVEMBER 2022 '!I35+'DECEMBER 2022'!I36+'JANUARY 2022 '!I36+'FEBRUARY 2022'!I33+'MARCH 2022'!I36+'APRIL 2022'!I35+'MAY 2022'!I36</f>
        <v>10950</v>
      </c>
      <c r="R35" s="19">
        <f>+J35+'JULY 2022 '!J36+'AUGUST 2022'!J36+'SEPTEMBER 2022'!J35+'OCTOBER 2022'!J36+'NOVEMBER 2022 '!J35+'DECEMBER 2022'!J36+'JANUARY 2022 '!J36+'FEBRUARY 2022'!J33+'MARCH 2022'!J36+'APRIL 2022'!J35+'MAY 2022'!J36</f>
        <v>9910</v>
      </c>
      <c r="S35" s="19">
        <f>+K35+'JULY 2022 '!K36+'AUGUST 2022'!K36+'SEPTEMBER 2022'!K35+'OCTOBER 2022'!K36+'NOVEMBER 2022 '!K35+'DECEMBER 2022'!K36+'JANUARY 2022 '!K36+'FEBRUARY 2022'!K33+'MARCH 2022'!K36+'APRIL 2022'!K35+'MAY 2022'!K36</f>
        <v>6775</v>
      </c>
      <c r="T35" s="19">
        <f>+L35+'JULY 2022 '!L36+'AUGUST 2022'!L36+'SEPTEMBER 2022'!L35+'OCTOBER 2022'!L36+'NOVEMBER 2022 '!L35+'DECEMBER 2022'!L36+'JANUARY 2022 '!L36+'FEBRUARY 2022'!L33+'MARCH 2022'!L36+'APRIL 2022'!L35+'MAY 2022'!L36</f>
        <v>4630</v>
      </c>
      <c r="U35" s="19">
        <f>+M35+'JULY 2022 '!M36+'AUGUST 2022'!M36+'SEPTEMBER 2022'!M35+'OCTOBER 2022'!M36+'NOVEMBER 2022 '!M35+'DECEMBER 2022'!M36+'JANUARY 2022 '!M36+'FEBRUARY 2022'!M33+'MARCH 2022'!M36+'APRIL 2022'!M35+'MAY 2022'!M36</f>
        <v>32265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1:33" ht="47.25" customHeight="1" x14ac:dyDescent="0.3">
      <c r="A36" s="3"/>
      <c r="B36" s="4"/>
      <c r="C36" s="5"/>
      <c r="D36" s="5"/>
      <c r="E36" s="5"/>
      <c r="F36" s="5"/>
      <c r="G36" s="5"/>
      <c r="H36" s="5">
        <f>H35/11574</f>
        <v>8.1562121997580783E-2</v>
      </c>
      <c r="I36" s="5"/>
      <c r="J36" s="5">
        <f>J35/11574</f>
        <v>0</v>
      </c>
      <c r="K36" s="5">
        <f>K35/11574</f>
        <v>0</v>
      </c>
      <c r="L36" s="6"/>
      <c r="M36" s="6"/>
      <c r="N36" s="7"/>
    </row>
    <row r="37" spans="1:33" ht="47.25" customHeight="1" x14ac:dyDescent="0.3">
      <c r="A37" s="3"/>
      <c r="B37" s="4"/>
      <c r="C37" s="5"/>
      <c r="D37" s="5"/>
      <c r="E37" s="5"/>
      <c r="F37" s="5"/>
      <c r="G37" s="5"/>
      <c r="H37" s="5">
        <v>31622</v>
      </c>
      <c r="I37" s="5">
        <v>10950</v>
      </c>
      <c r="J37" s="5">
        <v>9910</v>
      </c>
      <c r="K37" s="5">
        <v>6775</v>
      </c>
      <c r="L37" s="6">
        <v>4630</v>
      </c>
      <c r="M37" s="6">
        <v>32265</v>
      </c>
      <c r="N37" s="7"/>
      <c r="O37">
        <v>11574</v>
      </c>
    </row>
    <row r="38" spans="1:33" ht="47.25" customHeight="1" x14ac:dyDescent="0.3">
      <c r="A38" s="3"/>
      <c r="B38" s="4"/>
      <c r="C38" s="5"/>
      <c r="D38" s="5"/>
      <c r="E38" s="5"/>
      <c r="F38" s="5"/>
      <c r="G38" s="5"/>
      <c r="H38" s="5">
        <f>ROUND(H37/$O$37,3)</f>
        <v>2.7320000000000002</v>
      </c>
      <c r="I38" s="5">
        <f t="shared" ref="I38:M38" si="2">ROUND(I37/$O$37,3)</f>
        <v>0.94599999999999995</v>
      </c>
      <c r="J38" s="5">
        <f t="shared" si="2"/>
        <v>0.85599999999999998</v>
      </c>
      <c r="K38" s="5">
        <f t="shared" si="2"/>
        <v>0.58499999999999996</v>
      </c>
      <c r="L38" s="5">
        <f t="shared" si="2"/>
        <v>0.4</v>
      </c>
      <c r="M38" s="5">
        <f t="shared" si="2"/>
        <v>2.7879999999999998</v>
      </c>
      <c r="N38" s="7"/>
    </row>
    <row r="39" spans="1:33" ht="47.25" customHeight="1" x14ac:dyDescent="0.3">
      <c r="A39" s="3"/>
      <c r="B39" s="4"/>
      <c r="C39" s="5"/>
      <c r="D39" s="5"/>
      <c r="E39" s="5"/>
      <c r="F39" s="5"/>
      <c r="G39" s="5"/>
      <c r="H39" s="5"/>
      <c r="I39" s="5"/>
      <c r="J39" s="5"/>
      <c r="K39" s="5">
        <f>+K38+J38</f>
        <v>1.4409999999999998</v>
      </c>
      <c r="L39" s="6"/>
      <c r="M39" s="6"/>
      <c r="N39" s="7"/>
    </row>
    <row r="40" spans="1:33" ht="47.25" customHeight="1" x14ac:dyDescent="0.3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6"/>
      <c r="M40" s="6"/>
      <c r="N40" s="7"/>
    </row>
    <row r="41" spans="1:33" ht="47.25" customHeight="1" x14ac:dyDescent="0.3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6"/>
      <c r="M41" s="6"/>
      <c r="N41" s="7"/>
    </row>
    <row r="42" spans="1:33" ht="15.75" customHeight="1" x14ac:dyDescent="0.3">
      <c r="A42" s="57" t="s">
        <v>9</v>
      </c>
      <c r="B42" s="52"/>
      <c r="C42" s="52"/>
      <c r="D42" s="52"/>
      <c r="J42" s="57" t="s">
        <v>10</v>
      </c>
      <c r="K42" s="52"/>
      <c r="L42" s="52"/>
      <c r="M42" s="52"/>
      <c r="N42" s="7"/>
    </row>
    <row r="43" spans="1:33" ht="15.75" customHeight="1" x14ac:dyDescent="0.3">
      <c r="A43" s="58" t="s">
        <v>16</v>
      </c>
      <c r="B43" s="52"/>
      <c r="C43" s="52"/>
      <c r="D43" s="52"/>
      <c r="J43" s="58" t="s">
        <v>16</v>
      </c>
      <c r="K43" s="52"/>
      <c r="L43" s="52"/>
      <c r="M43" s="52"/>
      <c r="N43" s="7"/>
    </row>
    <row r="44" spans="1:33" ht="15.75" customHeight="1" x14ac:dyDescent="0.3">
      <c r="A44" s="51" t="s">
        <v>17</v>
      </c>
      <c r="B44" s="52"/>
      <c r="C44" s="52"/>
      <c r="D44" s="52"/>
      <c r="J44" s="51" t="s">
        <v>17</v>
      </c>
      <c r="K44" s="52"/>
      <c r="L44" s="52"/>
      <c r="M44" s="52"/>
      <c r="N44" s="7"/>
    </row>
    <row r="45" spans="1:33" ht="15.75" customHeight="1" x14ac:dyDescent="0.3">
      <c r="N45" s="7"/>
    </row>
    <row r="46" spans="1:33" ht="15.75" customHeight="1" x14ac:dyDescent="0.3">
      <c r="N46" s="7"/>
    </row>
    <row r="47" spans="1:33" ht="15.75" customHeight="1" x14ac:dyDescent="0.3">
      <c r="N47" s="7"/>
    </row>
    <row r="48" spans="1:33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  <row r="103" spans="14:14" ht="15.75" customHeight="1" x14ac:dyDescent="0.3">
      <c r="N103" s="7"/>
    </row>
    <row r="104" spans="14:14" ht="15.75" customHeight="1" x14ac:dyDescent="0.3">
      <c r="N104" s="7"/>
    </row>
    <row r="105" spans="14:14" ht="15.75" customHeight="1" x14ac:dyDescent="0.3">
      <c r="N105" s="7"/>
    </row>
    <row r="106" spans="14:14" ht="15.75" customHeight="1" x14ac:dyDescent="0.3">
      <c r="N106" s="7"/>
    </row>
  </sheetData>
  <mergeCells count="20">
    <mergeCell ref="A44:D44"/>
    <mergeCell ref="J44:M44"/>
    <mergeCell ref="N3:N4"/>
    <mergeCell ref="B5:B34"/>
    <mergeCell ref="C5:C34"/>
    <mergeCell ref="A42:D42"/>
    <mergeCell ref="J42:M42"/>
    <mergeCell ref="A43:D43"/>
    <mergeCell ref="J43:M43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O102"/>
  <sheetViews>
    <sheetView view="pageBreakPreview" topLeftCell="A13" zoomScale="60" workbookViewId="0">
      <selection activeCell="J36" sqref="J36:L36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7.8867187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44743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211.78</v>
      </c>
      <c r="G5" s="35">
        <v>738.08299999999997</v>
      </c>
      <c r="H5" s="35">
        <v>75</v>
      </c>
      <c r="I5" s="35">
        <v>0</v>
      </c>
      <c r="J5" s="35">
        <v>0</v>
      </c>
      <c r="K5" s="35">
        <v>0</v>
      </c>
      <c r="L5" s="35">
        <v>25</v>
      </c>
      <c r="M5" s="35">
        <f>I5+J5+K5+L5</f>
        <v>25</v>
      </c>
      <c r="N5" s="2"/>
    </row>
    <row r="6" spans="1:14" ht="19.5" customHeight="1" x14ac:dyDescent="0.3">
      <c r="A6" s="8">
        <v>44744</v>
      </c>
      <c r="B6" s="55"/>
      <c r="C6" s="55"/>
      <c r="D6" s="21">
        <v>213.8</v>
      </c>
      <c r="E6" s="26">
        <v>949</v>
      </c>
      <c r="F6" s="35">
        <v>211.79</v>
      </c>
      <c r="G6" s="35">
        <v>739.14200000000005</v>
      </c>
      <c r="H6" s="35">
        <v>37</v>
      </c>
      <c r="I6" s="35">
        <v>0</v>
      </c>
      <c r="J6" s="35">
        <v>0</v>
      </c>
      <c r="K6" s="35">
        <v>0</v>
      </c>
      <c r="L6" s="35">
        <v>25</v>
      </c>
      <c r="M6" s="35">
        <f t="shared" ref="M6:M35" si="0">I6+J6+K6+L6</f>
        <v>25</v>
      </c>
      <c r="N6" s="2"/>
    </row>
    <row r="7" spans="1:14" ht="19.5" customHeight="1" x14ac:dyDescent="0.3">
      <c r="A7" s="8">
        <v>44745</v>
      </c>
      <c r="B7" s="55"/>
      <c r="C7" s="55"/>
      <c r="D7" s="21">
        <v>213.8</v>
      </c>
      <c r="E7" s="26">
        <v>949</v>
      </c>
      <c r="F7" s="35">
        <v>211.8</v>
      </c>
      <c r="G7" s="35">
        <v>740.202</v>
      </c>
      <c r="H7" s="35">
        <v>37</v>
      </c>
      <c r="I7" s="35">
        <v>0</v>
      </c>
      <c r="J7" s="35">
        <v>0</v>
      </c>
      <c r="K7" s="35">
        <v>0</v>
      </c>
      <c r="L7" s="35">
        <v>25</v>
      </c>
      <c r="M7" s="35">
        <f t="shared" si="0"/>
        <v>25</v>
      </c>
      <c r="N7" s="2"/>
    </row>
    <row r="8" spans="1:14" ht="19.5" customHeight="1" x14ac:dyDescent="0.3">
      <c r="A8" s="8">
        <v>44746</v>
      </c>
      <c r="B8" s="55"/>
      <c r="C8" s="55"/>
      <c r="D8" s="21">
        <v>213.8</v>
      </c>
      <c r="E8" s="26">
        <v>949</v>
      </c>
      <c r="F8" s="35">
        <v>211.8</v>
      </c>
      <c r="G8" s="35">
        <v>740.202</v>
      </c>
      <c r="H8" s="35">
        <v>25</v>
      </c>
      <c r="I8" s="35">
        <v>0</v>
      </c>
      <c r="J8" s="35">
        <v>0</v>
      </c>
      <c r="K8" s="35">
        <v>0</v>
      </c>
      <c r="L8" s="35">
        <v>25</v>
      </c>
      <c r="M8" s="35">
        <f t="shared" si="0"/>
        <v>25</v>
      </c>
      <c r="N8" s="2"/>
    </row>
    <row r="9" spans="1:14" ht="19.5" customHeight="1" x14ac:dyDescent="0.3">
      <c r="A9" s="8">
        <v>44747</v>
      </c>
      <c r="B9" s="55"/>
      <c r="C9" s="55"/>
      <c r="D9" s="21">
        <v>213.8</v>
      </c>
      <c r="E9" s="26">
        <v>949</v>
      </c>
      <c r="F9" s="35">
        <v>211.81</v>
      </c>
      <c r="G9" s="35">
        <v>741.26099999999997</v>
      </c>
      <c r="H9" s="35">
        <v>37</v>
      </c>
      <c r="I9" s="35">
        <v>0</v>
      </c>
      <c r="J9" s="35">
        <v>0</v>
      </c>
      <c r="K9" s="35">
        <v>0</v>
      </c>
      <c r="L9" s="35">
        <v>25</v>
      </c>
      <c r="M9" s="35">
        <f t="shared" si="0"/>
        <v>25</v>
      </c>
      <c r="N9" s="2"/>
    </row>
    <row r="10" spans="1:14" ht="19.5" customHeight="1" x14ac:dyDescent="0.3">
      <c r="A10" s="8">
        <v>44748</v>
      </c>
      <c r="B10" s="55"/>
      <c r="C10" s="55"/>
      <c r="D10" s="21">
        <v>213.8</v>
      </c>
      <c r="E10" s="26">
        <v>949</v>
      </c>
      <c r="F10" s="35">
        <v>211.81</v>
      </c>
      <c r="G10" s="35">
        <v>741.26099999999997</v>
      </c>
      <c r="H10" s="35">
        <v>25</v>
      </c>
      <c r="I10" s="35">
        <v>0</v>
      </c>
      <c r="J10" s="35">
        <v>0</v>
      </c>
      <c r="K10" s="35">
        <v>0</v>
      </c>
      <c r="L10" s="35">
        <v>25</v>
      </c>
      <c r="M10" s="35">
        <f t="shared" si="0"/>
        <v>25</v>
      </c>
      <c r="N10" s="2"/>
    </row>
    <row r="11" spans="1:14" ht="19.5" customHeight="1" x14ac:dyDescent="0.3">
      <c r="A11" s="8">
        <v>44749</v>
      </c>
      <c r="B11" s="55"/>
      <c r="C11" s="55"/>
      <c r="D11" s="21">
        <v>213.8</v>
      </c>
      <c r="E11" s="26">
        <v>949</v>
      </c>
      <c r="F11" s="36">
        <v>211.82</v>
      </c>
      <c r="G11" s="37">
        <v>742.32100000000003</v>
      </c>
      <c r="H11" s="35">
        <v>37</v>
      </c>
      <c r="I11" s="35">
        <v>0</v>
      </c>
      <c r="J11" s="35">
        <v>0</v>
      </c>
      <c r="K11" s="35">
        <v>0</v>
      </c>
      <c r="L11" s="35">
        <v>25</v>
      </c>
      <c r="M11" s="35">
        <f t="shared" si="0"/>
        <v>25</v>
      </c>
      <c r="N11" s="2"/>
    </row>
    <row r="12" spans="1:14" ht="19.5" customHeight="1" x14ac:dyDescent="0.3">
      <c r="A12" s="8">
        <v>44750</v>
      </c>
      <c r="B12" s="55"/>
      <c r="C12" s="55"/>
      <c r="D12" s="21">
        <v>213.8</v>
      </c>
      <c r="E12" s="26">
        <v>949</v>
      </c>
      <c r="F12" s="35">
        <v>211.84</v>
      </c>
      <c r="G12" s="35">
        <v>744.44</v>
      </c>
      <c r="H12" s="35">
        <v>50</v>
      </c>
      <c r="I12" s="35">
        <v>0</v>
      </c>
      <c r="J12" s="35">
        <v>0</v>
      </c>
      <c r="K12" s="35">
        <v>0</v>
      </c>
      <c r="L12" s="35">
        <v>25</v>
      </c>
      <c r="M12" s="35">
        <f t="shared" si="0"/>
        <v>25</v>
      </c>
      <c r="N12" s="2"/>
    </row>
    <row r="13" spans="1:14" ht="19.5" customHeight="1" x14ac:dyDescent="0.3">
      <c r="A13" s="8">
        <v>44751</v>
      </c>
      <c r="B13" s="55"/>
      <c r="C13" s="55"/>
      <c r="D13" s="21">
        <v>213.8</v>
      </c>
      <c r="E13" s="26">
        <v>949</v>
      </c>
      <c r="F13" s="35">
        <v>212.1</v>
      </c>
      <c r="G13" s="35">
        <v>771.279</v>
      </c>
      <c r="H13" s="35">
        <v>335</v>
      </c>
      <c r="I13" s="35">
        <v>0</v>
      </c>
      <c r="J13" s="35">
        <v>0</v>
      </c>
      <c r="K13" s="35">
        <v>0</v>
      </c>
      <c r="L13" s="35">
        <v>25</v>
      </c>
      <c r="M13" s="35">
        <f t="shared" si="0"/>
        <v>25</v>
      </c>
      <c r="N13" s="2"/>
    </row>
    <row r="14" spans="1:14" ht="19.5" customHeight="1" x14ac:dyDescent="0.3">
      <c r="A14" s="8">
        <v>44752</v>
      </c>
      <c r="B14" s="55"/>
      <c r="C14" s="55"/>
      <c r="D14" s="21">
        <v>213.8</v>
      </c>
      <c r="E14" s="26">
        <v>949</v>
      </c>
      <c r="F14" s="35">
        <v>212.25</v>
      </c>
      <c r="G14" s="35">
        <v>792.11500000000001</v>
      </c>
      <c r="H14" s="35">
        <v>267</v>
      </c>
      <c r="I14" s="35">
        <v>0</v>
      </c>
      <c r="J14" s="35">
        <v>0</v>
      </c>
      <c r="K14" s="35">
        <v>0</v>
      </c>
      <c r="L14" s="35">
        <v>25</v>
      </c>
      <c r="M14" s="35">
        <f t="shared" si="0"/>
        <v>25</v>
      </c>
      <c r="N14" s="2"/>
    </row>
    <row r="15" spans="1:14" ht="19.5" customHeight="1" x14ac:dyDescent="0.3">
      <c r="A15" s="8">
        <v>44753</v>
      </c>
      <c r="B15" s="55"/>
      <c r="C15" s="55"/>
      <c r="D15" s="21">
        <v>213.8</v>
      </c>
      <c r="E15" s="26">
        <v>949</v>
      </c>
      <c r="F15" s="35">
        <v>212.35</v>
      </c>
      <c r="G15" s="35">
        <v>797.41200000000003</v>
      </c>
      <c r="H15" s="35">
        <v>87</v>
      </c>
      <c r="I15" s="35">
        <v>0</v>
      </c>
      <c r="J15" s="35">
        <v>0</v>
      </c>
      <c r="K15" s="35">
        <v>0</v>
      </c>
      <c r="L15" s="35">
        <v>25</v>
      </c>
      <c r="M15" s="35">
        <f t="shared" si="0"/>
        <v>25</v>
      </c>
      <c r="N15" s="2"/>
    </row>
    <row r="16" spans="1:14" ht="19.5" customHeight="1" x14ac:dyDescent="0.3">
      <c r="A16" s="8">
        <v>44754</v>
      </c>
      <c r="B16" s="55"/>
      <c r="C16" s="55"/>
      <c r="D16" s="21">
        <v>213.8</v>
      </c>
      <c r="E16" s="26">
        <v>949</v>
      </c>
      <c r="F16" s="36">
        <v>212.58</v>
      </c>
      <c r="G16" s="35">
        <v>821.63099999999997</v>
      </c>
      <c r="H16" s="35">
        <v>305</v>
      </c>
      <c r="I16" s="35">
        <v>0</v>
      </c>
      <c r="J16" s="35">
        <v>0</v>
      </c>
      <c r="K16" s="35">
        <v>0</v>
      </c>
      <c r="L16" s="35">
        <v>25</v>
      </c>
      <c r="M16" s="35">
        <f t="shared" si="0"/>
        <v>25</v>
      </c>
      <c r="N16" s="2"/>
    </row>
    <row r="17" spans="1:15" ht="19.5" customHeight="1" x14ac:dyDescent="0.3">
      <c r="A17" s="8">
        <v>44755</v>
      </c>
      <c r="B17" s="55"/>
      <c r="C17" s="55"/>
      <c r="D17" s="21">
        <v>213.8</v>
      </c>
      <c r="E17" s="26">
        <v>949</v>
      </c>
      <c r="F17" s="35">
        <v>212.67</v>
      </c>
      <c r="G17" s="35">
        <v>831.03200000000004</v>
      </c>
      <c r="H17" s="35">
        <v>139</v>
      </c>
      <c r="I17" s="35">
        <v>0</v>
      </c>
      <c r="J17" s="35">
        <v>0</v>
      </c>
      <c r="K17" s="35">
        <v>0</v>
      </c>
      <c r="L17" s="35">
        <v>25</v>
      </c>
      <c r="M17" s="35">
        <f t="shared" si="0"/>
        <v>25</v>
      </c>
      <c r="N17" s="2"/>
    </row>
    <row r="18" spans="1:15" ht="19.5" customHeight="1" x14ac:dyDescent="0.3">
      <c r="A18" s="8">
        <v>44756</v>
      </c>
      <c r="B18" s="55"/>
      <c r="C18" s="55"/>
      <c r="D18" s="21">
        <v>213.8</v>
      </c>
      <c r="E18" s="26">
        <v>949</v>
      </c>
      <c r="F18" s="35">
        <v>212.7</v>
      </c>
      <c r="G18" s="35">
        <v>834.14</v>
      </c>
      <c r="H18" s="35">
        <v>76</v>
      </c>
      <c r="I18" s="35">
        <v>0</v>
      </c>
      <c r="J18" s="35">
        <v>0</v>
      </c>
      <c r="K18" s="35">
        <v>0</v>
      </c>
      <c r="L18" s="35">
        <v>25</v>
      </c>
      <c r="M18" s="35">
        <f t="shared" si="0"/>
        <v>25</v>
      </c>
      <c r="N18" s="2"/>
    </row>
    <row r="19" spans="1:15" ht="19.5" customHeight="1" x14ac:dyDescent="0.3">
      <c r="A19" s="8">
        <v>44757</v>
      </c>
      <c r="B19" s="55"/>
      <c r="C19" s="55"/>
      <c r="D19" s="21">
        <v>213.8</v>
      </c>
      <c r="E19" s="26">
        <v>949</v>
      </c>
      <c r="F19" s="35">
        <v>212.77</v>
      </c>
      <c r="G19" s="35">
        <v>841.55600000000004</v>
      </c>
      <c r="H19" s="35">
        <v>145</v>
      </c>
      <c r="I19" s="35">
        <v>0</v>
      </c>
      <c r="J19" s="35">
        <v>60</v>
      </c>
      <c r="K19" s="35">
        <v>0</v>
      </c>
      <c r="L19" s="35">
        <v>0</v>
      </c>
      <c r="M19" s="35">
        <f t="shared" si="0"/>
        <v>60</v>
      </c>
      <c r="N19" s="2"/>
    </row>
    <row r="20" spans="1:15" ht="19.5" customHeight="1" x14ac:dyDescent="0.3">
      <c r="A20" s="8">
        <v>44758</v>
      </c>
      <c r="B20" s="55"/>
      <c r="C20" s="55"/>
      <c r="D20" s="21">
        <v>213.8</v>
      </c>
      <c r="E20" s="26">
        <v>949</v>
      </c>
      <c r="F20" s="35">
        <v>212.81</v>
      </c>
      <c r="G20" s="35">
        <v>845.79399999999998</v>
      </c>
      <c r="H20" s="35">
        <v>109</v>
      </c>
      <c r="I20" s="35">
        <v>0</v>
      </c>
      <c r="J20" s="35">
        <v>60</v>
      </c>
      <c r="K20" s="35">
        <v>0</v>
      </c>
      <c r="L20" s="35">
        <v>0</v>
      </c>
      <c r="M20" s="35">
        <f t="shared" si="0"/>
        <v>60</v>
      </c>
      <c r="N20" s="2"/>
    </row>
    <row r="21" spans="1:15" ht="19.5" customHeight="1" x14ac:dyDescent="0.3">
      <c r="A21" s="8">
        <v>44759</v>
      </c>
      <c r="B21" s="55"/>
      <c r="C21" s="55"/>
      <c r="D21" s="21">
        <v>213.8</v>
      </c>
      <c r="E21" s="26">
        <v>949</v>
      </c>
      <c r="F21" s="36">
        <v>212.84</v>
      </c>
      <c r="G21" s="35">
        <v>848.97199999999998</v>
      </c>
      <c r="H21" s="35">
        <v>97</v>
      </c>
      <c r="I21" s="35">
        <v>0</v>
      </c>
      <c r="J21" s="35">
        <v>60</v>
      </c>
      <c r="K21" s="35">
        <v>0</v>
      </c>
      <c r="L21" s="35">
        <v>0</v>
      </c>
      <c r="M21" s="35">
        <f t="shared" si="0"/>
        <v>60</v>
      </c>
      <c r="N21" s="2"/>
    </row>
    <row r="22" spans="1:15" ht="19.5" customHeight="1" x14ac:dyDescent="0.3">
      <c r="A22" s="8">
        <v>44760</v>
      </c>
      <c r="B22" s="55"/>
      <c r="C22" s="55"/>
      <c r="D22" s="21">
        <v>213.8</v>
      </c>
      <c r="E22" s="26">
        <v>949</v>
      </c>
      <c r="F22" s="35">
        <v>212.84</v>
      </c>
      <c r="G22" s="35">
        <v>848.97199999999998</v>
      </c>
      <c r="H22" s="35">
        <v>60</v>
      </c>
      <c r="I22" s="35">
        <v>0</v>
      </c>
      <c r="J22" s="35">
        <v>60</v>
      </c>
      <c r="K22" s="35">
        <v>0</v>
      </c>
      <c r="L22" s="35">
        <v>0</v>
      </c>
      <c r="M22" s="35">
        <f t="shared" si="0"/>
        <v>60</v>
      </c>
      <c r="N22" s="2"/>
    </row>
    <row r="23" spans="1:15" ht="19.5" customHeight="1" x14ac:dyDescent="0.3">
      <c r="A23" s="8">
        <v>44761</v>
      </c>
      <c r="B23" s="55"/>
      <c r="C23" s="55"/>
      <c r="D23" s="21">
        <v>213.8</v>
      </c>
      <c r="E23" s="26">
        <v>949</v>
      </c>
      <c r="F23" s="35">
        <v>212.84</v>
      </c>
      <c r="G23" s="35">
        <v>848.97199999999998</v>
      </c>
      <c r="H23" s="35">
        <v>60</v>
      </c>
      <c r="I23" s="35">
        <v>0</v>
      </c>
      <c r="J23" s="35">
        <v>60</v>
      </c>
      <c r="K23" s="35">
        <v>0</v>
      </c>
      <c r="L23" s="35">
        <v>0</v>
      </c>
      <c r="M23" s="35">
        <f t="shared" si="0"/>
        <v>60</v>
      </c>
      <c r="N23" s="2"/>
    </row>
    <row r="24" spans="1:15" ht="19.5" customHeight="1" x14ac:dyDescent="0.3">
      <c r="A24" s="8">
        <v>44762</v>
      </c>
      <c r="B24" s="55"/>
      <c r="C24" s="55"/>
      <c r="D24" s="21">
        <v>213.8</v>
      </c>
      <c r="E24" s="26">
        <v>949</v>
      </c>
      <c r="F24" s="35">
        <v>212.84</v>
      </c>
      <c r="G24" s="35">
        <v>848.97199999999998</v>
      </c>
      <c r="H24" s="35">
        <v>60</v>
      </c>
      <c r="I24" s="35">
        <v>0</v>
      </c>
      <c r="J24" s="35">
        <v>60</v>
      </c>
      <c r="K24" s="35">
        <v>0</v>
      </c>
      <c r="L24" s="35">
        <v>0</v>
      </c>
      <c r="M24" s="35">
        <f t="shared" si="0"/>
        <v>60</v>
      </c>
      <c r="N24" s="2"/>
    </row>
    <row r="25" spans="1:15" ht="19.5" customHeight="1" x14ac:dyDescent="0.3">
      <c r="A25" s="8">
        <v>44763</v>
      </c>
      <c r="B25" s="55"/>
      <c r="C25" s="55"/>
      <c r="D25" s="21">
        <v>213.8</v>
      </c>
      <c r="E25" s="26">
        <v>949</v>
      </c>
      <c r="F25" s="35">
        <v>212.83</v>
      </c>
      <c r="G25" s="35">
        <v>847.91300000000001</v>
      </c>
      <c r="H25" s="35">
        <v>47</v>
      </c>
      <c r="I25" s="35">
        <v>0</v>
      </c>
      <c r="J25" s="35">
        <v>60</v>
      </c>
      <c r="K25" s="35">
        <v>0</v>
      </c>
      <c r="L25" s="35">
        <v>0</v>
      </c>
      <c r="M25" s="35">
        <f t="shared" si="0"/>
        <v>60</v>
      </c>
      <c r="N25" s="2"/>
    </row>
    <row r="26" spans="1:15" ht="19.5" customHeight="1" x14ac:dyDescent="0.3">
      <c r="A26" s="8">
        <v>44764</v>
      </c>
      <c r="B26" s="55"/>
      <c r="C26" s="55"/>
      <c r="D26" s="21">
        <v>213.8</v>
      </c>
      <c r="E26" s="26">
        <v>949</v>
      </c>
      <c r="F26" s="35">
        <v>212.79</v>
      </c>
      <c r="G26" s="35">
        <v>843.67499999999995</v>
      </c>
      <c r="H26" s="35">
        <v>11</v>
      </c>
      <c r="I26" s="35">
        <v>0</v>
      </c>
      <c r="J26" s="35">
        <v>60</v>
      </c>
      <c r="K26" s="35">
        <v>0</v>
      </c>
      <c r="L26" s="35">
        <v>0</v>
      </c>
      <c r="M26" s="35">
        <f t="shared" si="0"/>
        <v>60</v>
      </c>
      <c r="N26" s="2"/>
      <c r="O26" s="18"/>
    </row>
    <row r="27" spans="1:15" ht="19.5" customHeight="1" x14ac:dyDescent="0.3">
      <c r="A27" s="8">
        <v>44765</v>
      </c>
      <c r="B27" s="55"/>
      <c r="C27" s="55"/>
      <c r="D27" s="21">
        <v>213.8</v>
      </c>
      <c r="E27" s="26">
        <v>949</v>
      </c>
      <c r="F27" s="35">
        <v>212.78</v>
      </c>
      <c r="G27" s="35">
        <v>842.61599999999999</v>
      </c>
      <c r="H27" s="35">
        <v>47</v>
      </c>
      <c r="I27" s="35">
        <v>0</v>
      </c>
      <c r="J27" s="35">
        <v>60</v>
      </c>
      <c r="K27" s="35">
        <v>0</v>
      </c>
      <c r="L27" s="35">
        <v>0</v>
      </c>
      <c r="M27" s="35">
        <f t="shared" si="0"/>
        <v>60</v>
      </c>
      <c r="N27" s="2"/>
    </row>
    <row r="28" spans="1:15" ht="19.5" customHeight="1" x14ac:dyDescent="0.3">
      <c r="A28" s="8">
        <v>44766</v>
      </c>
      <c r="B28" s="55"/>
      <c r="C28" s="55"/>
      <c r="D28" s="21">
        <v>213.8</v>
      </c>
      <c r="E28" s="26">
        <v>949</v>
      </c>
      <c r="F28" s="35">
        <v>212.79</v>
      </c>
      <c r="G28" s="35">
        <v>843.67499999999995</v>
      </c>
      <c r="H28" s="35">
        <v>72</v>
      </c>
      <c r="I28" s="35">
        <v>0</v>
      </c>
      <c r="J28" s="35">
        <v>60</v>
      </c>
      <c r="K28" s="35">
        <v>0</v>
      </c>
      <c r="L28" s="35">
        <v>0</v>
      </c>
      <c r="M28" s="35">
        <f t="shared" si="0"/>
        <v>60</v>
      </c>
      <c r="N28" s="2"/>
    </row>
    <row r="29" spans="1:15" ht="19.5" customHeight="1" x14ac:dyDescent="0.3">
      <c r="A29" s="8">
        <v>44767</v>
      </c>
      <c r="B29" s="55"/>
      <c r="C29" s="55"/>
      <c r="D29" s="21">
        <v>213.8</v>
      </c>
      <c r="E29" s="26">
        <v>949</v>
      </c>
      <c r="F29" s="35">
        <v>212.79</v>
      </c>
      <c r="G29" s="35">
        <v>843.67499999999995</v>
      </c>
      <c r="H29" s="35">
        <v>60</v>
      </c>
      <c r="I29" s="35">
        <v>0</v>
      </c>
      <c r="J29" s="35">
        <v>60</v>
      </c>
      <c r="K29" s="35">
        <v>0</v>
      </c>
      <c r="L29" s="35">
        <v>0</v>
      </c>
      <c r="M29" s="35">
        <f t="shared" si="0"/>
        <v>60</v>
      </c>
      <c r="N29" s="2"/>
    </row>
    <row r="30" spans="1:15" ht="19.5" customHeight="1" x14ac:dyDescent="0.3">
      <c r="A30" s="8">
        <v>44768</v>
      </c>
      <c r="B30" s="55"/>
      <c r="C30" s="55"/>
      <c r="D30" s="21">
        <v>213.8</v>
      </c>
      <c r="E30" s="26">
        <v>949</v>
      </c>
      <c r="F30" s="35">
        <v>212.75</v>
      </c>
      <c r="G30" s="35">
        <v>839.43700000000001</v>
      </c>
      <c r="H30" s="35">
        <v>10</v>
      </c>
      <c r="I30" s="35">
        <v>0</v>
      </c>
      <c r="J30" s="35">
        <v>60</v>
      </c>
      <c r="K30" s="35">
        <v>0</v>
      </c>
      <c r="L30" s="35">
        <v>0</v>
      </c>
      <c r="M30" s="35">
        <f t="shared" si="0"/>
        <v>60</v>
      </c>
      <c r="N30" s="2"/>
    </row>
    <row r="31" spans="1:15" ht="21" customHeight="1" x14ac:dyDescent="0.3">
      <c r="A31" s="8">
        <v>44769</v>
      </c>
      <c r="B31" s="55"/>
      <c r="C31" s="55"/>
      <c r="D31" s="21">
        <v>213.8</v>
      </c>
      <c r="E31" s="26">
        <v>949</v>
      </c>
      <c r="F31" s="36">
        <v>212.71</v>
      </c>
      <c r="G31" s="35">
        <v>835.19899999999996</v>
      </c>
      <c r="H31" s="35">
        <v>10</v>
      </c>
      <c r="I31" s="35">
        <v>0</v>
      </c>
      <c r="J31" s="35">
        <v>60</v>
      </c>
      <c r="K31" s="35">
        <v>0</v>
      </c>
      <c r="L31" s="35">
        <v>0</v>
      </c>
      <c r="M31" s="35">
        <f t="shared" si="0"/>
        <v>60</v>
      </c>
      <c r="N31" s="2"/>
    </row>
    <row r="32" spans="1:15" ht="21" customHeight="1" x14ac:dyDescent="0.3">
      <c r="A32" s="8">
        <v>44770</v>
      </c>
      <c r="B32" s="55"/>
      <c r="C32" s="55"/>
      <c r="D32" s="21">
        <v>213.8</v>
      </c>
      <c r="E32" s="26">
        <v>949</v>
      </c>
      <c r="F32" s="35">
        <v>212.68</v>
      </c>
      <c r="G32" s="35">
        <v>832.02099999999996</v>
      </c>
      <c r="H32" s="35">
        <v>23</v>
      </c>
      <c r="I32" s="35">
        <v>0</v>
      </c>
      <c r="J32" s="35">
        <v>60</v>
      </c>
      <c r="K32" s="35">
        <v>0</v>
      </c>
      <c r="L32" s="35">
        <v>0</v>
      </c>
      <c r="M32" s="35">
        <f t="shared" si="0"/>
        <v>60</v>
      </c>
      <c r="N32" s="2"/>
    </row>
    <row r="33" spans="1:15" ht="21" customHeight="1" x14ac:dyDescent="0.3">
      <c r="A33" s="8">
        <v>44771</v>
      </c>
      <c r="B33" s="55"/>
      <c r="C33" s="55"/>
      <c r="D33" s="21">
        <v>213.8</v>
      </c>
      <c r="E33" s="26">
        <v>949</v>
      </c>
      <c r="F33" s="35">
        <v>212.64</v>
      </c>
      <c r="G33" s="35">
        <v>827.78300000000002</v>
      </c>
      <c r="H33" s="35">
        <v>10</v>
      </c>
      <c r="I33" s="35">
        <v>0</v>
      </c>
      <c r="J33" s="35">
        <v>60</v>
      </c>
      <c r="K33" s="35">
        <v>0</v>
      </c>
      <c r="L33" s="35">
        <v>0</v>
      </c>
      <c r="M33" s="35">
        <f t="shared" si="0"/>
        <v>60</v>
      </c>
      <c r="N33" s="2"/>
    </row>
    <row r="34" spans="1:15" ht="21" customHeight="1" x14ac:dyDescent="0.3">
      <c r="A34" s="8">
        <v>44772</v>
      </c>
      <c r="B34" s="55"/>
      <c r="C34" s="55"/>
      <c r="D34" s="21">
        <v>213.8</v>
      </c>
      <c r="E34" s="26">
        <v>949</v>
      </c>
      <c r="F34" s="35">
        <v>212.6</v>
      </c>
      <c r="G34" s="35">
        <v>823.721</v>
      </c>
      <c r="H34" s="35">
        <v>1</v>
      </c>
      <c r="I34" s="35">
        <v>0</v>
      </c>
      <c r="J34" s="35">
        <v>30</v>
      </c>
      <c r="K34" s="35">
        <v>15</v>
      </c>
      <c r="L34" s="35">
        <v>0</v>
      </c>
      <c r="M34" s="35">
        <f t="shared" si="0"/>
        <v>45</v>
      </c>
      <c r="N34" s="2"/>
    </row>
    <row r="35" spans="1:15" ht="21" customHeight="1" x14ac:dyDescent="0.3">
      <c r="A35" s="8">
        <v>44773</v>
      </c>
      <c r="B35" s="56"/>
      <c r="C35" s="56"/>
      <c r="D35" s="22">
        <v>213.8</v>
      </c>
      <c r="E35" s="26">
        <v>949</v>
      </c>
      <c r="F35" s="35">
        <v>212.57</v>
      </c>
      <c r="G35" s="35">
        <v>820.72</v>
      </c>
      <c r="H35" s="35">
        <v>4</v>
      </c>
      <c r="I35" s="35">
        <v>0</v>
      </c>
      <c r="J35" s="35">
        <v>25</v>
      </c>
      <c r="K35" s="35">
        <v>15</v>
      </c>
      <c r="L35" s="35">
        <v>0</v>
      </c>
      <c r="M35" s="35">
        <f t="shared" si="0"/>
        <v>40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2358</v>
      </c>
      <c r="I36" s="16">
        <f t="shared" ref="I36:M36" si="1">SUM(I5:I35)</f>
        <v>0</v>
      </c>
      <c r="J36" s="16">
        <f t="shared" si="1"/>
        <v>955</v>
      </c>
      <c r="K36" s="16">
        <f t="shared" si="1"/>
        <v>30</v>
      </c>
      <c r="L36" s="16">
        <f t="shared" si="1"/>
        <v>350</v>
      </c>
      <c r="M36" s="16">
        <f t="shared" si="1"/>
        <v>1335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0.20373250388802489</v>
      </c>
      <c r="I37" s="5"/>
      <c r="J37" s="5">
        <f>J36/11574</f>
        <v>8.2512528080179712E-2</v>
      </c>
      <c r="K37" s="5">
        <f>K36/11574</f>
        <v>2.592016588906169E-3</v>
      </c>
      <c r="L37" s="6"/>
      <c r="M37" s="6"/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Q102"/>
  <sheetViews>
    <sheetView view="pageBreakPreview" zoomScale="60" workbookViewId="0">
      <selection activeCell="R34" sqref="R34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6.44140625" customWidth="1"/>
    <col min="13" max="13" width="10" customWidth="1"/>
    <col min="14" max="14" width="8.88671875" customWidth="1"/>
  </cols>
  <sheetData>
    <row r="1" spans="1:14" ht="14.25" customHeight="1" x14ac:dyDescent="0.3">
      <c r="A1" s="38" t="s">
        <v>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44774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212.57</v>
      </c>
      <c r="G5" s="35">
        <v>820.72</v>
      </c>
      <c r="H5" s="35">
        <v>40</v>
      </c>
      <c r="I5" s="35">
        <v>0</v>
      </c>
      <c r="J5" s="35">
        <v>25</v>
      </c>
      <c r="K5" s="35">
        <v>15</v>
      </c>
      <c r="L5" s="35">
        <v>0</v>
      </c>
      <c r="M5" s="23">
        <f>L5+K5+J5+I5</f>
        <v>40</v>
      </c>
      <c r="N5" s="2"/>
    </row>
    <row r="6" spans="1:14" ht="19.5" customHeight="1" x14ac:dyDescent="0.3">
      <c r="A6" s="8">
        <v>44775</v>
      </c>
      <c r="B6" s="55"/>
      <c r="C6" s="55"/>
      <c r="D6" s="21">
        <v>213.8</v>
      </c>
      <c r="E6" s="26">
        <v>949</v>
      </c>
      <c r="F6" s="35">
        <v>212.7</v>
      </c>
      <c r="G6" s="35">
        <v>834.17700000000002</v>
      </c>
      <c r="H6" s="35">
        <v>195</v>
      </c>
      <c r="I6" s="35">
        <v>0</v>
      </c>
      <c r="J6" s="35">
        <v>25</v>
      </c>
      <c r="K6" s="35">
        <v>15</v>
      </c>
      <c r="L6" s="35">
        <v>0</v>
      </c>
      <c r="M6" s="23">
        <f t="shared" ref="M6:M35" si="0">L6+K6+J6+I6</f>
        <v>40</v>
      </c>
      <c r="N6" s="2"/>
    </row>
    <row r="7" spans="1:14" ht="19.5" customHeight="1" x14ac:dyDescent="0.3">
      <c r="A7" s="8">
        <v>44776</v>
      </c>
      <c r="B7" s="55"/>
      <c r="C7" s="55"/>
      <c r="D7" s="21">
        <v>213.8</v>
      </c>
      <c r="E7" s="26">
        <v>949</v>
      </c>
      <c r="F7" s="35">
        <v>212.97</v>
      </c>
      <c r="G7" s="35">
        <v>862.39200000000005</v>
      </c>
      <c r="H7" s="35">
        <v>367</v>
      </c>
      <c r="I7" s="35">
        <v>0</v>
      </c>
      <c r="J7" s="35">
        <v>25</v>
      </c>
      <c r="K7" s="35">
        <v>15</v>
      </c>
      <c r="L7" s="35">
        <v>0</v>
      </c>
      <c r="M7" s="23">
        <f t="shared" si="0"/>
        <v>40</v>
      </c>
      <c r="N7" s="2"/>
    </row>
    <row r="8" spans="1:14" ht="19.5" customHeight="1" x14ac:dyDescent="0.3">
      <c r="A8" s="8">
        <v>44777</v>
      </c>
      <c r="B8" s="55"/>
      <c r="C8" s="55"/>
      <c r="D8" s="21">
        <v>213.8</v>
      </c>
      <c r="E8" s="26">
        <v>949</v>
      </c>
      <c r="F8" s="35">
        <v>213.1</v>
      </c>
      <c r="G8" s="35">
        <v>876.16499999999996</v>
      </c>
      <c r="H8" s="35">
        <v>270</v>
      </c>
      <c r="I8" s="35">
        <v>0</v>
      </c>
      <c r="J8" s="35">
        <v>60</v>
      </c>
      <c r="K8" s="35">
        <v>50</v>
      </c>
      <c r="L8" s="35">
        <v>0</v>
      </c>
      <c r="M8" s="23">
        <f t="shared" si="0"/>
        <v>110</v>
      </c>
      <c r="N8" s="2"/>
    </row>
    <row r="9" spans="1:14" ht="19.5" customHeight="1" x14ac:dyDescent="0.3">
      <c r="A9" s="8">
        <v>44778</v>
      </c>
      <c r="B9" s="55"/>
      <c r="C9" s="55"/>
      <c r="D9" s="21">
        <v>213.8</v>
      </c>
      <c r="E9" s="26">
        <v>949</v>
      </c>
      <c r="F9" s="35">
        <v>213.17</v>
      </c>
      <c r="G9" s="35">
        <v>883.22799999999995</v>
      </c>
      <c r="H9" s="35">
        <v>182</v>
      </c>
      <c r="I9" s="35">
        <v>0</v>
      </c>
      <c r="J9" s="35">
        <v>70</v>
      </c>
      <c r="K9" s="35">
        <v>30</v>
      </c>
      <c r="L9" s="35">
        <v>0</v>
      </c>
      <c r="M9" s="23">
        <f t="shared" si="0"/>
        <v>100</v>
      </c>
      <c r="N9" s="2"/>
    </row>
    <row r="10" spans="1:14" ht="19.5" customHeight="1" x14ac:dyDescent="0.3">
      <c r="A10" s="8">
        <v>44779</v>
      </c>
      <c r="B10" s="55"/>
      <c r="C10" s="55"/>
      <c r="D10" s="21">
        <v>213.8</v>
      </c>
      <c r="E10" s="26">
        <v>949</v>
      </c>
      <c r="F10" s="35">
        <v>213.2</v>
      </c>
      <c r="G10" s="35">
        <v>886.40599999999995</v>
      </c>
      <c r="H10" s="35">
        <v>136</v>
      </c>
      <c r="I10" s="35">
        <v>0</v>
      </c>
      <c r="J10" s="35">
        <v>70</v>
      </c>
      <c r="K10" s="35">
        <v>30</v>
      </c>
      <c r="L10" s="35">
        <v>0</v>
      </c>
      <c r="M10" s="23">
        <f t="shared" si="0"/>
        <v>100</v>
      </c>
      <c r="N10" s="2"/>
    </row>
    <row r="11" spans="1:14" ht="19.5" customHeight="1" x14ac:dyDescent="0.3">
      <c r="A11" s="8">
        <v>44780</v>
      </c>
      <c r="B11" s="55"/>
      <c r="C11" s="55"/>
      <c r="D11" s="21">
        <v>213.8</v>
      </c>
      <c r="E11" s="26">
        <v>949</v>
      </c>
      <c r="F11" s="36">
        <v>213.2</v>
      </c>
      <c r="G11" s="37">
        <v>886.40599999999995</v>
      </c>
      <c r="H11" s="35">
        <v>100</v>
      </c>
      <c r="I11" s="35">
        <v>0</v>
      </c>
      <c r="J11" s="35">
        <v>70</v>
      </c>
      <c r="K11" s="35">
        <v>30</v>
      </c>
      <c r="L11" s="35">
        <v>0</v>
      </c>
      <c r="M11" s="23">
        <f t="shared" si="0"/>
        <v>100</v>
      </c>
      <c r="N11" s="2"/>
    </row>
    <row r="12" spans="1:14" ht="19.5" customHeight="1" x14ac:dyDescent="0.3">
      <c r="A12" s="8">
        <v>44781</v>
      </c>
      <c r="B12" s="55"/>
      <c r="C12" s="55"/>
      <c r="D12" s="21">
        <v>213.8</v>
      </c>
      <c r="E12" s="26">
        <v>949</v>
      </c>
      <c r="F12" s="35">
        <v>213.18</v>
      </c>
      <c r="G12" s="35">
        <v>884.28700000000003</v>
      </c>
      <c r="H12" s="35">
        <v>76</v>
      </c>
      <c r="I12" s="35">
        <v>0</v>
      </c>
      <c r="J12" s="35">
        <v>70</v>
      </c>
      <c r="K12" s="35">
        <v>30</v>
      </c>
      <c r="L12" s="35">
        <v>0</v>
      </c>
      <c r="M12" s="23">
        <f t="shared" si="0"/>
        <v>100</v>
      </c>
      <c r="N12" s="2"/>
    </row>
    <row r="13" spans="1:14" ht="19.5" customHeight="1" x14ac:dyDescent="0.3">
      <c r="A13" s="8">
        <v>44782</v>
      </c>
      <c r="B13" s="55"/>
      <c r="C13" s="55"/>
      <c r="D13" s="21">
        <v>213.8</v>
      </c>
      <c r="E13" s="26">
        <v>949</v>
      </c>
      <c r="F13" s="35">
        <v>213.13</v>
      </c>
      <c r="G13" s="35">
        <v>878.99</v>
      </c>
      <c r="H13" s="35">
        <v>49</v>
      </c>
      <c r="I13" s="35">
        <v>0</v>
      </c>
      <c r="J13" s="35">
        <v>80</v>
      </c>
      <c r="K13" s="35">
        <v>30</v>
      </c>
      <c r="L13" s="35">
        <v>0</v>
      </c>
      <c r="M13" s="23">
        <f t="shared" si="0"/>
        <v>110</v>
      </c>
      <c r="N13" s="2"/>
    </row>
    <row r="14" spans="1:14" ht="19.5" customHeight="1" x14ac:dyDescent="0.3">
      <c r="A14" s="8">
        <v>44783</v>
      </c>
      <c r="B14" s="55"/>
      <c r="C14" s="55"/>
      <c r="D14" s="21">
        <v>213.8</v>
      </c>
      <c r="E14" s="26">
        <v>949</v>
      </c>
      <c r="F14" s="35">
        <v>213.08</v>
      </c>
      <c r="G14" s="35">
        <v>874.04600000000005</v>
      </c>
      <c r="H14" s="35">
        <v>52</v>
      </c>
      <c r="I14" s="35">
        <v>0</v>
      </c>
      <c r="J14" s="35">
        <v>80</v>
      </c>
      <c r="K14" s="35">
        <v>30</v>
      </c>
      <c r="L14" s="35">
        <v>0</v>
      </c>
      <c r="M14" s="23">
        <f t="shared" si="0"/>
        <v>110</v>
      </c>
      <c r="N14" s="2"/>
    </row>
    <row r="15" spans="1:14" ht="19.5" customHeight="1" x14ac:dyDescent="0.3">
      <c r="A15" s="8">
        <v>44784</v>
      </c>
      <c r="B15" s="55"/>
      <c r="C15" s="55"/>
      <c r="D15" s="21">
        <v>213.8</v>
      </c>
      <c r="E15" s="26">
        <v>949</v>
      </c>
      <c r="F15" s="35">
        <v>213.03</v>
      </c>
      <c r="G15" s="35">
        <v>868.74900000000002</v>
      </c>
      <c r="H15" s="35">
        <v>49</v>
      </c>
      <c r="I15" s="35">
        <v>0</v>
      </c>
      <c r="J15" s="35">
        <v>80</v>
      </c>
      <c r="K15" s="35">
        <v>30</v>
      </c>
      <c r="L15" s="35">
        <v>0</v>
      </c>
      <c r="M15" s="23">
        <f t="shared" si="0"/>
        <v>110</v>
      </c>
      <c r="N15" s="2"/>
    </row>
    <row r="16" spans="1:14" ht="19.5" customHeight="1" x14ac:dyDescent="0.3">
      <c r="A16" s="8">
        <v>44785</v>
      </c>
      <c r="B16" s="55"/>
      <c r="C16" s="55"/>
      <c r="D16" s="21">
        <v>213.8</v>
      </c>
      <c r="E16" s="26">
        <v>949</v>
      </c>
      <c r="F16" s="36">
        <v>212.97</v>
      </c>
      <c r="G16" s="35">
        <v>862.39200000000005</v>
      </c>
      <c r="H16" s="35">
        <v>47</v>
      </c>
      <c r="I16" s="35">
        <v>0</v>
      </c>
      <c r="J16" s="35">
        <v>70</v>
      </c>
      <c r="K16" s="35">
        <v>50</v>
      </c>
      <c r="L16" s="35">
        <v>0</v>
      </c>
      <c r="M16" s="23">
        <f t="shared" si="0"/>
        <v>120</v>
      </c>
      <c r="N16" s="2"/>
    </row>
    <row r="17" spans="1:15" ht="19.5" customHeight="1" x14ac:dyDescent="0.3">
      <c r="A17" s="8">
        <v>44786</v>
      </c>
      <c r="B17" s="55"/>
      <c r="C17" s="55"/>
      <c r="D17" s="21">
        <v>213.8</v>
      </c>
      <c r="E17" s="26">
        <v>949</v>
      </c>
      <c r="F17" s="35">
        <v>212.93</v>
      </c>
      <c r="G17" s="35">
        <v>858.154</v>
      </c>
      <c r="H17" s="35">
        <v>70</v>
      </c>
      <c r="I17" s="35">
        <v>0</v>
      </c>
      <c r="J17" s="35">
        <v>70</v>
      </c>
      <c r="K17" s="35">
        <v>50</v>
      </c>
      <c r="L17" s="35">
        <v>0</v>
      </c>
      <c r="M17" s="23">
        <f t="shared" si="0"/>
        <v>120</v>
      </c>
      <c r="N17" s="2"/>
    </row>
    <row r="18" spans="1:15" ht="19.5" customHeight="1" x14ac:dyDescent="0.3">
      <c r="A18" s="8">
        <v>44787</v>
      </c>
      <c r="B18" s="55"/>
      <c r="C18" s="55"/>
      <c r="D18" s="21">
        <v>213.8</v>
      </c>
      <c r="E18" s="26">
        <v>949</v>
      </c>
      <c r="F18" s="35">
        <v>212.89</v>
      </c>
      <c r="G18" s="35">
        <v>853.91600000000005</v>
      </c>
      <c r="H18" s="35">
        <v>71</v>
      </c>
      <c r="I18" s="35">
        <v>0</v>
      </c>
      <c r="J18" s="35">
        <v>70</v>
      </c>
      <c r="K18" s="35">
        <v>50</v>
      </c>
      <c r="L18" s="35">
        <v>0</v>
      </c>
      <c r="M18" s="23">
        <f t="shared" si="0"/>
        <v>120</v>
      </c>
      <c r="N18" s="2"/>
    </row>
    <row r="19" spans="1:15" ht="19.5" customHeight="1" x14ac:dyDescent="0.3">
      <c r="A19" s="8">
        <v>44788</v>
      </c>
      <c r="B19" s="55"/>
      <c r="C19" s="55"/>
      <c r="D19" s="21">
        <v>213.8</v>
      </c>
      <c r="E19" s="26">
        <v>949</v>
      </c>
      <c r="F19" s="35">
        <v>212.82</v>
      </c>
      <c r="G19" s="35">
        <v>846.85299999999995</v>
      </c>
      <c r="H19" s="35">
        <v>47</v>
      </c>
      <c r="I19" s="35">
        <v>0</v>
      </c>
      <c r="J19" s="35">
        <v>70</v>
      </c>
      <c r="K19" s="35">
        <v>50</v>
      </c>
      <c r="L19" s="35">
        <v>0</v>
      </c>
      <c r="M19" s="23">
        <f t="shared" si="0"/>
        <v>120</v>
      </c>
      <c r="N19" s="2"/>
    </row>
    <row r="20" spans="1:15" ht="19.5" customHeight="1" x14ac:dyDescent="0.3">
      <c r="A20" s="8">
        <v>44789</v>
      </c>
      <c r="B20" s="55"/>
      <c r="C20" s="55"/>
      <c r="D20" s="21">
        <v>213.8</v>
      </c>
      <c r="E20" s="26">
        <v>949</v>
      </c>
      <c r="F20" s="35">
        <v>212.78</v>
      </c>
      <c r="G20" s="35">
        <v>842.61599999999999</v>
      </c>
      <c r="H20" s="35">
        <v>71</v>
      </c>
      <c r="I20" s="35">
        <v>0</v>
      </c>
      <c r="J20" s="35">
        <v>70</v>
      </c>
      <c r="K20" s="35">
        <v>50</v>
      </c>
      <c r="L20" s="35">
        <v>0</v>
      </c>
      <c r="M20" s="23">
        <f t="shared" si="0"/>
        <v>120</v>
      </c>
      <c r="N20" s="2"/>
    </row>
    <row r="21" spans="1:15" ht="19.5" customHeight="1" x14ac:dyDescent="0.3">
      <c r="A21" s="8">
        <v>44790</v>
      </c>
      <c r="B21" s="55"/>
      <c r="C21" s="55"/>
      <c r="D21" s="21">
        <v>213.8</v>
      </c>
      <c r="E21" s="26">
        <v>949</v>
      </c>
      <c r="F21" s="36">
        <v>212.68</v>
      </c>
      <c r="G21" s="35">
        <v>832.024</v>
      </c>
      <c r="H21" s="35">
        <v>18</v>
      </c>
      <c r="I21" s="35">
        <v>0</v>
      </c>
      <c r="J21" s="35">
        <v>70</v>
      </c>
      <c r="K21" s="35">
        <v>70</v>
      </c>
      <c r="L21" s="35">
        <v>0</v>
      </c>
      <c r="M21" s="23">
        <f t="shared" si="0"/>
        <v>140</v>
      </c>
      <c r="N21" s="2"/>
    </row>
    <row r="22" spans="1:15" ht="19.5" customHeight="1" x14ac:dyDescent="0.3">
      <c r="A22" s="8">
        <v>44791</v>
      </c>
      <c r="B22" s="55"/>
      <c r="C22" s="55"/>
      <c r="D22" s="21">
        <v>213.8</v>
      </c>
      <c r="E22" s="26">
        <v>949</v>
      </c>
      <c r="F22" s="35">
        <v>212.58</v>
      </c>
      <c r="G22" s="35">
        <v>821.42600000000004</v>
      </c>
      <c r="H22" s="35">
        <v>18</v>
      </c>
      <c r="I22" s="35">
        <v>0</v>
      </c>
      <c r="J22" s="35">
        <v>70</v>
      </c>
      <c r="K22" s="35">
        <v>70</v>
      </c>
      <c r="L22" s="35">
        <v>0</v>
      </c>
      <c r="M22" s="23">
        <f t="shared" si="0"/>
        <v>140</v>
      </c>
      <c r="N22" s="2"/>
    </row>
    <row r="23" spans="1:15" ht="19.5" customHeight="1" x14ac:dyDescent="0.3">
      <c r="A23" s="8">
        <v>44792</v>
      </c>
      <c r="B23" s="55"/>
      <c r="C23" s="55"/>
      <c r="D23" s="21">
        <v>213.8</v>
      </c>
      <c r="E23" s="26">
        <v>949</v>
      </c>
      <c r="F23" s="35">
        <v>212.54</v>
      </c>
      <c r="G23" s="35">
        <v>817.54200000000003</v>
      </c>
      <c r="H23" s="35">
        <v>95</v>
      </c>
      <c r="I23" s="35">
        <v>0</v>
      </c>
      <c r="J23" s="35">
        <v>70</v>
      </c>
      <c r="K23" s="35">
        <v>70</v>
      </c>
      <c r="L23" s="35">
        <v>0</v>
      </c>
      <c r="M23" s="23">
        <f t="shared" si="0"/>
        <v>140</v>
      </c>
      <c r="N23" s="2"/>
    </row>
    <row r="24" spans="1:15" ht="19.5" customHeight="1" x14ac:dyDescent="0.3">
      <c r="A24" s="8">
        <v>44793</v>
      </c>
      <c r="B24" s="55"/>
      <c r="C24" s="55"/>
      <c r="D24" s="21">
        <v>213.8</v>
      </c>
      <c r="E24" s="26">
        <v>949</v>
      </c>
      <c r="F24" s="35">
        <v>212.54</v>
      </c>
      <c r="G24" s="35">
        <v>817.54200000000003</v>
      </c>
      <c r="H24" s="35">
        <v>140</v>
      </c>
      <c r="I24" s="35">
        <v>0</v>
      </c>
      <c r="J24" s="35">
        <v>70</v>
      </c>
      <c r="K24" s="35">
        <v>70</v>
      </c>
      <c r="L24" s="35">
        <v>0</v>
      </c>
      <c r="M24" s="23">
        <f t="shared" si="0"/>
        <v>140</v>
      </c>
      <c r="N24" s="2"/>
    </row>
    <row r="25" spans="1:15" ht="19.5" customHeight="1" x14ac:dyDescent="0.3">
      <c r="A25" s="8">
        <v>44794</v>
      </c>
      <c r="B25" s="55"/>
      <c r="C25" s="55"/>
      <c r="D25" s="21">
        <v>213.8</v>
      </c>
      <c r="E25" s="26">
        <v>949</v>
      </c>
      <c r="F25" s="35">
        <v>212.5</v>
      </c>
      <c r="G25" s="35">
        <v>813.30399999999997</v>
      </c>
      <c r="H25" s="35">
        <v>91</v>
      </c>
      <c r="I25" s="35">
        <v>0</v>
      </c>
      <c r="J25" s="35">
        <v>70</v>
      </c>
      <c r="K25" s="35">
        <v>70</v>
      </c>
      <c r="L25" s="35">
        <v>0</v>
      </c>
      <c r="M25" s="23">
        <f t="shared" si="0"/>
        <v>140</v>
      </c>
      <c r="N25" s="2"/>
    </row>
    <row r="26" spans="1:15" ht="19.5" customHeight="1" x14ac:dyDescent="0.3">
      <c r="A26" s="8">
        <v>44795</v>
      </c>
      <c r="B26" s="55"/>
      <c r="C26" s="55"/>
      <c r="D26" s="21">
        <v>213.8</v>
      </c>
      <c r="E26" s="26">
        <v>949</v>
      </c>
      <c r="F26" s="35">
        <v>212.45</v>
      </c>
      <c r="G26" s="35">
        <v>808.00699999999995</v>
      </c>
      <c r="H26" s="35">
        <v>79</v>
      </c>
      <c r="I26" s="35">
        <v>0</v>
      </c>
      <c r="J26" s="35">
        <v>70</v>
      </c>
      <c r="K26" s="35">
        <v>70</v>
      </c>
      <c r="L26" s="35">
        <v>0</v>
      </c>
      <c r="M26" s="23">
        <f t="shared" si="0"/>
        <v>140</v>
      </c>
      <c r="N26" s="2"/>
      <c r="O26" s="18"/>
    </row>
    <row r="27" spans="1:15" ht="19.5" customHeight="1" x14ac:dyDescent="0.3">
      <c r="A27" s="8">
        <v>44796</v>
      </c>
      <c r="B27" s="55"/>
      <c r="C27" s="55"/>
      <c r="D27" s="21">
        <v>213.8</v>
      </c>
      <c r="E27" s="26">
        <v>949</v>
      </c>
      <c r="F27" s="35">
        <v>212.27</v>
      </c>
      <c r="G27" s="35">
        <v>795.64599999999996</v>
      </c>
      <c r="H27" s="35">
        <v>17</v>
      </c>
      <c r="I27" s="35">
        <v>0</v>
      </c>
      <c r="J27" s="35">
        <v>80</v>
      </c>
      <c r="K27" s="35">
        <v>80</v>
      </c>
      <c r="L27" s="35">
        <v>0</v>
      </c>
      <c r="M27" s="23">
        <f t="shared" si="0"/>
        <v>160</v>
      </c>
      <c r="N27" s="2"/>
    </row>
    <row r="28" spans="1:15" ht="19.5" customHeight="1" x14ac:dyDescent="0.3">
      <c r="A28" s="8">
        <v>44797</v>
      </c>
      <c r="B28" s="55"/>
      <c r="C28" s="55"/>
      <c r="D28" s="21">
        <v>213.8</v>
      </c>
      <c r="E28" s="26">
        <v>949</v>
      </c>
      <c r="F28" s="35">
        <v>212.2</v>
      </c>
      <c r="G28" s="35">
        <v>781.87400000000002</v>
      </c>
      <c r="H28" s="35">
        <v>11</v>
      </c>
      <c r="I28" s="35">
        <v>0</v>
      </c>
      <c r="J28" s="35">
        <v>90</v>
      </c>
      <c r="K28" s="35">
        <v>80</v>
      </c>
      <c r="L28" s="35">
        <v>0</v>
      </c>
      <c r="M28" s="23">
        <f t="shared" si="0"/>
        <v>170</v>
      </c>
      <c r="N28" s="2"/>
    </row>
    <row r="29" spans="1:15" ht="19.5" customHeight="1" x14ac:dyDescent="0.3">
      <c r="A29" s="8">
        <v>44798</v>
      </c>
      <c r="B29" s="55"/>
      <c r="C29" s="55"/>
      <c r="D29" s="21">
        <v>213.8</v>
      </c>
      <c r="E29" s="26">
        <v>949</v>
      </c>
      <c r="F29" s="35">
        <v>212.1</v>
      </c>
      <c r="G29" s="35">
        <v>771.279</v>
      </c>
      <c r="H29" s="35">
        <v>37</v>
      </c>
      <c r="I29" s="35">
        <v>0</v>
      </c>
      <c r="J29" s="35">
        <v>80</v>
      </c>
      <c r="K29" s="35">
        <v>80</v>
      </c>
      <c r="L29" s="35">
        <v>0</v>
      </c>
      <c r="M29" s="23">
        <f t="shared" si="0"/>
        <v>160</v>
      </c>
      <c r="N29" s="2"/>
    </row>
    <row r="30" spans="1:15" ht="19.5" customHeight="1" x14ac:dyDescent="0.3">
      <c r="A30" s="8">
        <v>44799</v>
      </c>
      <c r="B30" s="55"/>
      <c r="C30" s="55"/>
      <c r="D30" s="21">
        <v>213.8</v>
      </c>
      <c r="E30" s="26">
        <v>949</v>
      </c>
      <c r="F30" s="35">
        <v>212.05</v>
      </c>
      <c r="G30" s="35">
        <v>766.33500000000004</v>
      </c>
      <c r="H30" s="35">
        <v>93</v>
      </c>
      <c r="I30" s="35">
        <v>0</v>
      </c>
      <c r="J30" s="35">
        <v>80</v>
      </c>
      <c r="K30" s="35">
        <v>70</v>
      </c>
      <c r="L30" s="35">
        <v>0</v>
      </c>
      <c r="M30" s="23">
        <f t="shared" si="0"/>
        <v>150</v>
      </c>
      <c r="N30" s="2"/>
    </row>
    <row r="31" spans="1:15" ht="21" customHeight="1" x14ac:dyDescent="0.3">
      <c r="A31" s="8">
        <v>44800</v>
      </c>
      <c r="B31" s="55"/>
      <c r="C31" s="55"/>
      <c r="D31" s="21">
        <v>213.8</v>
      </c>
      <c r="E31" s="26">
        <v>949</v>
      </c>
      <c r="F31" s="36">
        <v>212</v>
      </c>
      <c r="G31" s="35">
        <v>760.68499999999995</v>
      </c>
      <c r="H31" s="35">
        <v>85</v>
      </c>
      <c r="I31" s="35">
        <v>0</v>
      </c>
      <c r="J31" s="35">
        <v>80</v>
      </c>
      <c r="K31" s="35">
        <v>70</v>
      </c>
      <c r="L31" s="35">
        <v>0</v>
      </c>
      <c r="M31" s="23">
        <f t="shared" si="0"/>
        <v>150</v>
      </c>
      <c r="N31" s="2"/>
    </row>
    <row r="32" spans="1:15" ht="21" customHeight="1" x14ac:dyDescent="0.3">
      <c r="A32" s="8">
        <v>44801</v>
      </c>
      <c r="B32" s="55"/>
      <c r="C32" s="55"/>
      <c r="D32" s="21">
        <v>213.8</v>
      </c>
      <c r="E32" s="26">
        <v>949</v>
      </c>
      <c r="F32" s="35">
        <v>212</v>
      </c>
      <c r="G32" s="35">
        <v>760.68499999999995</v>
      </c>
      <c r="H32" s="35">
        <v>150</v>
      </c>
      <c r="I32" s="35">
        <v>0</v>
      </c>
      <c r="J32" s="35">
        <v>80</v>
      </c>
      <c r="K32" s="35">
        <v>70</v>
      </c>
      <c r="L32" s="35">
        <v>0</v>
      </c>
      <c r="M32" s="23">
        <f t="shared" si="0"/>
        <v>150</v>
      </c>
      <c r="N32" s="2"/>
    </row>
    <row r="33" spans="1:17" ht="21" customHeight="1" x14ac:dyDescent="0.3">
      <c r="A33" s="8">
        <v>44802</v>
      </c>
      <c r="B33" s="55"/>
      <c r="C33" s="55"/>
      <c r="D33" s="21">
        <v>213.8</v>
      </c>
      <c r="E33" s="26">
        <v>949</v>
      </c>
      <c r="F33" s="35">
        <v>212</v>
      </c>
      <c r="G33" s="35">
        <v>760.68499999999995</v>
      </c>
      <c r="H33" s="35">
        <v>150</v>
      </c>
      <c r="I33" s="35">
        <v>0</v>
      </c>
      <c r="J33" s="35">
        <v>80</v>
      </c>
      <c r="K33" s="35">
        <v>70</v>
      </c>
      <c r="L33" s="35">
        <v>0</v>
      </c>
      <c r="M33" s="23">
        <f t="shared" si="0"/>
        <v>150</v>
      </c>
      <c r="N33" s="2"/>
    </row>
    <row r="34" spans="1:17" ht="21" customHeight="1" x14ac:dyDescent="0.3">
      <c r="A34" s="8">
        <v>44803</v>
      </c>
      <c r="B34" s="55"/>
      <c r="C34" s="55"/>
      <c r="D34" s="21">
        <v>213.8</v>
      </c>
      <c r="E34" s="26">
        <v>949</v>
      </c>
      <c r="F34" s="35">
        <v>212.05</v>
      </c>
      <c r="G34" s="35">
        <v>766.33500000000004</v>
      </c>
      <c r="H34" s="35">
        <v>195</v>
      </c>
      <c r="I34" s="35">
        <v>0</v>
      </c>
      <c r="J34" s="35">
        <v>70</v>
      </c>
      <c r="K34" s="35">
        <v>60</v>
      </c>
      <c r="L34" s="35">
        <v>0</v>
      </c>
      <c r="M34" s="23">
        <f t="shared" si="0"/>
        <v>130</v>
      </c>
      <c r="N34" s="2"/>
    </row>
    <row r="35" spans="1:17" ht="21" customHeight="1" x14ac:dyDescent="0.3">
      <c r="A35" s="8">
        <v>44804</v>
      </c>
      <c r="B35" s="56"/>
      <c r="C35" s="56"/>
      <c r="D35" s="22">
        <v>213.8</v>
      </c>
      <c r="E35" s="26">
        <v>949</v>
      </c>
      <c r="F35" s="35">
        <v>212.1</v>
      </c>
      <c r="G35" s="35">
        <v>771.279</v>
      </c>
      <c r="H35" s="35">
        <v>187</v>
      </c>
      <c r="I35" s="35">
        <v>0</v>
      </c>
      <c r="J35" s="35">
        <v>70</v>
      </c>
      <c r="K35" s="35">
        <v>60</v>
      </c>
      <c r="L35" s="35">
        <v>0</v>
      </c>
      <c r="M35" s="23">
        <f t="shared" si="0"/>
        <v>130</v>
      </c>
      <c r="N35" s="2"/>
      <c r="Q35">
        <f>(J36*86400)/1000000</f>
        <v>184.464</v>
      </c>
    </row>
    <row r="36" spans="1:17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3188</v>
      </c>
      <c r="I36" s="16">
        <f t="shared" ref="I36:M36" si="1">SUM(I5:I35)</f>
        <v>0</v>
      </c>
      <c r="J36" s="16">
        <f t="shared" si="1"/>
        <v>2135</v>
      </c>
      <c r="K36" s="16">
        <f>SUM(K5:K35)</f>
        <v>1615</v>
      </c>
      <c r="L36" s="16">
        <f t="shared" si="1"/>
        <v>0</v>
      </c>
      <c r="M36" s="16">
        <f t="shared" si="1"/>
        <v>3750</v>
      </c>
      <c r="N36" s="17"/>
      <c r="O36" s="19"/>
      <c r="Q36">
        <f>Q35/35.315</f>
        <v>5.2233894945490587</v>
      </c>
    </row>
    <row r="37" spans="1:17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0.27544496284776221</v>
      </c>
      <c r="I37" s="5"/>
      <c r="J37" s="5">
        <f>J36/11574</f>
        <v>0.18446518057715569</v>
      </c>
      <c r="K37" s="5">
        <f>K36/11574</f>
        <v>0.13953689303611544</v>
      </c>
      <c r="L37" s="6"/>
      <c r="M37" s="6"/>
      <c r="N37" s="7"/>
    </row>
    <row r="38" spans="1:17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7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7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7" ht="15.75" customHeight="1" x14ac:dyDescent="0.3">
      <c r="N41" s="7"/>
    </row>
    <row r="42" spans="1:17" ht="15.75" customHeight="1" x14ac:dyDescent="0.3">
      <c r="N42" s="7"/>
    </row>
    <row r="43" spans="1:17" ht="15.75" customHeight="1" x14ac:dyDescent="0.3">
      <c r="N43" s="7"/>
    </row>
    <row r="44" spans="1:17" ht="15.75" customHeight="1" x14ac:dyDescent="0.3">
      <c r="N44" s="7"/>
    </row>
    <row r="45" spans="1:17" ht="15.75" customHeight="1" x14ac:dyDescent="0.3">
      <c r="N45" s="7"/>
    </row>
    <row r="46" spans="1:17" ht="15.75" customHeight="1" x14ac:dyDescent="0.3">
      <c r="N46" s="7"/>
    </row>
    <row r="47" spans="1:17" ht="15.75" customHeight="1" x14ac:dyDescent="0.3">
      <c r="N47" s="7"/>
    </row>
    <row r="48" spans="1:17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O101"/>
  <sheetViews>
    <sheetView tabSelected="1" view="pageBreakPreview" zoomScale="60" workbookViewId="0">
      <selection activeCell="I35" sqref="I35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6.4414062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44805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212.13</v>
      </c>
      <c r="G5" s="35">
        <v>774.45699999999999</v>
      </c>
      <c r="H5" s="35">
        <v>166</v>
      </c>
      <c r="I5" s="35">
        <v>0</v>
      </c>
      <c r="J5" s="35">
        <v>60</v>
      </c>
      <c r="K5" s="35">
        <v>70</v>
      </c>
      <c r="L5" s="35">
        <v>0</v>
      </c>
      <c r="M5" s="23">
        <f>L5+K5+J5+I5</f>
        <v>130</v>
      </c>
      <c r="N5" s="2"/>
    </row>
    <row r="6" spans="1:14" ht="19.5" customHeight="1" x14ac:dyDescent="0.3">
      <c r="A6" s="8">
        <v>44806</v>
      </c>
      <c r="B6" s="55"/>
      <c r="C6" s="55"/>
      <c r="D6" s="21">
        <v>213.8</v>
      </c>
      <c r="E6" s="26">
        <v>949</v>
      </c>
      <c r="F6" s="35">
        <v>212.15</v>
      </c>
      <c r="G6" s="35">
        <v>776.577</v>
      </c>
      <c r="H6" s="35">
        <v>155</v>
      </c>
      <c r="I6" s="35">
        <v>0</v>
      </c>
      <c r="J6" s="35">
        <v>60</v>
      </c>
      <c r="K6" s="35">
        <v>70</v>
      </c>
      <c r="L6" s="35">
        <v>0</v>
      </c>
      <c r="M6" s="23">
        <f t="shared" ref="M6:M34" si="0">L6+K6+J6+I6</f>
        <v>130</v>
      </c>
      <c r="N6" s="2"/>
    </row>
    <row r="7" spans="1:14" ht="19.5" customHeight="1" x14ac:dyDescent="0.3">
      <c r="A7" s="8">
        <v>44807</v>
      </c>
      <c r="B7" s="55"/>
      <c r="C7" s="55"/>
      <c r="D7" s="21">
        <v>213.8</v>
      </c>
      <c r="E7" s="26">
        <v>949</v>
      </c>
      <c r="F7" s="35">
        <v>212.1</v>
      </c>
      <c r="G7" s="35">
        <v>771.279</v>
      </c>
      <c r="H7" s="35">
        <v>69</v>
      </c>
      <c r="I7" s="35">
        <v>0</v>
      </c>
      <c r="J7" s="35">
        <v>60</v>
      </c>
      <c r="K7" s="35">
        <v>70</v>
      </c>
      <c r="L7" s="35">
        <v>0</v>
      </c>
      <c r="M7" s="23">
        <f t="shared" si="0"/>
        <v>130</v>
      </c>
      <c r="N7" s="2"/>
    </row>
    <row r="8" spans="1:14" ht="19.5" customHeight="1" x14ac:dyDescent="0.3">
      <c r="A8" s="8">
        <v>44808</v>
      </c>
      <c r="B8" s="55"/>
      <c r="C8" s="55"/>
      <c r="D8" s="21">
        <v>213.8</v>
      </c>
      <c r="E8" s="26">
        <v>949</v>
      </c>
      <c r="F8" s="35">
        <v>212.1</v>
      </c>
      <c r="G8" s="35">
        <v>771.279</v>
      </c>
      <c r="H8" s="35">
        <v>130</v>
      </c>
      <c r="I8" s="35">
        <v>0</v>
      </c>
      <c r="J8" s="35">
        <v>60</v>
      </c>
      <c r="K8" s="35">
        <v>70</v>
      </c>
      <c r="L8" s="35">
        <v>0</v>
      </c>
      <c r="M8" s="23">
        <f t="shared" si="0"/>
        <v>130</v>
      </c>
      <c r="N8" s="2"/>
    </row>
    <row r="9" spans="1:14" ht="19.5" customHeight="1" x14ac:dyDescent="0.3">
      <c r="A9" s="8">
        <v>44809</v>
      </c>
      <c r="B9" s="55"/>
      <c r="C9" s="55"/>
      <c r="D9" s="21">
        <v>213.8</v>
      </c>
      <c r="E9" s="26">
        <v>949</v>
      </c>
      <c r="F9" s="35">
        <v>212.2</v>
      </c>
      <c r="G9" s="35">
        <v>781.87</v>
      </c>
      <c r="H9" s="35">
        <v>252</v>
      </c>
      <c r="I9" s="35">
        <v>0</v>
      </c>
      <c r="J9" s="35">
        <v>60</v>
      </c>
      <c r="K9" s="35">
        <v>70</v>
      </c>
      <c r="L9" s="35">
        <v>0</v>
      </c>
      <c r="M9" s="23">
        <f t="shared" si="0"/>
        <v>130</v>
      </c>
      <c r="N9" s="2"/>
    </row>
    <row r="10" spans="1:14" ht="19.5" customHeight="1" x14ac:dyDescent="0.3">
      <c r="A10" s="8">
        <v>44810</v>
      </c>
      <c r="B10" s="55"/>
      <c r="C10" s="55"/>
      <c r="D10" s="21">
        <v>213.8</v>
      </c>
      <c r="E10" s="26">
        <v>949</v>
      </c>
      <c r="F10" s="35">
        <v>212.25</v>
      </c>
      <c r="G10" s="35">
        <v>787.17100000000005</v>
      </c>
      <c r="H10" s="35">
        <v>192</v>
      </c>
      <c r="I10" s="35">
        <v>0</v>
      </c>
      <c r="J10" s="35">
        <v>60</v>
      </c>
      <c r="K10" s="35">
        <v>70</v>
      </c>
      <c r="L10" s="35">
        <v>0</v>
      </c>
      <c r="M10" s="23">
        <f t="shared" si="0"/>
        <v>130</v>
      </c>
      <c r="N10" s="2"/>
    </row>
    <row r="11" spans="1:14" ht="19.5" customHeight="1" x14ac:dyDescent="0.3">
      <c r="A11" s="8">
        <v>44811</v>
      </c>
      <c r="B11" s="55"/>
      <c r="C11" s="55"/>
      <c r="D11" s="21">
        <v>213.8</v>
      </c>
      <c r="E11" s="26">
        <v>949</v>
      </c>
      <c r="F11" s="36">
        <v>212.4</v>
      </c>
      <c r="G11" s="37">
        <v>802.70899999999995</v>
      </c>
      <c r="H11" s="35">
        <v>309</v>
      </c>
      <c r="I11" s="35">
        <v>0</v>
      </c>
      <c r="J11" s="35">
        <v>60</v>
      </c>
      <c r="K11" s="35">
        <v>70</v>
      </c>
      <c r="L11" s="35">
        <v>0</v>
      </c>
      <c r="M11" s="23">
        <f t="shared" si="0"/>
        <v>130</v>
      </c>
      <c r="N11" s="2"/>
    </row>
    <row r="12" spans="1:14" ht="19.5" customHeight="1" x14ac:dyDescent="0.3">
      <c r="A12" s="8">
        <v>44812</v>
      </c>
      <c r="B12" s="55"/>
      <c r="C12" s="55"/>
      <c r="D12" s="21">
        <v>213.8</v>
      </c>
      <c r="E12" s="26">
        <v>949</v>
      </c>
      <c r="F12" s="35">
        <v>212.5</v>
      </c>
      <c r="G12" s="35">
        <v>813.30399999999997</v>
      </c>
      <c r="H12" s="35">
        <v>252</v>
      </c>
      <c r="I12" s="35">
        <v>0</v>
      </c>
      <c r="J12" s="35">
        <v>60</v>
      </c>
      <c r="K12" s="35">
        <v>70</v>
      </c>
      <c r="L12" s="35">
        <v>0</v>
      </c>
      <c r="M12" s="23">
        <f t="shared" si="0"/>
        <v>130</v>
      </c>
      <c r="N12" s="2"/>
    </row>
    <row r="13" spans="1:14" ht="19.5" customHeight="1" x14ac:dyDescent="0.3">
      <c r="A13" s="8">
        <v>44813</v>
      </c>
      <c r="B13" s="55"/>
      <c r="C13" s="55"/>
      <c r="D13" s="21">
        <v>213.8</v>
      </c>
      <c r="E13" s="26">
        <v>949</v>
      </c>
      <c r="F13" s="35">
        <v>213.15</v>
      </c>
      <c r="G13" s="35">
        <v>881.10900000000004</v>
      </c>
      <c r="H13" s="35">
        <v>915</v>
      </c>
      <c r="I13" s="35">
        <v>0</v>
      </c>
      <c r="J13" s="35">
        <v>60</v>
      </c>
      <c r="K13" s="35">
        <v>70</v>
      </c>
      <c r="L13" s="35">
        <v>0</v>
      </c>
      <c r="M13" s="23">
        <f t="shared" si="0"/>
        <v>130</v>
      </c>
      <c r="N13" s="2"/>
    </row>
    <row r="14" spans="1:14" ht="19.5" customHeight="1" x14ac:dyDescent="0.3">
      <c r="A14" s="8">
        <v>44814</v>
      </c>
      <c r="B14" s="55"/>
      <c r="C14" s="55"/>
      <c r="D14" s="21">
        <v>213.8</v>
      </c>
      <c r="E14" s="26">
        <v>949</v>
      </c>
      <c r="F14" s="35">
        <v>213.48</v>
      </c>
      <c r="G14" s="35">
        <v>915.71699999999998</v>
      </c>
      <c r="H14" s="35">
        <v>751</v>
      </c>
      <c r="I14" s="35">
        <v>250</v>
      </c>
      <c r="J14" s="35">
        <v>60</v>
      </c>
      <c r="K14" s="35">
        <v>40</v>
      </c>
      <c r="L14" s="35">
        <v>0</v>
      </c>
      <c r="M14" s="23">
        <f t="shared" si="0"/>
        <v>350</v>
      </c>
      <c r="N14" s="2"/>
    </row>
    <row r="15" spans="1:14" ht="19.5" customHeight="1" x14ac:dyDescent="0.3">
      <c r="A15" s="8">
        <v>44815</v>
      </c>
      <c r="B15" s="55"/>
      <c r="C15" s="55"/>
      <c r="D15" s="21">
        <v>213.8</v>
      </c>
      <c r="E15" s="26">
        <v>949</v>
      </c>
      <c r="F15" s="35">
        <v>213.4</v>
      </c>
      <c r="G15" s="35">
        <v>907.24199999999996</v>
      </c>
      <c r="H15" s="35">
        <v>501</v>
      </c>
      <c r="I15" s="35">
        <v>500</v>
      </c>
      <c r="J15" s="35">
        <v>60</v>
      </c>
      <c r="K15" s="35">
        <v>40</v>
      </c>
      <c r="L15" s="35">
        <v>0</v>
      </c>
      <c r="M15" s="23">
        <f t="shared" si="0"/>
        <v>600</v>
      </c>
      <c r="N15" s="2"/>
    </row>
    <row r="16" spans="1:14" ht="19.5" customHeight="1" x14ac:dyDescent="0.3">
      <c r="A16" s="8">
        <v>44816</v>
      </c>
      <c r="B16" s="55"/>
      <c r="C16" s="55"/>
      <c r="D16" s="21">
        <v>213.8</v>
      </c>
      <c r="E16" s="26">
        <v>949</v>
      </c>
      <c r="F16" s="36">
        <v>213.33</v>
      </c>
      <c r="G16" s="35">
        <v>899.82600000000002</v>
      </c>
      <c r="H16" s="35">
        <v>515</v>
      </c>
      <c r="I16" s="35">
        <v>500</v>
      </c>
      <c r="J16" s="35">
        <v>60</v>
      </c>
      <c r="K16" s="35">
        <v>40</v>
      </c>
      <c r="L16" s="35">
        <v>0</v>
      </c>
      <c r="M16" s="23">
        <f t="shared" si="0"/>
        <v>600</v>
      </c>
      <c r="N16" s="2"/>
    </row>
    <row r="17" spans="1:15" ht="19.5" customHeight="1" x14ac:dyDescent="0.3">
      <c r="A17" s="8">
        <v>44817</v>
      </c>
      <c r="B17" s="55"/>
      <c r="C17" s="55"/>
      <c r="D17" s="21">
        <v>213.8</v>
      </c>
      <c r="E17" s="26">
        <v>949</v>
      </c>
      <c r="F17" s="35">
        <v>213.47</v>
      </c>
      <c r="G17" s="35">
        <v>914.65800000000002</v>
      </c>
      <c r="H17" s="35">
        <v>671</v>
      </c>
      <c r="I17" s="35">
        <v>400</v>
      </c>
      <c r="J17" s="35">
        <v>60</v>
      </c>
      <c r="K17" s="35">
        <v>40</v>
      </c>
      <c r="L17" s="35">
        <v>0</v>
      </c>
      <c r="M17" s="23">
        <f t="shared" si="0"/>
        <v>500</v>
      </c>
      <c r="N17" s="2"/>
    </row>
    <row r="18" spans="1:15" ht="19.5" customHeight="1" x14ac:dyDescent="0.3">
      <c r="A18" s="8">
        <v>44818</v>
      </c>
      <c r="B18" s="55"/>
      <c r="C18" s="55"/>
      <c r="D18" s="21">
        <v>213.8</v>
      </c>
      <c r="E18" s="26">
        <v>949</v>
      </c>
      <c r="F18" s="35">
        <v>213.4</v>
      </c>
      <c r="G18" s="35">
        <v>907.24199999999996</v>
      </c>
      <c r="H18" s="35">
        <v>415</v>
      </c>
      <c r="I18" s="35">
        <v>400</v>
      </c>
      <c r="J18" s="35">
        <v>60</v>
      </c>
      <c r="K18" s="35">
        <v>40</v>
      </c>
      <c r="L18" s="35">
        <v>0</v>
      </c>
      <c r="M18" s="23">
        <f t="shared" si="0"/>
        <v>500</v>
      </c>
      <c r="N18" s="2"/>
    </row>
    <row r="19" spans="1:15" ht="19.5" customHeight="1" x14ac:dyDescent="0.3">
      <c r="A19" s="8">
        <v>44819</v>
      </c>
      <c r="B19" s="55"/>
      <c r="C19" s="55"/>
      <c r="D19" s="21">
        <v>213.8</v>
      </c>
      <c r="E19" s="26">
        <v>949</v>
      </c>
      <c r="F19" s="35">
        <v>213.3</v>
      </c>
      <c r="G19" s="35">
        <v>896.64700000000005</v>
      </c>
      <c r="H19" s="35">
        <v>288</v>
      </c>
      <c r="I19" s="35">
        <v>300</v>
      </c>
      <c r="J19" s="35">
        <v>60</v>
      </c>
      <c r="K19" s="35">
        <v>50</v>
      </c>
      <c r="L19" s="35">
        <v>0</v>
      </c>
      <c r="M19" s="23">
        <f t="shared" si="0"/>
        <v>410</v>
      </c>
      <c r="N19" s="2"/>
    </row>
    <row r="20" spans="1:15" ht="19.5" customHeight="1" x14ac:dyDescent="0.3">
      <c r="A20" s="8">
        <v>44820</v>
      </c>
      <c r="B20" s="55"/>
      <c r="C20" s="55"/>
      <c r="D20" s="21">
        <v>213.8</v>
      </c>
      <c r="E20" s="26">
        <v>949</v>
      </c>
      <c r="F20" s="35">
        <v>213.33</v>
      </c>
      <c r="G20" s="35">
        <v>900.17899999999997</v>
      </c>
      <c r="H20" s="35">
        <v>161</v>
      </c>
      <c r="I20" s="35">
        <v>0</v>
      </c>
      <c r="J20" s="35">
        <v>60</v>
      </c>
      <c r="K20" s="35">
        <v>60</v>
      </c>
      <c r="L20" s="35">
        <v>0</v>
      </c>
      <c r="M20" s="23">
        <f t="shared" si="0"/>
        <v>120</v>
      </c>
      <c r="N20" s="2"/>
    </row>
    <row r="21" spans="1:15" ht="19.5" customHeight="1" x14ac:dyDescent="0.3">
      <c r="A21" s="8">
        <v>44821</v>
      </c>
      <c r="B21" s="55"/>
      <c r="C21" s="55"/>
      <c r="D21" s="21">
        <v>213.8</v>
      </c>
      <c r="E21" s="26">
        <v>949</v>
      </c>
      <c r="F21" s="36">
        <v>213.4</v>
      </c>
      <c r="G21" s="35">
        <v>907.24199999999996</v>
      </c>
      <c r="H21" s="35">
        <v>201</v>
      </c>
      <c r="I21" s="35">
        <v>0</v>
      </c>
      <c r="J21" s="35">
        <v>60</v>
      </c>
      <c r="K21" s="35">
        <v>60</v>
      </c>
      <c r="L21" s="35">
        <v>0</v>
      </c>
      <c r="M21" s="23">
        <f t="shared" si="0"/>
        <v>120</v>
      </c>
      <c r="N21" s="2"/>
    </row>
    <row r="22" spans="1:15" ht="19.5" customHeight="1" x14ac:dyDescent="0.3">
      <c r="A22" s="8">
        <v>44822</v>
      </c>
      <c r="B22" s="55"/>
      <c r="C22" s="55"/>
      <c r="D22" s="21">
        <v>213.8</v>
      </c>
      <c r="E22" s="26">
        <v>949</v>
      </c>
      <c r="F22" s="35">
        <v>213.48</v>
      </c>
      <c r="G22" s="35">
        <v>915.71699999999998</v>
      </c>
      <c r="H22" s="35">
        <v>218</v>
      </c>
      <c r="I22" s="35">
        <v>0</v>
      </c>
      <c r="J22" s="35">
        <v>60</v>
      </c>
      <c r="K22" s="35">
        <v>60</v>
      </c>
      <c r="L22" s="35">
        <v>0</v>
      </c>
      <c r="M22" s="23">
        <f t="shared" si="0"/>
        <v>120</v>
      </c>
      <c r="N22" s="2"/>
    </row>
    <row r="23" spans="1:15" ht="19.5" customHeight="1" x14ac:dyDescent="0.3">
      <c r="A23" s="8">
        <v>44823</v>
      </c>
      <c r="B23" s="55"/>
      <c r="C23" s="55"/>
      <c r="D23" s="21">
        <v>213.8</v>
      </c>
      <c r="E23" s="26">
        <v>949</v>
      </c>
      <c r="F23" s="35">
        <v>213.37</v>
      </c>
      <c r="G23" s="35">
        <v>904.06399999999996</v>
      </c>
      <c r="H23" s="35">
        <v>135</v>
      </c>
      <c r="I23" s="35">
        <v>150</v>
      </c>
      <c r="J23" s="35">
        <v>60</v>
      </c>
      <c r="K23" s="35">
        <v>60</v>
      </c>
      <c r="L23" s="35">
        <v>0</v>
      </c>
      <c r="M23" s="23">
        <f t="shared" si="0"/>
        <v>270</v>
      </c>
      <c r="N23" s="2"/>
    </row>
    <row r="24" spans="1:15" ht="19.5" customHeight="1" x14ac:dyDescent="0.3">
      <c r="A24" s="8">
        <v>44824</v>
      </c>
      <c r="B24" s="55"/>
      <c r="C24" s="55"/>
      <c r="D24" s="21">
        <v>213.8</v>
      </c>
      <c r="E24" s="26">
        <v>949</v>
      </c>
      <c r="F24" s="35">
        <v>213.44</v>
      </c>
      <c r="G24" s="35">
        <v>911.48</v>
      </c>
      <c r="H24" s="35">
        <v>205</v>
      </c>
      <c r="I24" s="35">
        <v>0</v>
      </c>
      <c r="J24" s="35">
        <v>60</v>
      </c>
      <c r="K24" s="35">
        <v>60</v>
      </c>
      <c r="L24" s="35">
        <v>0</v>
      </c>
      <c r="M24" s="23">
        <f t="shared" si="0"/>
        <v>120</v>
      </c>
      <c r="N24" s="2"/>
    </row>
    <row r="25" spans="1:15" ht="19.5" customHeight="1" x14ac:dyDescent="0.3">
      <c r="A25" s="8">
        <v>44825</v>
      </c>
      <c r="B25" s="55"/>
      <c r="C25" s="55"/>
      <c r="D25" s="21">
        <v>213.8</v>
      </c>
      <c r="E25" s="26">
        <v>949</v>
      </c>
      <c r="F25" s="35">
        <v>213.44</v>
      </c>
      <c r="G25" s="35">
        <v>911.48</v>
      </c>
      <c r="H25" s="35">
        <v>120</v>
      </c>
      <c r="I25" s="35">
        <v>0</v>
      </c>
      <c r="J25" s="35">
        <v>60</v>
      </c>
      <c r="K25" s="35">
        <v>60</v>
      </c>
      <c r="L25" s="35">
        <v>0</v>
      </c>
      <c r="M25" s="23">
        <f t="shared" si="0"/>
        <v>120</v>
      </c>
      <c r="N25" s="2"/>
    </row>
    <row r="26" spans="1:15" ht="19.5" customHeight="1" x14ac:dyDescent="0.3">
      <c r="A26" s="8">
        <v>44826</v>
      </c>
      <c r="B26" s="55"/>
      <c r="C26" s="55"/>
      <c r="D26" s="21">
        <v>213.8</v>
      </c>
      <c r="E26" s="26">
        <v>949</v>
      </c>
      <c r="F26" s="35">
        <v>213.48</v>
      </c>
      <c r="G26" s="35">
        <v>915.71699999999998</v>
      </c>
      <c r="H26" s="35">
        <v>169</v>
      </c>
      <c r="I26" s="35">
        <v>0</v>
      </c>
      <c r="J26" s="35">
        <v>60</v>
      </c>
      <c r="K26" s="35">
        <v>60</v>
      </c>
      <c r="L26" s="35">
        <v>0</v>
      </c>
      <c r="M26" s="23">
        <f t="shared" si="0"/>
        <v>120</v>
      </c>
      <c r="N26" s="2"/>
      <c r="O26" s="18"/>
    </row>
    <row r="27" spans="1:15" ht="19.5" customHeight="1" x14ac:dyDescent="0.3">
      <c r="A27" s="8">
        <v>44827</v>
      </c>
      <c r="B27" s="55"/>
      <c r="C27" s="55"/>
      <c r="D27" s="21">
        <v>213.8</v>
      </c>
      <c r="E27" s="26">
        <v>949</v>
      </c>
      <c r="F27" s="35">
        <v>213.52</v>
      </c>
      <c r="G27" s="35">
        <v>919.95500000000004</v>
      </c>
      <c r="H27" s="35">
        <v>169</v>
      </c>
      <c r="I27" s="35">
        <v>0</v>
      </c>
      <c r="J27" s="35">
        <v>60</v>
      </c>
      <c r="K27" s="35">
        <v>60</v>
      </c>
      <c r="L27" s="35">
        <v>0</v>
      </c>
      <c r="M27" s="23">
        <f t="shared" si="0"/>
        <v>120</v>
      </c>
      <c r="N27" s="2"/>
    </row>
    <row r="28" spans="1:15" ht="19.5" customHeight="1" x14ac:dyDescent="0.3">
      <c r="A28" s="8">
        <v>44828</v>
      </c>
      <c r="B28" s="55"/>
      <c r="C28" s="55"/>
      <c r="D28" s="21">
        <v>213.8</v>
      </c>
      <c r="E28" s="26">
        <v>949</v>
      </c>
      <c r="F28" s="35">
        <v>213.55</v>
      </c>
      <c r="G28" s="35">
        <v>923.13400000000001</v>
      </c>
      <c r="H28" s="35">
        <v>156</v>
      </c>
      <c r="I28" s="35">
        <v>0</v>
      </c>
      <c r="J28" s="35">
        <v>60</v>
      </c>
      <c r="K28" s="35">
        <v>60</v>
      </c>
      <c r="L28" s="35">
        <v>0</v>
      </c>
      <c r="M28" s="23">
        <f t="shared" si="0"/>
        <v>120</v>
      </c>
      <c r="N28" s="2"/>
    </row>
    <row r="29" spans="1:15" ht="19.5" customHeight="1" x14ac:dyDescent="0.3">
      <c r="A29" s="8">
        <v>44829</v>
      </c>
      <c r="B29" s="55"/>
      <c r="C29" s="55"/>
      <c r="D29" s="21">
        <v>213.8</v>
      </c>
      <c r="E29" s="26">
        <v>949</v>
      </c>
      <c r="F29" s="35">
        <v>213.6</v>
      </c>
      <c r="G29" s="35">
        <v>928.07799999999997</v>
      </c>
      <c r="H29" s="35">
        <v>177</v>
      </c>
      <c r="I29" s="35">
        <v>0</v>
      </c>
      <c r="J29" s="35">
        <v>60</v>
      </c>
      <c r="K29" s="35">
        <v>60</v>
      </c>
      <c r="L29" s="35">
        <v>0</v>
      </c>
      <c r="M29" s="23">
        <f t="shared" si="0"/>
        <v>120</v>
      </c>
      <c r="N29" s="2"/>
    </row>
    <row r="30" spans="1:15" ht="19.5" customHeight="1" x14ac:dyDescent="0.3">
      <c r="A30" s="8">
        <v>44830</v>
      </c>
      <c r="B30" s="55"/>
      <c r="C30" s="55"/>
      <c r="D30" s="21">
        <v>213.8</v>
      </c>
      <c r="E30" s="26">
        <v>949</v>
      </c>
      <c r="F30" s="35">
        <v>213.62</v>
      </c>
      <c r="G30" s="35">
        <v>930.197</v>
      </c>
      <c r="H30" s="35">
        <v>144</v>
      </c>
      <c r="I30" s="35">
        <v>0</v>
      </c>
      <c r="J30" s="35">
        <v>60</v>
      </c>
      <c r="K30" s="35">
        <v>60</v>
      </c>
      <c r="L30" s="35">
        <v>0</v>
      </c>
      <c r="M30" s="23">
        <f t="shared" si="0"/>
        <v>120</v>
      </c>
      <c r="N30" s="2"/>
    </row>
    <row r="31" spans="1:15" ht="21" customHeight="1" x14ac:dyDescent="0.3">
      <c r="A31" s="8">
        <v>44831</v>
      </c>
      <c r="B31" s="55"/>
      <c r="C31" s="55"/>
      <c r="D31" s="21">
        <v>213.8</v>
      </c>
      <c r="E31" s="26">
        <v>949</v>
      </c>
      <c r="F31" s="36">
        <v>213.52</v>
      </c>
      <c r="G31" s="35">
        <v>919.95500000000004</v>
      </c>
      <c r="H31" s="35">
        <v>201</v>
      </c>
      <c r="I31" s="35">
        <v>200</v>
      </c>
      <c r="J31" s="35">
        <v>60</v>
      </c>
      <c r="K31" s="35">
        <v>60</v>
      </c>
      <c r="L31" s="35">
        <v>0</v>
      </c>
      <c r="M31" s="23">
        <f t="shared" si="0"/>
        <v>320</v>
      </c>
      <c r="N31" s="2"/>
    </row>
    <row r="32" spans="1:15" ht="21" customHeight="1" x14ac:dyDescent="0.3">
      <c r="A32" s="8">
        <v>44832</v>
      </c>
      <c r="B32" s="55"/>
      <c r="C32" s="55"/>
      <c r="D32" s="21">
        <v>213.8</v>
      </c>
      <c r="E32" s="26">
        <v>949</v>
      </c>
      <c r="F32" s="35">
        <v>213.55</v>
      </c>
      <c r="G32" s="35">
        <v>923.13400000000001</v>
      </c>
      <c r="H32" s="35">
        <v>156</v>
      </c>
      <c r="I32" s="35">
        <v>0</v>
      </c>
      <c r="J32" s="35">
        <v>60</v>
      </c>
      <c r="K32" s="35">
        <v>60</v>
      </c>
      <c r="L32" s="35">
        <v>0</v>
      </c>
      <c r="M32" s="23">
        <f t="shared" si="0"/>
        <v>120</v>
      </c>
      <c r="N32" s="2"/>
    </row>
    <row r="33" spans="1:15" ht="21" customHeight="1" x14ac:dyDescent="0.3">
      <c r="A33" s="8">
        <v>44833</v>
      </c>
      <c r="B33" s="55"/>
      <c r="C33" s="55"/>
      <c r="D33" s="21">
        <v>213.8</v>
      </c>
      <c r="E33" s="26">
        <v>949</v>
      </c>
      <c r="F33" s="35">
        <v>213.58</v>
      </c>
      <c r="G33" s="35">
        <v>926.31200000000001</v>
      </c>
      <c r="H33" s="35">
        <v>156</v>
      </c>
      <c r="I33" s="35">
        <v>0</v>
      </c>
      <c r="J33" s="35">
        <v>60</v>
      </c>
      <c r="K33" s="35">
        <v>60</v>
      </c>
      <c r="L33" s="35">
        <v>0</v>
      </c>
      <c r="M33" s="23">
        <f t="shared" si="0"/>
        <v>120</v>
      </c>
      <c r="N33" s="2"/>
    </row>
    <row r="34" spans="1:15" ht="21" customHeight="1" x14ac:dyDescent="0.3">
      <c r="A34" s="8">
        <v>44834</v>
      </c>
      <c r="B34" s="56"/>
      <c r="C34" s="56"/>
      <c r="D34" s="22">
        <v>213.8</v>
      </c>
      <c r="E34" s="26">
        <v>949</v>
      </c>
      <c r="F34" s="35">
        <v>213.6</v>
      </c>
      <c r="G34" s="35">
        <v>928.43100000000004</v>
      </c>
      <c r="H34" s="35">
        <v>144</v>
      </c>
      <c r="I34" s="35">
        <v>0</v>
      </c>
      <c r="J34" s="35">
        <v>60</v>
      </c>
      <c r="K34" s="35">
        <v>60</v>
      </c>
      <c r="L34" s="35">
        <v>0</v>
      </c>
      <c r="M34" s="23">
        <f t="shared" si="0"/>
        <v>120</v>
      </c>
      <c r="N34" s="2"/>
    </row>
    <row r="35" spans="1:15" ht="21" customHeight="1" x14ac:dyDescent="0.3">
      <c r="A35" s="12"/>
      <c r="B35" s="13"/>
      <c r="C35" s="13"/>
      <c r="D35" s="14"/>
      <c r="E35" s="14"/>
      <c r="F35" s="15"/>
      <c r="G35" s="14"/>
      <c r="H35" s="16">
        <f>SUM(H5:H34)</f>
        <v>8093</v>
      </c>
      <c r="I35" s="16">
        <f t="shared" ref="I35:M35" si="1">SUM(I5:I34)</f>
        <v>2700</v>
      </c>
      <c r="J35" s="16">
        <f t="shared" si="1"/>
        <v>1800</v>
      </c>
      <c r="K35" s="16">
        <f t="shared" si="1"/>
        <v>1780</v>
      </c>
      <c r="L35" s="16">
        <f t="shared" si="1"/>
        <v>0</v>
      </c>
      <c r="M35" s="16">
        <f t="shared" si="1"/>
        <v>6280</v>
      </c>
      <c r="N35" s="17"/>
      <c r="O35" s="19"/>
    </row>
    <row r="36" spans="1:15" ht="47.25" customHeight="1" x14ac:dyDescent="0.3">
      <c r="A36" s="3"/>
      <c r="B36" s="4"/>
      <c r="C36" s="5"/>
      <c r="D36" s="5"/>
      <c r="E36" s="5"/>
      <c r="F36" s="5"/>
      <c r="G36" s="5"/>
      <c r="H36" s="5">
        <f>H35/11574</f>
        <v>0.69923967513392082</v>
      </c>
      <c r="I36" s="5"/>
      <c r="J36" s="5">
        <f>J35/11574</f>
        <v>0.15552099533437014</v>
      </c>
      <c r="K36" s="5">
        <f>K35/11574</f>
        <v>0.15379298427509935</v>
      </c>
      <c r="L36" s="6"/>
      <c r="M36" s="6"/>
      <c r="N36" s="7"/>
    </row>
    <row r="37" spans="1:15" ht="15.75" customHeight="1" x14ac:dyDescent="0.3">
      <c r="A37" s="57" t="s">
        <v>9</v>
      </c>
      <c r="B37" s="52"/>
      <c r="C37" s="52"/>
      <c r="D37" s="52"/>
      <c r="J37" s="57" t="s">
        <v>10</v>
      </c>
      <c r="K37" s="52"/>
      <c r="L37" s="52"/>
      <c r="M37" s="52"/>
      <c r="N37" s="7"/>
    </row>
    <row r="38" spans="1:15" ht="15.75" customHeight="1" x14ac:dyDescent="0.3">
      <c r="A38" s="58" t="s">
        <v>16</v>
      </c>
      <c r="B38" s="52"/>
      <c r="C38" s="52"/>
      <c r="D38" s="52"/>
      <c r="J38" s="58" t="s">
        <v>16</v>
      </c>
      <c r="K38" s="52"/>
      <c r="L38" s="52"/>
      <c r="M38" s="52"/>
      <c r="N38" s="7"/>
    </row>
    <row r="39" spans="1:15" ht="15.75" customHeight="1" x14ac:dyDescent="0.3">
      <c r="A39" s="51" t="s">
        <v>17</v>
      </c>
      <c r="B39" s="52"/>
      <c r="C39" s="52"/>
      <c r="D39" s="52"/>
      <c r="J39" s="51" t="s">
        <v>17</v>
      </c>
      <c r="K39" s="52"/>
      <c r="L39" s="52"/>
      <c r="M39" s="52"/>
      <c r="N39" s="7"/>
    </row>
    <row r="40" spans="1:15" ht="15.75" customHeight="1" x14ac:dyDescent="0.3"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O102"/>
  <sheetViews>
    <sheetView view="pageBreakPreview" topLeftCell="A22" zoomScale="60" workbookViewId="0">
      <selection activeCell="J36" sqref="J36:K36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6.4414062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30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44835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213.6</v>
      </c>
      <c r="G5" s="35">
        <v>928.43100000000004</v>
      </c>
      <c r="H5" s="35">
        <v>120</v>
      </c>
      <c r="I5" s="35">
        <v>0</v>
      </c>
      <c r="J5" s="35">
        <v>60</v>
      </c>
      <c r="K5" s="35">
        <v>60</v>
      </c>
      <c r="L5" s="35">
        <v>0</v>
      </c>
      <c r="M5" s="23">
        <f>L5+K5+J5+I5</f>
        <v>120</v>
      </c>
      <c r="N5" s="2"/>
    </row>
    <row r="6" spans="1:14" ht="19.5" customHeight="1" x14ac:dyDescent="0.3">
      <c r="A6" s="8">
        <v>44836</v>
      </c>
      <c r="B6" s="55"/>
      <c r="C6" s="55"/>
      <c r="D6" s="21">
        <v>213.8</v>
      </c>
      <c r="E6" s="26">
        <v>949</v>
      </c>
      <c r="F6" s="35">
        <v>213.55</v>
      </c>
      <c r="G6" s="35">
        <v>923.13400000000001</v>
      </c>
      <c r="H6" s="35">
        <v>58</v>
      </c>
      <c r="I6" s="35">
        <v>0</v>
      </c>
      <c r="J6" s="35">
        <v>60</v>
      </c>
      <c r="K6" s="35">
        <v>60</v>
      </c>
      <c r="L6" s="35">
        <v>0</v>
      </c>
      <c r="M6" s="23">
        <f t="shared" ref="M6:M35" si="0">L6+K6+J6+I6</f>
        <v>120</v>
      </c>
      <c r="N6" s="2"/>
    </row>
    <row r="7" spans="1:14" ht="19.5" customHeight="1" x14ac:dyDescent="0.3">
      <c r="A7" s="8">
        <v>44837</v>
      </c>
      <c r="B7" s="55"/>
      <c r="C7" s="55"/>
      <c r="D7" s="21">
        <v>213.8</v>
      </c>
      <c r="E7" s="26">
        <v>949</v>
      </c>
      <c r="F7" s="35">
        <v>213.55</v>
      </c>
      <c r="G7" s="35">
        <v>923.13400000000001</v>
      </c>
      <c r="H7" s="35">
        <v>120</v>
      </c>
      <c r="I7" s="35">
        <v>0</v>
      </c>
      <c r="J7" s="35">
        <v>60</v>
      </c>
      <c r="K7" s="35">
        <v>60</v>
      </c>
      <c r="L7" s="35">
        <v>0</v>
      </c>
      <c r="M7" s="23">
        <f t="shared" si="0"/>
        <v>120</v>
      </c>
      <c r="N7" s="2"/>
    </row>
    <row r="8" spans="1:14" ht="19.5" customHeight="1" x14ac:dyDescent="0.3">
      <c r="A8" s="8">
        <v>44838</v>
      </c>
      <c r="B8" s="55"/>
      <c r="C8" s="55"/>
      <c r="D8" s="21">
        <v>213.8</v>
      </c>
      <c r="E8" s="26">
        <v>949</v>
      </c>
      <c r="F8" s="35">
        <v>213.45</v>
      </c>
      <c r="G8" s="35">
        <v>912.53899999999999</v>
      </c>
      <c r="H8" s="35">
        <v>197</v>
      </c>
      <c r="I8" s="35">
        <v>200</v>
      </c>
      <c r="J8" s="35">
        <v>60</v>
      </c>
      <c r="K8" s="35">
        <v>60</v>
      </c>
      <c r="L8" s="35">
        <v>0</v>
      </c>
      <c r="M8" s="23">
        <f t="shared" si="0"/>
        <v>320</v>
      </c>
      <c r="N8" s="2"/>
    </row>
    <row r="9" spans="1:14" ht="19.5" customHeight="1" x14ac:dyDescent="0.3">
      <c r="A9" s="8">
        <v>44839</v>
      </c>
      <c r="B9" s="55"/>
      <c r="C9" s="55"/>
      <c r="D9" s="21">
        <v>213.8</v>
      </c>
      <c r="E9" s="26">
        <v>949</v>
      </c>
      <c r="F9" s="35">
        <v>213.55</v>
      </c>
      <c r="G9" s="35">
        <v>923.13400000000001</v>
      </c>
      <c r="H9" s="35">
        <v>242</v>
      </c>
      <c r="I9" s="35">
        <v>0</v>
      </c>
      <c r="J9" s="35">
        <v>60</v>
      </c>
      <c r="K9" s="35">
        <v>60</v>
      </c>
      <c r="L9" s="35">
        <v>0</v>
      </c>
      <c r="M9" s="23">
        <f t="shared" si="0"/>
        <v>120</v>
      </c>
      <c r="N9" s="2"/>
    </row>
    <row r="10" spans="1:14" ht="19.5" customHeight="1" x14ac:dyDescent="0.3">
      <c r="A10" s="8">
        <v>44840</v>
      </c>
      <c r="B10" s="55"/>
      <c r="C10" s="55"/>
      <c r="D10" s="21">
        <v>213.8</v>
      </c>
      <c r="E10" s="26">
        <v>949</v>
      </c>
      <c r="F10" s="35">
        <v>213.7</v>
      </c>
      <c r="G10" s="35">
        <v>938.67200000000003</v>
      </c>
      <c r="H10" s="35">
        <v>300</v>
      </c>
      <c r="I10" s="35">
        <v>0</v>
      </c>
      <c r="J10" s="35">
        <v>60</v>
      </c>
      <c r="K10" s="35">
        <v>60</v>
      </c>
      <c r="L10" s="35">
        <v>0</v>
      </c>
      <c r="M10" s="23">
        <f t="shared" si="0"/>
        <v>120</v>
      </c>
      <c r="N10" s="2"/>
    </row>
    <row r="11" spans="1:14" ht="19.5" customHeight="1" x14ac:dyDescent="0.3">
      <c r="A11" s="8">
        <v>44841</v>
      </c>
      <c r="B11" s="55"/>
      <c r="C11" s="55"/>
      <c r="D11" s="21">
        <v>213.8</v>
      </c>
      <c r="E11" s="26">
        <v>949</v>
      </c>
      <c r="F11" s="36">
        <v>213.3</v>
      </c>
      <c r="G11" s="37">
        <v>897.00099999999998</v>
      </c>
      <c r="H11" s="35">
        <v>517</v>
      </c>
      <c r="I11" s="35">
        <v>1000</v>
      </c>
      <c r="J11" s="35">
        <v>60</v>
      </c>
      <c r="K11" s="35">
        <v>40</v>
      </c>
      <c r="L11" s="35">
        <v>0</v>
      </c>
      <c r="M11" s="23">
        <f t="shared" si="0"/>
        <v>1100</v>
      </c>
      <c r="N11" s="2"/>
    </row>
    <row r="12" spans="1:14" ht="19.5" customHeight="1" x14ac:dyDescent="0.3">
      <c r="A12" s="8">
        <v>44842</v>
      </c>
      <c r="B12" s="55"/>
      <c r="C12" s="55"/>
      <c r="D12" s="21">
        <v>213.8</v>
      </c>
      <c r="E12" s="26">
        <v>949</v>
      </c>
      <c r="F12" s="35">
        <v>213.67</v>
      </c>
      <c r="G12" s="35">
        <v>935.49400000000003</v>
      </c>
      <c r="H12" s="35">
        <v>745</v>
      </c>
      <c r="I12" s="35">
        <v>200</v>
      </c>
      <c r="J12" s="35">
        <v>60</v>
      </c>
      <c r="K12" s="35">
        <v>40</v>
      </c>
      <c r="L12" s="35">
        <v>0</v>
      </c>
      <c r="M12" s="23">
        <f t="shared" si="0"/>
        <v>300</v>
      </c>
      <c r="N12" s="2"/>
    </row>
    <row r="13" spans="1:14" ht="19.5" customHeight="1" x14ac:dyDescent="0.3">
      <c r="A13" s="8">
        <v>44843</v>
      </c>
      <c r="B13" s="55"/>
      <c r="C13" s="55"/>
      <c r="D13" s="21">
        <v>213.8</v>
      </c>
      <c r="E13" s="26">
        <v>949</v>
      </c>
      <c r="F13" s="35">
        <v>213.48</v>
      </c>
      <c r="G13" s="35">
        <v>915.71699999999998</v>
      </c>
      <c r="H13" s="35">
        <v>571</v>
      </c>
      <c r="I13" s="35">
        <v>700</v>
      </c>
      <c r="J13" s="35">
        <v>60</v>
      </c>
      <c r="K13" s="35">
        <v>40</v>
      </c>
      <c r="L13" s="35">
        <v>0</v>
      </c>
      <c r="M13" s="23">
        <f t="shared" si="0"/>
        <v>800</v>
      </c>
      <c r="N13" s="2"/>
    </row>
    <row r="14" spans="1:14" ht="19.5" customHeight="1" x14ac:dyDescent="0.3">
      <c r="A14" s="8">
        <v>44844</v>
      </c>
      <c r="B14" s="55"/>
      <c r="C14" s="55"/>
      <c r="D14" s="21">
        <v>213.8</v>
      </c>
      <c r="E14" s="26">
        <v>949</v>
      </c>
      <c r="F14" s="35">
        <v>213.48</v>
      </c>
      <c r="G14" s="35">
        <v>915.71699999999998</v>
      </c>
      <c r="H14" s="35">
        <v>550</v>
      </c>
      <c r="I14" s="35">
        <v>450</v>
      </c>
      <c r="J14" s="35">
        <v>60</v>
      </c>
      <c r="K14" s="35">
        <v>40</v>
      </c>
      <c r="L14" s="35">
        <v>0</v>
      </c>
      <c r="M14" s="23">
        <f t="shared" si="0"/>
        <v>550</v>
      </c>
      <c r="N14" s="2"/>
    </row>
    <row r="15" spans="1:14" ht="19.5" customHeight="1" x14ac:dyDescent="0.3">
      <c r="A15" s="8">
        <v>44845</v>
      </c>
      <c r="B15" s="55"/>
      <c r="C15" s="55"/>
      <c r="D15" s="21">
        <v>213.8</v>
      </c>
      <c r="E15" s="26">
        <v>949</v>
      </c>
      <c r="F15" s="35">
        <v>213.53</v>
      </c>
      <c r="G15" s="35">
        <v>921.05200000000002</v>
      </c>
      <c r="H15" s="35">
        <v>561</v>
      </c>
      <c r="I15" s="35">
        <v>400</v>
      </c>
      <c r="J15" s="35">
        <v>60</v>
      </c>
      <c r="K15" s="35">
        <v>40</v>
      </c>
      <c r="L15" s="35">
        <v>0</v>
      </c>
      <c r="M15" s="23">
        <f t="shared" si="0"/>
        <v>500</v>
      </c>
      <c r="N15" s="2"/>
    </row>
    <row r="16" spans="1:14" ht="19.5" customHeight="1" x14ac:dyDescent="0.3">
      <c r="A16" s="8">
        <v>44846</v>
      </c>
      <c r="B16" s="55"/>
      <c r="C16" s="55"/>
      <c r="D16" s="21">
        <v>213.8</v>
      </c>
      <c r="E16" s="26">
        <v>949</v>
      </c>
      <c r="F16" s="36">
        <v>213.43</v>
      </c>
      <c r="G16" s="35">
        <v>910.42</v>
      </c>
      <c r="H16" s="35">
        <v>277</v>
      </c>
      <c r="I16" s="35">
        <v>300</v>
      </c>
      <c r="J16" s="35">
        <v>60</v>
      </c>
      <c r="K16" s="35">
        <v>40</v>
      </c>
      <c r="L16" s="35">
        <v>0</v>
      </c>
      <c r="M16" s="23">
        <f t="shared" si="0"/>
        <v>400</v>
      </c>
      <c r="N16" s="2"/>
    </row>
    <row r="17" spans="1:15" ht="19.5" customHeight="1" x14ac:dyDescent="0.3">
      <c r="A17" s="8">
        <v>44847</v>
      </c>
      <c r="B17" s="55"/>
      <c r="C17" s="55"/>
      <c r="D17" s="21">
        <v>213.8</v>
      </c>
      <c r="E17" s="26">
        <v>949</v>
      </c>
      <c r="F17" s="35">
        <v>213.35</v>
      </c>
      <c r="G17" s="35">
        <v>902.298</v>
      </c>
      <c r="H17" s="35">
        <v>383</v>
      </c>
      <c r="I17" s="35">
        <v>400</v>
      </c>
      <c r="J17" s="35">
        <v>60</v>
      </c>
      <c r="K17" s="35">
        <v>40</v>
      </c>
      <c r="L17" s="35">
        <v>0</v>
      </c>
      <c r="M17" s="23">
        <f t="shared" si="0"/>
        <v>500</v>
      </c>
      <c r="N17" s="2"/>
    </row>
    <row r="18" spans="1:15" ht="19.5" customHeight="1" x14ac:dyDescent="0.3">
      <c r="A18" s="8">
        <v>44848</v>
      </c>
      <c r="B18" s="55"/>
      <c r="C18" s="55"/>
      <c r="D18" s="21">
        <v>213.8</v>
      </c>
      <c r="E18" s="26">
        <v>949</v>
      </c>
      <c r="F18" s="35">
        <v>213.57</v>
      </c>
      <c r="G18" s="35">
        <v>925.25300000000004</v>
      </c>
      <c r="H18" s="35">
        <v>666</v>
      </c>
      <c r="I18" s="35">
        <v>300</v>
      </c>
      <c r="J18" s="35">
        <v>60</v>
      </c>
      <c r="K18" s="35">
        <v>40</v>
      </c>
      <c r="L18" s="35">
        <v>0</v>
      </c>
      <c r="M18" s="23">
        <f t="shared" si="0"/>
        <v>400</v>
      </c>
      <c r="N18" s="2"/>
    </row>
    <row r="19" spans="1:15" ht="19.5" customHeight="1" x14ac:dyDescent="0.3">
      <c r="A19" s="8">
        <v>44849</v>
      </c>
      <c r="B19" s="55"/>
      <c r="C19" s="55"/>
      <c r="D19" s="21">
        <v>213.8</v>
      </c>
      <c r="E19" s="26">
        <v>949</v>
      </c>
      <c r="F19" s="35">
        <v>213.35</v>
      </c>
      <c r="G19" s="35">
        <v>902.298</v>
      </c>
      <c r="H19" s="35">
        <v>435</v>
      </c>
      <c r="I19" s="35">
        <v>600</v>
      </c>
      <c r="J19" s="35">
        <v>60</v>
      </c>
      <c r="K19" s="35">
        <v>40</v>
      </c>
      <c r="L19" s="35">
        <v>0</v>
      </c>
      <c r="M19" s="23">
        <f t="shared" si="0"/>
        <v>700</v>
      </c>
      <c r="N19" s="2"/>
    </row>
    <row r="20" spans="1:15" ht="19.5" customHeight="1" x14ac:dyDescent="0.3">
      <c r="A20" s="8">
        <v>44850</v>
      </c>
      <c r="B20" s="55"/>
      <c r="C20" s="55"/>
      <c r="D20" s="21">
        <v>213.8</v>
      </c>
      <c r="E20" s="26">
        <v>949</v>
      </c>
      <c r="F20" s="35">
        <v>213.69</v>
      </c>
      <c r="G20" s="35">
        <v>937.61300000000006</v>
      </c>
      <c r="H20" s="35">
        <v>529</v>
      </c>
      <c r="I20" s="35">
        <v>0</v>
      </c>
      <c r="J20" s="35">
        <v>80</v>
      </c>
      <c r="K20" s="35">
        <v>40</v>
      </c>
      <c r="L20" s="35">
        <v>0</v>
      </c>
      <c r="M20" s="23">
        <f t="shared" si="0"/>
        <v>120</v>
      </c>
      <c r="N20" s="2"/>
    </row>
    <row r="21" spans="1:15" ht="19.5" customHeight="1" x14ac:dyDescent="0.3">
      <c r="A21" s="8">
        <v>44851</v>
      </c>
      <c r="B21" s="55"/>
      <c r="C21" s="55"/>
      <c r="D21" s="21">
        <v>213.8</v>
      </c>
      <c r="E21" s="26">
        <v>949</v>
      </c>
      <c r="F21" s="36">
        <v>213.3</v>
      </c>
      <c r="G21" s="35">
        <v>907.24199999999996</v>
      </c>
      <c r="H21" s="35">
        <v>569</v>
      </c>
      <c r="I21" s="35">
        <v>800</v>
      </c>
      <c r="J21" s="35">
        <v>80</v>
      </c>
      <c r="K21" s="35">
        <v>40</v>
      </c>
      <c r="L21" s="35">
        <v>0</v>
      </c>
      <c r="M21" s="23">
        <f t="shared" si="0"/>
        <v>920</v>
      </c>
      <c r="N21" s="2"/>
    </row>
    <row r="22" spans="1:15" ht="19.5" customHeight="1" x14ac:dyDescent="0.3">
      <c r="A22" s="8">
        <v>44852</v>
      </c>
      <c r="B22" s="55"/>
      <c r="C22" s="55"/>
      <c r="D22" s="21">
        <v>213.8</v>
      </c>
      <c r="E22" s="26">
        <v>949</v>
      </c>
      <c r="F22" s="35">
        <v>213.5</v>
      </c>
      <c r="G22" s="35">
        <v>917.83600000000001</v>
      </c>
      <c r="H22" s="35">
        <v>242</v>
      </c>
      <c r="I22" s="35">
        <v>0</v>
      </c>
      <c r="J22" s="35">
        <v>80</v>
      </c>
      <c r="K22" s="35">
        <v>40</v>
      </c>
      <c r="L22" s="35">
        <v>0</v>
      </c>
      <c r="M22" s="23">
        <f t="shared" si="0"/>
        <v>120</v>
      </c>
      <c r="N22" s="2"/>
    </row>
    <row r="23" spans="1:15" ht="19.5" customHeight="1" x14ac:dyDescent="0.3">
      <c r="A23" s="8">
        <v>44853</v>
      </c>
      <c r="B23" s="55"/>
      <c r="C23" s="55"/>
      <c r="D23" s="21">
        <v>213.8</v>
      </c>
      <c r="E23" s="26">
        <v>949</v>
      </c>
      <c r="F23" s="35">
        <v>213.65</v>
      </c>
      <c r="G23" s="35">
        <v>933.375</v>
      </c>
      <c r="H23" s="35">
        <v>299</v>
      </c>
      <c r="I23" s="35">
        <v>0</v>
      </c>
      <c r="J23" s="35">
        <v>80</v>
      </c>
      <c r="K23" s="35">
        <v>40</v>
      </c>
      <c r="L23" s="35">
        <v>0</v>
      </c>
      <c r="M23" s="23">
        <f t="shared" si="0"/>
        <v>120</v>
      </c>
      <c r="N23" s="2"/>
    </row>
    <row r="24" spans="1:15" ht="19.5" customHeight="1" x14ac:dyDescent="0.3">
      <c r="A24" s="8">
        <v>44854</v>
      </c>
      <c r="B24" s="55"/>
      <c r="C24" s="55"/>
      <c r="D24" s="21">
        <v>213.8</v>
      </c>
      <c r="E24" s="26">
        <v>949</v>
      </c>
      <c r="F24" s="35">
        <v>213.45</v>
      </c>
      <c r="G24" s="35">
        <v>912.53899999999999</v>
      </c>
      <c r="H24" s="35">
        <v>278</v>
      </c>
      <c r="I24" s="35">
        <v>400</v>
      </c>
      <c r="J24" s="35">
        <v>80</v>
      </c>
      <c r="K24" s="35">
        <v>40</v>
      </c>
      <c r="L24" s="35">
        <v>0</v>
      </c>
      <c r="M24" s="23">
        <f t="shared" si="0"/>
        <v>520</v>
      </c>
      <c r="N24" s="2"/>
    </row>
    <row r="25" spans="1:15" ht="19.5" customHeight="1" x14ac:dyDescent="0.3">
      <c r="A25" s="8">
        <v>44855</v>
      </c>
      <c r="B25" s="55"/>
      <c r="C25" s="55"/>
      <c r="D25" s="21">
        <v>213.8</v>
      </c>
      <c r="E25" s="26">
        <v>949</v>
      </c>
      <c r="F25" s="35">
        <v>213.6</v>
      </c>
      <c r="G25" s="35">
        <v>928.43100000000004</v>
      </c>
      <c r="H25" s="35">
        <v>303</v>
      </c>
      <c r="I25" s="35">
        <v>0</v>
      </c>
      <c r="J25" s="35">
        <v>80</v>
      </c>
      <c r="K25" s="35">
        <v>40</v>
      </c>
      <c r="L25" s="35">
        <v>0</v>
      </c>
      <c r="M25" s="23">
        <f t="shared" si="0"/>
        <v>120</v>
      </c>
      <c r="N25" s="2"/>
    </row>
    <row r="26" spans="1:15" ht="19.5" customHeight="1" x14ac:dyDescent="0.3">
      <c r="A26" s="8">
        <v>44856</v>
      </c>
      <c r="B26" s="55"/>
      <c r="C26" s="55"/>
      <c r="D26" s="21">
        <v>213.8</v>
      </c>
      <c r="E26" s="26">
        <v>949</v>
      </c>
      <c r="F26" s="35">
        <v>213.3</v>
      </c>
      <c r="G26" s="35">
        <v>896.64700000000005</v>
      </c>
      <c r="H26" s="35">
        <v>352</v>
      </c>
      <c r="I26" s="35">
        <v>600</v>
      </c>
      <c r="J26" s="35">
        <v>80</v>
      </c>
      <c r="K26" s="35">
        <v>40</v>
      </c>
      <c r="L26" s="35">
        <v>0</v>
      </c>
      <c r="M26" s="23">
        <f t="shared" si="0"/>
        <v>720</v>
      </c>
      <c r="N26" s="2"/>
      <c r="O26" s="18"/>
    </row>
    <row r="27" spans="1:15" ht="19.5" customHeight="1" x14ac:dyDescent="0.3">
      <c r="A27" s="8">
        <v>44857</v>
      </c>
      <c r="B27" s="55"/>
      <c r="C27" s="55"/>
      <c r="D27" s="21">
        <v>213.8</v>
      </c>
      <c r="E27" s="26">
        <v>949</v>
      </c>
      <c r="F27" s="35">
        <v>213.4</v>
      </c>
      <c r="G27" s="35">
        <v>907.24199999999996</v>
      </c>
      <c r="H27" s="35">
        <v>452</v>
      </c>
      <c r="I27" s="35">
        <v>200</v>
      </c>
      <c r="J27" s="35">
        <v>80</v>
      </c>
      <c r="K27" s="35">
        <v>50</v>
      </c>
      <c r="L27" s="35">
        <v>0</v>
      </c>
      <c r="M27" s="23">
        <f t="shared" si="0"/>
        <v>330</v>
      </c>
      <c r="N27" s="2"/>
    </row>
    <row r="28" spans="1:15" ht="19.5" customHeight="1" x14ac:dyDescent="0.3">
      <c r="A28" s="8">
        <v>44858</v>
      </c>
      <c r="B28" s="55"/>
      <c r="C28" s="55"/>
      <c r="D28" s="21">
        <v>213.8</v>
      </c>
      <c r="E28" s="26">
        <v>949</v>
      </c>
      <c r="F28" s="35">
        <v>213.45</v>
      </c>
      <c r="G28" s="35">
        <v>912.53899999999999</v>
      </c>
      <c r="H28" s="35">
        <v>391</v>
      </c>
      <c r="I28" s="35">
        <v>200</v>
      </c>
      <c r="J28" s="35">
        <v>80</v>
      </c>
      <c r="K28" s="35">
        <v>50</v>
      </c>
      <c r="L28" s="35">
        <v>0</v>
      </c>
      <c r="M28" s="23">
        <f t="shared" si="0"/>
        <v>330</v>
      </c>
      <c r="N28" s="2"/>
    </row>
    <row r="29" spans="1:15" ht="19.5" customHeight="1" x14ac:dyDescent="0.3">
      <c r="A29" s="8">
        <v>44859</v>
      </c>
      <c r="B29" s="55"/>
      <c r="C29" s="55"/>
      <c r="D29" s="21">
        <v>213.8</v>
      </c>
      <c r="E29" s="26">
        <v>949</v>
      </c>
      <c r="F29" s="35">
        <v>213.45</v>
      </c>
      <c r="G29" s="35">
        <v>912.53899999999999</v>
      </c>
      <c r="H29" s="35">
        <v>330</v>
      </c>
      <c r="I29" s="35">
        <v>200</v>
      </c>
      <c r="J29" s="35">
        <v>80</v>
      </c>
      <c r="K29" s="35">
        <v>50</v>
      </c>
      <c r="L29" s="35">
        <v>0</v>
      </c>
      <c r="M29" s="23">
        <f t="shared" si="0"/>
        <v>330</v>
      </c>
      <c r="N29" s="2"/>
    </row>
    <row r="30" spans="1:15" ht="19.5" customHeight="1" x14ac:dyDescent="0.3">
      <c r="A30" s="8">
        <v>44860</v>
      </c>
      <c r="B30" s="55"/>
      <c r="C30" s="55"/>
      <c r="D30" s="21">
        <v>213.8</v>
      </c>
      <c r="E30" s="26">
        <v>949</v>
      </c>
      <c r="F30" s="35">
        <v>213.45</v>
      </c>
      <c r="G30" s="35">
        <v>912.53899999999999</v>
      </c>
      <c r="H30" s="35">
        <v>230</v>
      </c>
      <c r="I30" s="35">
        <v>100</v>
      </c>
      <c r="J30" s="35">
        <v>80</v>
      </c>
      <c r="K30" s="35">
        <v>50</v>
      </c>
      <c r="L30" s="35">
        <v>0</v>
      </c>
      <c r="M30" s="23">
        <f t="shared" si="0"/>
        <v>230</v>
      </c>
      <c r="N30" s="2"/>
    </row>
    <row r="31" spans="1:15" ht="21" customHeight="1" x14ac:dyDescent="0.3">
      <c r="A31" s="8">
        <v>44861</v>
      </c>
      <c r="B31" s="55"/>
      <c r="C31" s="55"/>
      <c r="D31" s="21">
        <v>213.8</v>
      </c>
      <c r="E31" s="26">
        <v>949</v>
      </c>
      <c r="F31" s="36">
        <v>213.48</v>
      </c>
      <c r="G31" s="35">
        <v>915.71799999999996</v>
      </c>
      <c r="H31" s="35">
        <v>266</v>
      </c>
      <c r="I31" s="35">
        <v>100</v>
      </c>
      <c r="J31" s="35">
        <v>80</v>
      </c>
      <c r="K31" s="35">
        <v>50</v>
      </c>
      <c r="L31" s="35">
        <v>0</v>
      </c>
      <c r="M31" s="23">
        <f t="shared" si="0"/>
        <v>230</v>
      </c>
      <c r="N31" s="2"/>
    </row>
    <row r="32" spans="1:15" ht="21" customHeight="1" x14ac:dyDescent="0.3">
      <c r="A32" s="8">
        <v>44862</v>
      </c>
      <c r="B32" s="55"/>
      <c r="C32" s="55"/>
      <c r="D32" s="21">
        <v>213.8</v>
      </c>
      <c r="E32" s="26">
        <v>949</v>
      </c>
      <c r="F32" s="35">
        <v>213.55</v>
      </c>
      <c r="G32" s="35">
        <v>922.78</v>
      </c>
      <c r="H32" s="35">
        <v>311</v>
      </c>
      <c r="I32" s="35">
        <v>100</v>
      </c>
      <c r="J32" s="35">
        <v>80</v>
      </c>
      <c r="K32" s="35">
        <v>50</v>
      </c>
      <c r="L32" s="35">
        <v>0</v>
      </c>
      <c r="M32" s="23">
        <f t="shared" si="0"/>
        <v>230</v>
      </c>
      <c r="N32" s="2"/>
    </row>
    <row r="33" spans="1:15" ht="21" customHeight="1" x14ac:dyDescent="0.3">
      <c r="A33" s="8">
        <v>44863</v>
      </c>
      <c r="B33" s="55"/>
      <c r="C33" s="55"/>
      <c r="D33" s="21">
        <v>213.8</v>
      </c>
      <c r="E33" s="26">
        <v>949</v>
      </c>
      <c r="F33" s="35">
        <v>213.6</v>
      </c>
      <c r="G33" s="35">
        <v>928.07799999999997</v>
      </c>
      <c r="H33" s="35">
        <v>291</v>
      </c>
      <c r="I33" s="35">
        <v>100</v>
      </c>
      <c r="J33" s="35">
        <v>80</v>
      </c>
      <c r="K33" s="35">
        <v>50</v>
      </c>
      <c r="L33" s="35">
        <v>0</v>
      </c>
      <c r="M33" s="23">
        <f t="shared" si="0"/>
        <v>230</v>
      </c>
      <c r="N33" s="2"/>
    </row>
    <row r="34" spans="1:15" ht="21" customHeight="1" x14ac:dyDescent="0.3">
      <c r="A34" s="8">
        <v>44864</v>
      </c>
      <c r="B34" s="55"/>
      <c r="C34" s="55"/>
      <c r="D34" s="21">
        <v>213.8</v>
      </c>
      <c r="E34" s="26">
        <v>949</v>
      </c>
      <c r="F34" s="35">
        <v>213.6</v>
      </c>
      <c r="G34" s="35">
        <v>928.07799999999997</v>
      </c>
      <c r="H34" s="35">
        <v>230</v>
      </c>
      <c r="I34" s="35">
        <v>100</v>
      </c>
      <c r="J34" s="35">
        <v>80</v>
      </c>
      <c r="K34" s="35">
        <v>50</v>
      </c>
      <c r="L34" s="35">
        <v>0</v>
      </c>
      <c r="M34" s="23">
        <f t="shared" si="0"/>
        <v>230</v>
      </c>
      <c r="N34" s="2"/>
    </row>
    <row r="35" spans="1:15" ht="21" customHeight="1" x14ac:dyDescent="0.3">
      <c r="A35" s="8">
        <v>44865</v>
      </c>
      <c r="B35" s="56"/>
      <c r="C35" s="56"/>
      <c r="D35" s="22">
        <v>213.8</v>
      </c>
      <c r="E35" s="26">
        <v>949</v>
      </c>
      <c r="F35" s="35">
        <v>213.6</v>
      </c>
      <c r="G35" s="35">
        <v>928.07799999999997</v>
      </c>
      <c r="H35" s="35">
        <v>230</v>
      </c>
      <c r="I35" s="35">
        <v>100</v>
      </c>
      <c r="J35" s="35">
        <v>80</v>
      </c>
      <c r="K35" s="35">
        <v>50</v>
      </c>
      <c r="L35" s="35">
        <v>0</v>
      </c>
      <c r="M35" s="23">
        <f t="shared" si="0"/>
        <v>230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11045</v>
      </c>
      <c r="I36" s="16">
        <f t="shared" ref="I36:M36" si="1">SUM(I5:I35)</f>
        <v>7550</v>
      </c>
      <c r="J36" s="16">
        <f t="shared" si="1"/>
        <v>2180</v>
      </c>
      <c r="K36" s="16">
        <f t="shared" si="1"/>
        <v>1450</v>
      </c>
      <c r="L36" s="16">
        <f t="shared" si="1"/>
        <v>0</v>
      </c>
      <c r="M36" s="16">
        <f t="shared" si="1"/>
        <v>11180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0.95429410748228793</v>
      </c>
      <c r="I37" s="5"/>
      <c r="J37" s="5">
        <f>J36/11574</f>
        <v>0.18835320546051496</v>
      </c>
      <c r="K37" s="5">
        <f>K36/11574</f>
        <v>0.1252808017971315</v>
      </c>
      <c r="L37" s="6"/>
      <c r="M37" s="6"/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O101"/>
  <sheetViews>
    <sheetView view="pageBreakPreview" topLeftCell="A19" zoomScale="60" workbookViewId="0">
      <selection activeCell="N51" sqref="N51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6.44140625" customWidth="1"/>
    <col min="13" max="13" width="9.6640625" customWidth="1"/>
    <col min="14" max="14" width="8.88671875" customWidth="1"/>
  </cols>
  <sheetData>
    <row r="1" spans="1:14" ht="14.25" customHeight="1" x14ac:dyDescent="0.3">
      <c r="A1" s="38" t="s">
        <v>31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44866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213.6</v>
      </c>
      <c r="G5" s="35">
        <v>928.07799999999997</v>
      </c>
      <c r="H5" s="35">
        <v>230</v>
      </c>
      <c r="I5" s="35">
        <v>100</v>
      </c>
      <c r="J5" s="35">
        <v>80</v>
      </c>
      <c r="K5" s="35">
        <v>50</v>
      </c>
      <c r="L5" s="36">
        <v>0</v>
      </c>
      <c r="M5" s="23">
        <f>L5+K5+J5+I5</f>
        <v>230</v>
      </c>
      <c r="N5" s="2"/>
    </row>
    <row r="6" spans="1:14" ht="19.5" customHeight="1" x14ac:dyDescent="0.3">
      <c r="A6" s="8">
        <v>44867</v>
      </c>
      <c r="B6" s="55"/>
      <c r="C6" s="55"/>
      <c r="D6" s="21">
        <v>213.8</v>
      </c>
      <c r="E6" s="26">
        <v>949</v>
      </c>
      <c r="F6" s="35">
        <v>213.57</v>
      </c>
      <c r="G6" s="35">
        <v>925.25</v>
      </c>
      <c r="H6" s="35">
        <v>197</v>
      </c>
      <c r="I6" s="35">
        <v>100</v>
      </c>
      <c r="J6" s="35">
        <v>80</v>
      </c>
      <c r="K6" s="35">
        <v>50</v>
      </c>
      <c r="L6" s="36">
        <v>0</v>
      </c>
      <c r="M6" s="23">
        <f t="shared" ref="M6:M34" si="0">L6+K6+J6+I6</f>
        <v>230</v>
      </c>
      <c r="N6" s="2"/>
    </row>
    <row r="7" spans="1:14" ht="19.5" customHeight="1" x14ac:dyDescent="0.3">
      <c r="A7" s="8">
        <v>44868</v>
      </c>
      <c r="B7" s="55"/>
      <c r="C7" s="55"/>
      <c r="D7" s="21">
        <v>213.8</v>
      </c>
      <c r="E7" s="26">
        <v>949</v>
      </c>
      <c r="F7" s="35">
        <v>213.5</v>
      </c>
      <c r="G7" s="35">
        <v>917.83699999999999</v>
      </c>
      <c r="H7" s="35">
        <v>144</v>
      </c>
      <c r="I7" s="35">
        <v>100</v>
      </c>
      <c r="J7" s="35">
        <v>80</v>
      </c>
      <c r="K7" s="35">
        <v>50</v>
      </c>
      <c r="L7" s="36">
        <v>0</v>
      </c>
      <c r="M7" s="23">
        <f t="shared" si="0"/>
        <v>230</v>
      </c>
      <c r="N7" s="2"/>
    </row>
    <row r="8" spans="1:14" ht="19.5" customHeight="1" x14ac:dyDescent="0.3">
      <c r="A8" s="8">
        <v>44869</v>
      </c>
      <c r="B8" s="55"/>
      <c r="C8" s="55"/>
      <c r="D8" s="21">
        <v>213.8</v>
      </c>
      <c r="E8" s="26">
        <v>949</v>
      </c>
      <c r="F8" s="35">
        <v>213.45</v>
      </c>
      <c r="G8" s="35">
        <v>912.53700000000003</v>
      </c>
      <c r="H8" s="35">
        <v>168</v>
      </c>
      <c r="I8" s="35">
        <v>100</v>
      </c>
      <c r="J8" s="35">
        <v>80</v>
      </c>
      <c r="K8" s="35">
        <v>50</v>
      </c>
      <c r="L8" s="36">
        <v>0</v>
      </c>
      <c r="M8" s="23">
        <f t="shared" si="0"/>
        <v>230</v>
      </c>
      <c r="N8" s="2"/>
    </row>
    <row r="9" spans="1:14" ht="19.5" customHeight="1" x14ac:dyDescent="0.3">
      <c r="A9" s="8">
        <v>44870</v>
      </c>
      <c r="B9" s="55"/>
      <c r="C9" s="55"/>
      <c r="D9" s="21">
        <v>213.8</v>
      </c>
      <c r="E9" s="26">
        <v>949</v>
      </c>
      <c r="F9" s="35">
        <v>213.4</v>
      </c>
      <c r="G9" s="35">
        <v>907.24199999999996</v>
      </c>
      <c r="H9" s="35">
        <v>168</v>
      </c>
      <c r="I9" s="35">
        <v>100</v>
      </c>
      <c r="J9" s="35">
        <v>80</v>
      </c>
      <c r="K9" s="35">
        <v>50</v>
      </c>
      <c r="L9" s="36">
        <v>0</v>
      </c>
      <c r="M9" s="23">
        <f t="shared" si="0"/>
        <v>230</v>
      </c>
      <c r="N9" s="2"/>
    </row>
    <row r="10" spans="1:14" ht="19.5" customHeight="1" x14ac:dyDescent="0.3">
      <c r="A10" s="8">
        <v>44871</v>
      </c>
      <c r="B10" s="55"/>
      <c r="C10" s="55"/>
      <c r="D10" s="21">
        <v>213.8</v>
      </c>
      <c r="E10" s="26">
        <v>949</v>
      </c>
      <c r="F10" s="35">
        <v>213.37</v>
      </c>
      <c r="G10" s="35">
        <v>904.06399999999996</v>
      </c>
      <c r="H10" s="35">
        <v>193</v>
      </c>
      <c r="I10" s="35">
        <v>100</v>
      </c>
      <c r="J10" s="35">
        <v>80</v>
      </c>
      <c r="K10" s="35">
        <v>50</v>
      </c>
      <c r="L10" s="36">
        <v>0</v>
      </c>
      <c r="M10" s="23">
        <f t="shared" si="0"/>
        <v>230</v>
      </c>
      <c r="N10" s="2"/>
    </row>
    <row r="11" spans="1:14" ht="19.5" customHeight="1" x14ac:dyDescent="0.3">
      <c r="A11" s="8">
        <v>44872</v>
      </c>
      <c r="B11" s="55"/>
      <c r="C11" s="55"/>
      <c r="D11" s="21">
        <v>213.8</v>
      </c>
      <c r="E11" s="26">
        <v>949</v>
      </c>
      <c r="F11" s="36">
        <v>213.32</v>
      </c>
      <c r="G11" s="37">
        <v>899.11900000000003</v>
      </c>
      <c r="H11" s="35">
        <v>172</v>
      </c>
      <c r="I11" s="35">
        <v>100</v>
      </c>
      <c r="J11" s="35">
        <v>80</v>
      </c>
      <c r="K11" s="35">
        <v>50</v>
      </c>
      <c r="L11" s="36">
        <v>0</v>
      </c>
      <c r="M11" s="23">
        <f t="shared" si="0"/>
        <v>230</v>
      </c>
      <c r="N11" s="2"/>
    </row>
    <row r="12" spans="1:14" ht="19.5" customHeight="1" x14ac:dyDescent="0.3">
      <c r="A12" s="8">
        <v>44873</v>
      </c>
      <c r="B12" s="55"/>
      <c r="C12" s="55"/>
      <c r="D12" s="21">
        <v>213.8</v>
      </c>
      <c r="E12" s="26">
        <v>949</v>
      </c>
      <c r="F12" s="35">
        <v>213.27</v>
      </c>
      <c r="G12" s="35">
        <v>893.46900000000005</v>
      </c>
      <c r="H12" s="35">
        <v>64</v>
      </c>
      <c r="I12" s="36">
        <v>0</v>
      </c>
      <c r="J12" s="35">
        <v>80</v>
      </c>
      <c r="K12" s="35">
        <v>50</v>
      </c>
      <c r="L12" s="36">
        <v>0</v>
      </c>
      <c r="M12" s="23">
        <f t="shared" si="0"/>
        <v>130</v>
      </c>
      <c r="N12" s="2"/>
    </row>
    <row r="13" spans="1:14" ht="19.5" customHeight="1" x14ac:dyDescent="0.3">
      <c r="A13" s="8">
        <v>44874</v>
      </c>
      <c r="B13" s="55"/>
      <c r="C13" s="55"/>
      <c r="D13" s="21">
        <v>213.8</v>
      </c>
      <c r="E13" s="26">
        <v>949</v>
      </c>
      <c r="F13" s="35">
        <v>213.25</v>
      </c>
      <c r="G13" s="35">
        <v>891.70299999999997</v>
      </c>
      <c r="H13" s="35">
        <v>109</v>
      </c>
      <c r="I13" s="36">
        <v>0</v>
      </c>
      <c r="J13" s="35">
        <v>80</v>
      </c>
      <c r="K13" s="35">
        <v>50</v>
      </c>
      <c r="L13" s="36">
        <v>0</v>
      </c>
      <c r="M13" s="23">
        <f t="shared" si="0"/>
        <v>130</v>
      </c>
      <c r="N13" s="2"/>
    </row>
    <row r="14" spans="1:14" ht="19.5" customHeight="1" x14ac:dyDescent="0.3">
      <c r="A14" s="8">
        <v>44875</v>
      </c>
      <c r="B14" s="55"/>
      <c r="C14" s="55"/>
      <c r="D14" s="21">
        <v>213.8</v>
      </c>
      <c r="E14" s="26">
        <v>949</v>
      </c>
      <c r="F14" s="35">
        <v>213.22</v>
      </c>
      <c r="G14" s="35">
        <v>888.52499999999998</v>
      </c>
      <c r="H14" s="35">
        <v>93</v>
      </c>
      <c r="I14" s="36">
        <v>0</v>
      </c>
      <c r="J14" s="35">
        <v>80</v>
      </c>
      <c r="K14" s="35">
        <v>50</v>
      </c>
      <c r="L14" s="36">
        <v>0</v>
      </c>
      <c r="M14" s="23">
        <f t="shared" si="0"/>
        <v>130</v>
      </c>
      <c r="N14" s="2"/>
    </row>
    <row r="15" spans="1:14" ht="19.5" customHeight="1" x14ac:dyDescent="0.3">
      <c r="A15" s="8">
        <v>44876</v>
      </c>
      <c r="B15" s="55"/>
      <c r="C15" s="55"/>
      <c r="D15" s="21">
        <v>213.8</v>
      </c>
      <c r="E15" s="26">
        <v>949</v>
      </c>
      <c r="F15" s="35">
        <v>213.2</v>
      </c>
      <c r="G15" s="35">
        <v>886.40599999999995</v>
      </c>
      <c r="H15" s="35">
        <v>105</v>
      </c>
      <c r="I15" s="36">
        <v>0</v>
      </c>
      <c r="J15" s="35">
        <v>80</v>
      </c>
      <c r="K15" s="35">
        <v>50</v>
      </c>
      <c r="L15" s="36">
        <v>0</v>
      </c>
      <c r="M15" s="23">
        <f t="shared" si="0"/>
        <v>130</v>
      </c>
      <c r="N15" s="2"/>
    </row>
    <row r="16" spans="1:14" ht="19.5" customHeight="1" x14ac:dyDescent="0.3">
      <c r="A16" s="8">
        <v>44877</v>
      </c>
      <c r="B16" s="55"/>
      <c r="C16" s="55"/>
      <c r="D16" s="21">
        <v>213.8</v>
      </c>
      <c r="E16" s="26">
        <v>949</v>
      </c>
      <c r="F16" s="36">
        <v>213.17</v>
      </c>
      <c r="G16" s="35">
        <v>883.22799999999995</v>
      </c>
      <c r="H16" s="35">
        <v>93</v>
      </c>
      <c r="I16" s="36">
        <v>0</v>
      </c>
      <c r="J16" s="35">
        <v>80</v>
      </c>
      <c r="K16" s="35">
        <v>50</v>
      </c>
      <c r="L16" s="36">
        <v>0</v>
      </c>
      <c r="M16" s="23">
        <f t="shared" si="0"/>
        <v>130</v>
      </c>
      <c r="N16" s="2"/>
    </row>
    <row r="17" spans="1:15" ht="19.5" customHeight="1" x14ac:dyDescent="0.3">
      <c r="A17" s="8">
        <v>44878</v>
      </c>
      <c r="B17" s="55"/>
      <c r="C17" s="55"/>
      <c r="D17" s="21">
        <v>213.8</v>
      </c>
      <c r="E17" s="26">
        <v>949</v>
      </c>
      <c r="F17" s="35">
        <v>213.15</v>
      </c>
      <c r="G17" s="35">
        <v>881.10900000000004</v>
      </c>
      <c r="H17" s="35">
        <v>85</v>
      </c>
      <c r="I17" s="36">
        <v>0</v>
      </c>
      <c r="J17" s="35">
        <v>60</v>
      </c>
      <c r="K17" s="35">
        <v>50</v>
      </c>
      <c r="L17" s="36">
        <v>0</v>
      </c>
      <c r="M17" s="23">
        <f t="shared" si="0"/>
        <v>110</v>
      </c>
      <c r="N17" s="2"/>
    </row>
    <row r="18" spans="1:15" ht="19.5" customHeight="1" x14ac:dyDescent="0.3">
      <c r="A18" s="8">
        <v>44879</v>
      </c>
      <c r="B18" s="55"/>
      <c r="C18" s="55"/>
      <c r="D18" s="21">
        <v>213.8</v>
      </c>
      <c r="E18" s="26">
        <v>949</v>
      </c>
      <c r="F18" s="35">
        <v>213.12</v>
      </c>
      <c r="G18" s="35">
        <v>877.93</v>
      </c>
      <c r="H18" s="35">
        <v>73</v>
      </c>
      <c r="I18" s="36">
        <v>0</v>
      </c>
      <c r="J18" s="35">
        <v>60</v>
      </c>
      <c r="K18" s="35">
        <v>50</v>
      </c>
      <c r="L18" s="36">
        <v>0</v>
      </c>
      <c r="M18" s="23">
        <f t="shared" si="0"/>
        <v>110</v>
      </c>
      <c r="N18" s="2"/>
    </row>
    <row r="19" spans="1:15" ht="19.5" customHeight="1" x14ac:dyDescent="0.3">
      <c r="A19" s="8">
        <v>44880</v>
      </c>
      <c r="B19" s="55"/>
      <c r="C19" s="55"/>
      <c r="D19" s="21">
        <v>213.8</v>
      </c>
      <c r="E19" s="26">
        <v>949</v>
      </c>
      <c r="F19" s="35">
        <v>213.1</v>
      </c>
      <c r="G19" s="35">
        <v>876.16499999999996</v>
      </c>
      <c r="H19" s="35">
        <v>85</v>
      </c>
      <c r="I19" s="36">
        <v>0</v>
      </c>
      <c r="J19" s="35">
        <v>60</v>
      </c>
      <c r="K19" s="35">
        <v>50</v>
      </c>
      <c r="L19" s="36">
        <v>0</v>
      </c>
      <c r="M19" s="23">
        <f t="shared" si="0"/>
        <v>110</v>
      </c>
      <c r="N19" s="2"/>
    </row>
    <row r="20" spans="1:15" ht="19.5" customHeight="1" x14ac:dyDescent="0.3">
      <c r="A20" s="8">
        <v>44881</v>
      </c>
      <c r="B20" s="55"/>
      <c r="C20" s="55"/>
      <c r="D20" s="21">
        <v>213.8</v>
      </c>
      <c r="E20" s="26">
        <v>949</v>
      </c>
      <c r="F20" s="35">
        <v>213.08</v>
      </c>
      <c r="G20" s="35">
        <v>874.04600000000005</v>
      </c>
      <c r="H20" s="35">
        <v>75</v>
      </c>
      <c r="I20" s="36">
        <v>0</v>
      </c>
      <c r="J20" s="35">
        <v>50</v>
      </c>
      <c r="K20" s="35">
        <v>50</v>
      </c>
      <c r="L20" s="36">
        <v>0</v>
      </c>
      <c r="M20" s="23">
        <f t="shared" si="0"/>
        <v>100</v>
      </c>
      <c r="N20" s="2"/>
    </row>
    <row r="21" spans="1:15" ht="19.5" customHeight="1" x14ac:dyDescent="0.3">
      <c r="A21" s="8">
        <v>44882</v>
      </c>
      <c r="B21" s="55"/>
      <c r="C21" s="55"/>
      <c r="D21" s="21">
        <v>213.8</v>
      </c>
      <c r="E21" s="26">
        <v>949</v>
      </c>
      <c r="F21" s="36">
        <v>213.06</v>
      </c>
      <c r="G21" s="35">
        <v>871.92700000000002</v>
      </c>
      <c r="H21" s="35">
        <v>75</v>
      </c>
      <c r="I21" s="36">
        <v>0</v>
      </c>
      <c r="J21" s="35">
        <v>50</v>
      </c>
      <c r="K21" s="35">
        <v>50</v>
      </c>
      <c r="L21" s="36">
        <v>0</v>
      </c>
      <c r="M21" s="23">
        <f t="shared" si="0"/>
        <v>100</v>
      </c>
      <c r="N21" s="2"/>
    </row>
    <row r="22" spans="1:15" ht="19.5" customHeight="1" x14ac:dyDescent="0.3">
      <c r="A22" s="8">
        <v>44883</v>
      </c>
      <c r="B22" s="55"/>
      <c r="C22" s="55"/>
      <c r="D22" s="21">
        <v>213.8</v>
      </c>
      <c r="E22" s="26">
        <v>949</v>
      </c>
      <c r="F22" s="35">
        <v>213.04</v>
      </c>
      <c r="G22" s="35">
        <v>869.80799999999999</v>
      </c>
      <c r="H22" s="35">
        <v>75</v>
      </c>
      <c r="I22" s="36">
        <v>0</v>
      </c>
      <c r="J22" s="35">
        <v>50</v>
      </c>
      <c r="K22" s="35">
        <v>50</v>
      </c>
      <c r="L22" s="36">
        <v>0</v>
      </c>
      <c r="M22" s="23">
        <f t="shared" si="0"/>
        <v>100</v>
      </c>
      <c r="N22" s="2"/>
    </row>
    <row r="23" spans="1:15" ht="19.5" customHeight="1" x14ac:dyDescent="0.3">
      <c r="A23" s="8">
        <v>44884</v>
      </c>
      <c r="B23" s="55"/>
      <c r="C23" s="55"/>
      <c r="D23" s="21">
        <v>213.8</v>
      </c>
      <c r="E23" s="26">
        <v>949</v>
      </c>
      <c r="F23" s="35">
        <v>213.04</v>
      </c>
      <c r="G23" s="35">
        <v>869.80799999999999</v>
      </c>
      <c r="H23" s="35">
        <v>100</v>
      </c>
      <c r="I23" s="36">
        <v>0</v>
      </c>
      <c r="J23" s="35">
        <v>50</v>
      </c>
      <c r="K23" s="35">
        <v>50</v>
      </c>
      <c r="L23" s="36">
        <v>0</v>
      </c>
      <c r="M23" s="23">
        <f t="shared" si="0"/>
        <v>100</v>
      </c>
      <c r="N23" s="2"/>
    </row>
    <row r="24" spans="1:15" ht="19.5" customHeight="1" x14ac:dyDescent="0.3">
      <c r="A24" s="8">
        <v>44885</v>
      </c>
      <c r="B24" s="55"/>
      <c r="C24" s="55"/>
      <c r="D24" s="21">
        <v>213.8</v>
      </c>
      <c r="E24" s="26">
        <v>949</v>
      </c>
      <c r="F24" s="35">
        <v>213.04</v>
      </c>
      <c r="G24" s="35">
        <v>869.80799999999999</v>
      </c>
      <c r="H24" s="35">
        <v>90</v>
      </c>
      <c r="I24" s="36">
        <v>0</v>
      </c>
      <c r="J24" s="35">
        <v>50</v>
      </c>
      <c r="K24" s="35">
        <v>40</v>
      </c>
      <c r="L24" s="36">
        <v>0</v>
      </c>
      <c r="M24" s="23">
        <f t="shared" si="0"/>
        <v>90</v>
      </c>
      <c r="N24" s="2"/>
    </row>
    <row r="25" spans="1:15" ht="19.5" customHeight="1" x14ac:dyDescent="0.3">
      <c r="A25" s="8">
        <v>44886</v>
      </c>
      <c r="B25" s="55"/>
      <c r="C25" s="55"/>
      <c r="D25" s="21">
        <v>213.8</v>
      </c>
      <c r="E25" s="26">
        <v>949</v>
      </c>
      <c r="F25" s="35">
        <v>213.04</v>
      </c>
      <c r="G25" s="35">
        <v>869.80799999999999</v>
      </c>
      <c r="H25" s="35">
        <v>90</v>
      </c>
      <c r="I25" s="36">
        <v>0</v>
      </c>
      <c r="J25" s="35">
        <v>40</v>
      </c>
      <c r="K25" s="35">
        <v>50</v>
      </c>
      <c r="L25" s="36">
        <v>0</v>
      </c>
      <c r="M25" s="23">
        <f t="shared" si="0"/>
        <v>90</v>
      </c>
      <c r="N25" s="2"/>
    </row>
    <row r="26" spans="1:15" ht="19.5" customHeight="1" x14ac:dyDescent="0.3">
      <c r="A26" s="8">
        <v>44887</v>
      </c>
      <c r="B26" s="55"/>
      <c r="C26" s="55"/>
      <c r="D26" s="21">
        <v>213.8</v>
      </c>
      <c r="E26" s="26">
        <v>949</v>
      </c>
      <c r="F26" s="35">
        <v>213.04</v>
      </c>
      <c r="G26" s="35">
        <v>869.80799999999999</v>
      </c>
      <c r="H26" s="35">
        <v>90</v>
      </c>
      <c r="I26" s="36">
        <v>0</v>
      </c>
      <c r="J26" s="35">
        <v>40</v>
      </c>
      <c r="K26" s="35">
        <v>50</v>
      </c>
      <c r="L26" s="36">
        <v>0</v>
      </c>
      <c r="M26" s="23">
        <f t="shared" si="0"/>
        <v>90</v>
      </c>
      <c r="N26" s="2"/>
      <c r="O26" s="18"/>
    </row>
    <row r="27" spans="1:15" ht="19.5" customHeight="1" x14ac:dyDescent="0.3">
      <c r="A27" s="8">
        <v>44888</v>
      </c>
      <c r="B27" s="55"/>
      <c r="C27" s="55"/>
      <c r="D27" s="21">
        <v>213.8</v>
      </c>
      <c r="E27" s="26">
        <v>949</v>
      </c>
      <c r="F27" s="35">
        <v>213.04</v>
      </c>
      <c r="G27" s="35">
        <v>869.80799999999999</v>
      </c>
      <c r="H27" s="35">
        <v>90</v>
      </c>
      <c r="I27" s="36">
        <v>0</v>
      </c>
      <c r="J27" s="35">
        <v>40</v>
      </c>
      <c r="K27" s="35">
        <v>50</v>
      </c>
      <c r="L27" s="36">
        <v>0</v>
      </c>
      <c r="M27" s="23">
        <f t="shared" si="0"/>
        <v>90</v>
      </c>
      <c r="N27" s="2"/>
    </row>
    <row r="28" spans="1:15" ht="19.5" customHeight="1" x14ac:dyDescent="0.3">
      <c r="A28" s="8">
        <v>44889</v>
      </c>
      <c r="B28" s="55"/>
      <c r="C28" s="55"/>
      <c r="D28" s="21">
        <v>213.8</v>
      </c>
      <c r="E28" s="26">
        <v>949</v>
      </c>
      <c r="F28" s="35">
        <v>213.05</v>
      </c>
      <c r="G28" s="35">
        <v>870.86699999999996</v>
      </c>
      <c r="H28" s="35">
        <v>102</v>
      </c>
      <c r="I28" s="36">
        <v>0</v>
      </c>
      <c r="J28" s="35">
        <v>40</v>
      </c>
      <c r="K28" s="35">
        <v>50</v>
      </c>
      <c r="L28" s="36">
        <v>0</v>
      </c>
      <c r="M28" s="23">
        <f t="shared" si="0"/>
        <v>90</v>
      </c>
      <c r="N28" s="2"/>
    </row>
    <row r="29" spans="1:15" ht="19.5" customHeight="1" x14ac:dyDescent="0.3">
      <c r="A29" s="8">
        <v>44890</v>
      </c>
      <c r="B29" s="55"/>
      <c r="C29" s="55"/>
      <c r="D29" s="21">
        <v>213.8</v>
      </c>
      <c r="E29" s="26">
        <v>949</v>
      </c>
      <c r="F29" s="35">
        <v>213.08</v>
      </c>
      <c r="G29" s="35">
        <v>873.69299999999998</v>
      </c>
      <c r="H29" s="35">
        <v>122</v>
      </c>
      <c r="I29" s="36">
        <v>0</v>
      </c>
      <c r="J29" s="35">
        <v>40</v>
      </c>
      <c r="K29" s="35">
        <v>50</v>
      </c>
      <c r="L29" s="36">
        <v>0</v>
      </c>
      <c r="M29" s="23">
        <f t="shared" si="0"/>
        <v>90</v>
      </c>
      <c r="N29" s="2"/>
    </row>
    <row r="30" spans="1:15" ht="19.5" customHeight="1" x14ac:dyDescent="0.3">
      <c r="A30" s="8">
        <v>44891</v>
      </c>
      <c r="B30" s="55"/>
      <c r="C30" s="55"/>
      <c r="D30" s="21">
        <v>213.8</v>
      </c>
      <c r="E30" s="26">
        <v>949</v>
      </c>
      <c r="F30" s="35">
        <v>213.1</v>
      </c>
      <c r="G30" s="35">
        <v>875.81200000000001</v>
      </c>
      <c r="H30" s="35">
        <v>114</v>
      </c>
      <c r="I30" s="36">
        <v>0</v>
      </c>
      <c r="J30" s="35">
        <v>40</v>
      </c>
      <c r="K30" s="35">
        <v>50</v>
      </c>
      <c r="L30" s="36">
        <v>0</v>
      </c>
      <c r="M30" s="23">
        <f t="shared" si="0"/>
        <v>90</v>
      </c>
      <c r="N30" s="2"/>
    </row>
    <row r="31" spans="1:15" ht="21" customHeight="1" x14ac:dyDescent="0.3">
      <c r="A31" s="8">
        <v>44892</v>
      </c>
      <c r="B31" s="55"/>
      <c r="C31" s="55"/>
      <c r="D31" s="21">
        <v>213.8</v>
      </c>
      <c r="E31" s="26">
        <v>949</v>
      </c>
      <c r="F31" s="36">
        <v>213.12</v>
      </c>
      <c r="G31" s="35">
        <v>877.93</v>
      </c>
      <c r="H31" s="35">
        <v>114</v>
      </c>
      <c r="I31" s="36">
        <v>0</v>
      </c>
      <c r="J31" s="35">
        <v>40</v>
      </c>
      <c r="K31" s="35">
        <v>50</v>
      </c>
      <c r="L31" s="36">
        <v>0</v>
      </c>
      <c r="M31" s="23">
        <f t="shared" si="0"/>
        <v>90</v>
      </c>
      <c r="N31" s="2"/>
    </row>
    <row r="32" spans="1:15" ht="21" customHeight="1" x14ac:dyDescent="0.3">
      <c r="A32" s="8">
        <v>44893</v>
      </c>
      <c r="B32" s="55"/>
      <c r="C32" s="55"/>
      <c r="D32" s="21">
        <v>213.8</v>
      </c>
      <c r="E32" s="26">
        <v>949</v>
      </c>
      <c r="F32" s="35">
        <v>213.14</v>
      </c>
      <c r="G32" s="35">
        <v>880.04899999999998</v>
      </c>
      <c r="H32" s="35">
        <v>114</v>
      </c>
      <c r="I32" s="36">
        <v>0</v>
      </c>
      <c r="J32" s="35">
        <v>40</v>
      </c>
      <c r="K32" s="35">
        <v>50</v>
      </c>
      <c r="L32" s="36">
        <v>0</v>
      </c>
      <c r="M32" s="23">
        <f t="shared" si="0"/>
        <v>90</v>
      </c>
      <c r="N32" s="2"/>
    </row>
    <row r="33" spans="1:15" ht="21" customHeight="1" x14ac:dyDescent="0.3">
      <c r="A33" s="8">
        <v>44894</v>
      </c>
      <c r="B33" s="55"/>
      <c r="C33" s="55"/>
      <c r="D33" s="21">
        <v>213.8</v>
      </c>
      <c r="E33" s="27">
        <v>949</v>
      </c>
      <c r="F33" s="35">
        <v>213.16</v>
      </c>
      <c r="G33" s="35">
        <v>882.16800000000001</v>
      </c>
      <c r="H33" s="35">
        <v>114</v>
      </c>
      <c r="I33" s="36">
        <v>0</v>
      </c>
      <c r="J33" s="35">
        <v>40</v>
      </c>
      <c r="K33" s="35">
        <v>50</v>
      </c>
      <c r="L33" s="36">
        <v>0</v>
      </c>
      <c r="M33" s="23">
        <f t="shared" si="0"/>
        <v>90</v>
      </c>
      <c r="N33" s="2"/>
    </row>
    <row r="34" spans="1:15" ht="21" customHeight="1" x14ac:dyDescent="0.3">
      <c r="A34" s="8">
        <v>44895</v>
      </c>
      <c r="B34" s="56"/>
      <c r="C34" s="56"/>
      <c r="D34" s="22">
        <v>213.8</v>
      </c>
      <c r="E34" s="26">
        <v>949</v>
      </c>
      <c r="F34" s="35">
        <v>213.16</v>
      </c>
      <c r="G34" s="35">
        <v>882.16800000000001</v>
      </c>
      <c r="H34" s="35">
        <v>90</v>
      </c>
      <c r="I34" s="36">
        <v>0</v>
      </c>
      <c r="J34" s="35">
        <v>40</v>
      </c>
      <c r="K34" s="35">
        <v>50</v>
      </c>
      <c r="L34" s="36">
        <v>0</v>
      </c>
      <c r="M34" s="23">
        <f t="shared" si="0"/>
        <v>90</v>
      </c>
      <c r="N34" s="2"/>
    </row>
    <row r="35" spans="1:15" ht="21" customHeight="1" x14ac:dyDescent="0.3">
      <c r="A35" s="12"/>
      <c r="B35" s="13"/>
      <c r="C35" s="13"/>
      <c r="D35" s="14"/>
      <c r="E35" s="14"/>
      <c r="F35" s="15"/>
      <c r="G35" s="14"/>
      <c r="H35" s="16">
        <f>SUM(H5:H34)</f>
        <v>3434</v>
      </c>
      <c r="I35" s="16">
        <f t="shared" ref="I35:M35" si="1">SUM(I5:I34)</f>
        <v>700</v>
      </c>
      <c r="J35" s="16">
        <f t="shared" si="1"/>
        <v>1790</v>
      </c>
      <c r="K35" s="16">
        <f t="shared" si="1"/>
        <v>1490</v>
      </c>
      <c r="L35" s="16">
        <f t="shared" si="1"/>
        <v>0</v>
      </c>
      <c r="M35" s="16">
        <f t="shared" si="1"/>
        <v>3980</v>
      </c>
      <c r="N35" s="17"/>
      <c r="O35" s="19"/>
    </row>
    <row r="36" spans="1:15" ht="47.25" customHeight="1" x14ac:dyDescent="0.3">
      <c r="A36" s="3"/>
      <c r="B36" s="4"/>
      <c r="C36" s="5"/>
      <c r="D36" s="5"/>
      <c r="E36" s="5"/>
      <c r="F36" s="5"/>
      <c r="G36" s="5"/>
      <c r="H36" s="5">
        <f>H35/11574</f>
        <v>0.29669949887679281</v>
      </c>
      <c r="I36" s="5"/>
      <c r="J36" s="5">
        <f>J35/11574</f>
        <v>0.15465698980473475</v>
      </c>
      <c r="K36" s="5">
        <f>K35/11574</f>
        <v>0.12873682391567307</v>
      </c>
      <c r="L36" s="6"/>
      <c r="M36" s="6"/>
      <c r="N36" s="7"/>
    </row>
    <row r="37" spans="1:15" ht="15.75" customHeight="1" x14ac:dyDescent="0.3">
      <c r="A37" s="57" t="s">
        <v>9</v>
      </c>
      <c r="B37" s="52"/>
      <c r="C37" s="52"/>
      <c r="D37" s="52"/>
      <c r="J37" s="57" t="s">
        <v>10</v>
      </c>
      <c r="K37" s="52"/>
      <c r="L37" s="52"/>
      <c r="M37" s="52"/>
      <c r="N37" s="7"/>
    </row>
    <row r="38" spans="1:15" ht="15.75" customHeight="1" x14ac:dyDescent="0.3">
      <c r="A38" s="58" t="s">
        <v>16</v>
      </c>
      <c r="B38" s="52"/>
      <c r="C38" s="52"/>
      <c r="D38" s="52"/>
      <c r="J38" s="58" t="s">
        <v>16</v>
      </c>
      <c r="K38" s="52"/>
      <c r="L38" s="52"/>
      <c r="M38" s="52"/>
      <c r="N38" s="7"/>
    </row>
    <row r="39" spans="1:15" ht="15.75" customHeight="1" x14ac:dyDescent="0.3">
      <c r="A39" s="51" t="s">
        <v>17</v>
      </c>
      <c r="B39" s="52"/>
      <c r="C39" s="52"/>
      <c r="D39" s="52"/>
      <c r="J39" s="51" t="s">
        <v>17</v>
      </c>
      <c r="K39" s="52"/>
      <c r="L39" s="52"/>
      <c r="M39" s="52"/>
      <c r="N39" s="7"/>
    </row>
    <row r="40" spans="1:15" ht="15.75" customHeight="1" x14ac:dyDescent="0.3"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O102"/>
  <sheetViews>
    <sheetView view="pageBreakPreview" topLeftCell="A13" zoomScale="60" workbookViewId="0">
      <selection activeCell="M37" sqref="M37"/>
    </sheetView>
  </sheetViews>
  <sheetFormatPr defaultColWidth="14.44140625" defaultRowHeight="15" customHeight="1" x14ac:dyDescent="0.3"/>
  <cols>
    <col min="1" max="1" width="12.44140625" customWidth="1"/>
    <col min="2" max="2" width="6.33203125" customWidth="1"/>
    <col min="3" max="3" width="5.109375" customWidth="1"/>
    <col min="4" max="5" width="10" customWidth="1"/>
    <col min="6" max="7" width="8.6640625" customWidth="1"/>
    <col min="8" max="8" width="9.88671875" customWidth="1"/>
    <col min="9" max="9" width="8.6640625" customWidth="1"/>
    <col min="10" max="10" width="8.44140625" customWidth="1"/>
    <col min="11" max="11" width="8.6640625" customWidth="1"/>
    <col min="12" max="12" width="7.44140625" customWidth="1"/>
    <col min="13" max="13" width="8.5546875" customWidth="1"/>
    <col min="14" max="14" width="8.88671875" customWidth="1"/>
  </cols>
  <sheetData>
    <row r="1" spans="1:14" ht="14.25" customHeight="1" x14ac:dyDescent="0.3">
      <c r="A1" s="38" t="s">
        <v>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ht="15.75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 ht="14.25" customHeight="1" x14ac:dyDescent="0.3">
      <c r="A3" s="44" t="s">
        <v>0</v>
      </c>
      <c r="B3" s="46" t="s">
        <v>1</v>
      </c>
      <c r="C3" s="46" t="s">
        <v>2</v>
      </c>
      <c r="D3" s="44" t="s">
        <v>3</v>
      </c>
      <c r="E3" s="44" t="s">
        <v>20</v>
      </c>
      <c r="F3" s="44" t="s">
        <v>4</v>
      </c>
      <c r="G3" s="44" t="s">
        <v>19</v>
      </c>
      <c r="H3" s="44" t="s">
        <v>5</v>
      </c>
      <c r="I3" s="47" t="s">
        <v>6</v>
      </c>
      <c r="J3" s="48"/>
      <c r="K3" s="48"/>
      <c r="L3" s="48"/>
      <c r="M3" s="49" t="s">
        <v>7</v>
      </c>
      <c r="N3" s="53" t="s">
        <v>8</v>
      </c>
    </row>
    <row r="4" spans="1:14" ht="51.75" customHeight="1" x14ac:dyDescent="0.3">
      <c r="A4" s="45"/>
      <c r="B4" s="45"/>
      <c r="C4" s="45"/>
      <c r="D4" s="45"/>
      <c r="E4" s="50"/>
      <c r="F4" s="45"/>
      <c r="G4" s="45"/>
      <c r="H4" s="45"/>
      <c r="I4" s="10" t="s">
        <v>15</v>
      </c>
      <c r="J4" s="10" t="s">
        <v>13</v>
      </c>
      <c r="K4" s="20" t="s">
        <v>18</v>
      </c>
      <c r="L4" s="10" t="s">
        <v>14</v>
      </c>
      <c r="M4" s="45"/>
      <c r="N4" s="45"/>
    </row>
    <row r="5" spans="1:14" ht="19.5" customHeight="1" x14ac:dyDescent="0.3">
      <c r="A5" s="8">
        <v>44896</v>
      </c>
      <c r="B5" s="54" t="s">
        <v>11</v>
      </c>
      <c r="C5" s="54" t="s">
        <v>12</v>
      </c>
      <c r="D5" s="21">
        <v>213.8</v>
      </c>
      <c r="E5" s="26">
        <v>949</v>
      </c>
      <c r="F5" s="35">
        <v>213.16</v>
      </c>
      <c r="G5" s="35">
        <v>882.16800000000001</v>
      </c>
      <c r="H5" s="35">
        <v>90</v>
      </c>
      <c r="I5" s="36">
        <v>0</v>
      </c>
      <c r="J5" s="35">
        <v>40</v>
      </c>
      <c r="K5" s="35">
        <v>50</v>
      </c>
      <c r="L5" s="36">
        <v>0</v>
      </c>
      <c r="M5" s="23">
        <f>L5+K5+J5+I5</f>
        <v>90</v>
      </c>
      <c r="N5" s="2"/>
    </row>
    <row r="6" spans="1:14" ht="19.5" customHeight="1" x14ac:dyDescent="0.3">
      <c r="A6" s="8">
        <v>44897</v>
      </c>
      <c r="B6" s="55"/>
      <c r="C6" s="55"/>
      <c r="D6" s="21">
        <v>213.8</v>
      </c>
      <c r="E6" s="26">
        <v>949</v>
      </c>
      <c r="F6" s="35">
        <v>213.16</v>
      </c>
      <c r="G6" s="35">
        <v>882.16800000000001</v>
      </c>
      <c r="H6" s="35">
        <v>90</v>
      </c>
      <c r="I6" s="36">
        <v>0</v>
      </c>
      <c r="J6" s="35">
        <v>40</v>
      </c>
      <c r="K6" s="35">
        <v>50</v>
      </c>
      <c r="L6" s="36">
        <v>0</v>
      </c>
      <c r="M6" s="23">
        <f t="shared" ref="M6:M35" si="0">L6+K6+J6+I6</f>
        <v>90</v>
      </c>
      <c r="N6" s="2"/>
    </row>
    <row r="7" spans="1:14" ht="19.5" customHeight="1" x14ac:dyDescent="0.3">
      <c r="A7" s="8">
        <v>44898</v>
      </c>
      <c r="B7" s="55"/>
      <c r="C7" s="55"/>
      <c r="D7" s="21">
        <v>213.8</v>
      </c>
      <c r="E7" s="26">
        <v>949</v>
      </c>
      <c r="F7" s="35">
        <v>213.16</v>
      </c>
      <c r="G7" s="35">
        <v>882.16800000000001</v>
      </c>
      <c r="H7" s="35">
        <v>90</v>
      </c>
      <c r="I7" s="36">
        <v>0</v>
      </c>
      <c r="J7" s="35">
        <v>40</v>
      </c>
      <c r="K7" s="35">
        <v>50</v>
      </c>
      <c r="L7" s="36">
        <v>0</v>
      </c>
      <c r="M7" s="23">
        <f t="shared" si="0"/>
        <v>90</v>
      </c>
      <c r="N7" s="2"/>
    </row>
    <row r="8" spans="1:14" ht="19.5" customHeight="1" x14ac:dyDescent="0.3">
      <c r="A8" s="8">
        <v>44899</v>
      </c>
      <c r="B8" s="55"/>
      <c r="C8" s="55"/>
      <c r="D8" s="21">
        <v>213.8</v>
      </c>
      <c r="E8" s="26">
        <v>949</v>
      </c>
      <c r="F8" s="35">
        <v>213.16</v>
      </c>
      <c r="G8" s="35">
        <v>882.16800000000001</v>
      </c>
      <c r="H8" s="35">
        <v>90</v>
      </c>
      <c r="I8" s="36">
        <v>0</v>
      </c>
      <c r="J8" s="35">
        <v>40</v>
      </c>
      <c r="K8" s="35">
        <v>50</v>
      </c>
      <c r="L8" s="36">
        <v>0</v>
      </c>
      <c r="M8" s="23">
        <f t="shared" si="0"/>
        <v>90</v>
      </c>
      <c r="N8" s="2"/>
    </row>
    <row r="9" spans="1:14" ht="19.5" customHeight="1" x14ac:dyDescent="0.3">
      <c r="A9" s="8">
        <v>44900</v>
      </c>
      <c r="B9" s="55"/>
      <c r="C9" s="55"/>
      <c r="D9" s="21">
        <v>213.8</v>
      </c>
      <c r="E9" s="26">
        <v>949</v>
      </c>
      <c r="F9" s="35">
        <v>213.14</v>
      </c>
      <c r="G9" s="35">
        <v>880.04899999999998</v>
      </c>
      <c r="H9" s="35">
        <v>65</v>
      </c>
      <c r="I9" s="36">
        <v>0</v>
      </c>
      <c r="J9" s="35">
        <v>40</v>
      </c>
      <c r="K9" s="35">
        <v>50</v>
      </c>
      <c r="L9" s="36">
        <v>0</v>
      </c>
      <c r="M9" s="23">
        <f t="shared" si="0"/>
        <v>90</v>
      </c>
      <c r="N9" s="2"/>
    </row>
    <row r="10" spans="1:14" ht="19.5" customHeight="1" x14ac:dyDescent="0.3">
      <c r="A10" s="8">
        <v>44901</v>
      </c>
      <c r="B10" s="55"/>
      <c r="C10" s="55"/>
      <c r="D10" s="21">
        <v>213.8</v>
      </c>
      <c r="E10" s="26">
        <v>949</v>
      </c>
      <c r="F10" s="35">
        <v>213.12</v>
      </c>
      <c r="G10" s="35">
        <v>877.93100000000004</v>
      </c>
      <c r="H10" s="35">
        <v>65</v>
      </c>
      <c r="I10" s="36">
        <v>0</v>
      </c>
      <c r="J10" s="35">
        <v>40</v>
      </c>
      <c r="K10" s="35">
        <v>50</v>
      </c>
      <c r="L10" s="36">
        <v>0</v>
      </c>
      <c r="M10" s="23">
        <f t="shared" si="0"/>
        <v>90</v>
      </c>
      <c r="N10" s="2"/>
    </row>
    <row r="11" spans="1:14" ht="19.5" customHeight="1" x14ac:dyDescent="0.3">
      <c r="A11" s="8">
        <v>44902</v>
      </c>
      <c r="B11" s="55"/>
      <c r="C11" s="55"/>
      <c r="D11" s="21">
        <v>213.8</v>
      </c>
      <c r="E11" s="26">
        <v>949</v>
      </c>
      <c r="F11" s="36">
        <v>213.12</v>
      </c>
      <c r="G11" s="37">
        <v>877.93100000000004</v>
      </c>
      <c r="H11" s="35">
        <v>55</v>
      </c>
      <c r="I11" s="36">
        <v>0</v>
      </c>
      <c r="J11" s="35">
        <v>40</v>
      </c>
      <c r="K11" s="35">
        <v>15</v>
      </c>
      <c r="L11" s="36">
        <v>0</v>
      </c>
      <c r="M11" s="23">
        <f t="shared" si="0"/>
        <v>55</v>
      </c>
      <c r="N11" s="2"/>
    </row>
    <row r="12" spans="1:14" ht="19.5" customHeight="1" x14ac:dyDescent="0.3">
      <c r="A12" s="8">
        <v>44903</v>
      </c>
      <c r="B12" s="55"/>
      <c r="C12" s="55"/>
      <c r="D12" s="21">
        <v>213.8</v>
      </c>
      <c r="E12" s="26">
        <v>949</v>
      </c>
      <c r="F12" s="35">
        <v>213.12</v>
      </c>
      <c r="G12" s="35">
        <v>877.93100000000004</v>
      </c>
      <c r="H12" s="35">
        <v>55</v>
      </c>
      <c r="I12" s="36">
        <v>0</v>
      </c>
      <c r="J12" s="35">
        <v>40</v>
      </c>
      <c r="K12" s="35">
        <v>15</v>
      </c>
      <c r="L12" s="36">
        <v>0</v>
      </c>
      <c r="M12" s="23">
        <f t="shared" si="0"/>
        <v>55</v>
      </c>
      <c r="N12" s="2"/>
    </row>
    <row r="13" spans="1:14" ht="19.5" customHeight="1" x14ac:dyDescent="0.3">
      <c r="A13" s="8">
        <v>44904</v>
      </c>
      <c r="B13" s="55"/>
      <c r="C13" s="55"/>
      <c r="D13" s="21">
        <v>213.8</v>
      </c>
      <c r="E13" s="26">
        <v>949</v>
      </c>
      <c r="F13" s="35">
        <v>213.12</v>
      </c>
      <c r="G13" s="35">
        <v>877.93100000000004</v>
      </c>
      <c r="H13" s="35">
        <v>50</v>
      </c>
      <c r="I13" s="36">
        <v>0</v>
      </c>
      <c r="J13" s="35">
        <v>40</v>
      </c>
      <c r="K13" s="35">
        <v>10</v>
      </c>
      <c r="L13" s="36">
        <v>0</v>
      </c>
      <c r="M13" s="23">
        <f t="shared" si="0"/>
        <v>50</v>
      </c>
      <c r="N13" s="2"/>
    </row>
    <row r="14" spans="1:14" ht="19.5" customHeight="1" x14ac:dyDescent="0.3">
      <c r="A14" s="8">
        <v>44905</v>
      </c>
      <c r="B14" s="55"/>
      <c r="C14" s="55"/>
      <c r="D14" s="21">
        <v>213.8</v>
      </c>
      <c r="E14" s="26">
        <v>949</v>
      </c>
      <c r="F14" s="35">
        <v>213.12</v>
      </c>
      <c r="G14" s="35">
        <v>877.93100000000004</v>
      </c>
      <c r="H14" s="35">
        <v>50</v>
      </c>
      <c r="I14" s="36">
        <v>0</v>
      </c>
      <c r="J14" s="35">
        <v>40</v>
      </c>
      <c r="K14" s="35">
        <v>10</v>
      </c>
      <c r="L14" s="36">
        <v>0</v>
      </c>
      <c r="M14" s="23">
        <f t="shared" si="0"/>
        <v>50</v>
      </c>
      <c r="N14" s="2"/>
    </row>
    <row r="15" spans="1:14" ht="19.5" customHeight="1" x14ac:dyDescent="0.3">
      <c r="A15" s="8">
        <v>44906</v>
      </c>
      <c r="B15" s="55"/>
      <c r="C15" s="55"/>
      <c r="D15" s="21">
        <v>213.8</v>
      </c>
      <c r="E15" s="26">
        <v>949</v>
      </c>
      <c r="F15" s="35">
        <v>213.14</v>
      </c>
      <c r="G15" s="35">
        <v>880.04899999999998</v>
      </c>
      <c r="H15" s="35">
        <v>114</v>
      </c>
      <c r="I15" s="36">
        <v>0</v>
      </c>
      <c r="J15" s="35">
        <v>40</v>
      </c>
      <c r="K15" s="35">
        <v>10</v>
      </c>
      <c r="L15" s="36">
        <v>0</v>
      </c>
      <c r="M15" s="23">
        <f t="shared" si="0"/>
        <v>50</v>
      </c>
      <c r="N15" s="2"/>
    </row>
    <row r="16" spans="1:14" ht="19.5" customHeight="1" x14ac:dyDescent="0.3">
      <c r="A16" s="8">
        <v>44907</v>
      </c>
      <c r="B16" s="55"/>
      <c r="C16" s="55"/>
      <c r="D16" s="21">
        <v>213.8</v>
      </c>
      <c r="E16" s="26">
        <v>949</v>
      </c>
      <c r="F16" s="36">
        <v>213.14</v>
      </c>
      <c r="G16" s="35">
        <v>880.04899999999998</v>
      </c>
      <c r="H16" s="35">
        <v>30</v>
      </c>
      <c r="I16" s="36">
        <v>0</v>
      </c>
      <c r="J16" s="35">
        <v>20</v>
      </c>
      <c r="K16" s="35">
        <v>10</v>
      </c>
      <c r="L16" s="36">
        <v>0</v>
      </c>
      <c r="M16" s="23">
        <f t="shared" si="0"/>
        <v>30</v>
      </c>
      <c r="N16" s="2"/>
    </row>
    <row r="17" spans="1:15" ht="19.5" customHeight="1" x14ac:dyDescent="0.3">
      <c r="A17" s="8">
        <v>44908</v>
      </c>
      <c r="B17" s="55"/>
      <c r="C17" s="55"/>
      <c r="D17" s="21">
        <v>213.8</v>
      </c>
      <c r="E17" s="26">
        <v>949</v>
      </c>
      <c r="F17" s="35">
        <v>213.14</v>
      </c>
      <c r="G17" s="35">
        <v>880.04899999999998</v>
      </c>
      <c r="H17" s="35">
        <v>30</v>
      </c>
      <c r="I17" s="36">
        <v>0</v>
      </c>
      <c r="J17" s="35">
        <v>20</v>
      </c>
      <c r="K17" s="35">
        <v>10</v>
      </c>
      <c r="L17" s="36">
        <v>0</v>
      </c>
      <c r="M17" s="23">
        <f t="shared" si="0"/>
        <v>30</v>
      </c>
      <c r="N17" s="2"/>
    </row>
    <row r="18" spans="1:15" ht="19.5" customHeight="1" x14ac:dyDescent="0.3">
      <c r="A18" s="8">
        <v>44909</v>
      </c>
      <c r="B18" s="55"/>
      <c r="C18" s="55"/>
      <c r="D18" s="21">
        <v>213.8</v>
      </c>
      <c r="E18" s="26">
        <v>949</v>
      </c>
      <c r="F18" s="35">
        <v>213.14</v>
      </c>
      <c r="G18" s="35">
        <v>880.04899999999998</v>
      </c>
      <c r="H18" s="35">
        <v>30</v>
      </c>
      <c r="I18" s="36">
        <v>0</v>
      </c>
      <c r="J18" s="35">
        <v>20</v>
      </c>
      <c r="K18" s="35">
        <v>10</v>
      </c>
      <c r="L18" s="36">
        <v>0</v>
      </c>
      <c r="M18" s="23">
        <f t="shared" si="0"/>
        <v>30</v>
      </c>
      <c r="N18" s="2"/>
    </row>
    <row r="19" spans="1:15" ht="19.5" customHeight="1" x14ac:dyDescent="0.3">
      <c r="A19" s="8">
        <v>44910</v>
      </c>
      <c r="B19" s="55"/>
      <c r="C19" s="55"/>
      <c r="D19" s="21">
        <v>213.8</v>
      </c>
      <c r="E19" s="26">
        <v>949</v>
      </c>
      <c r="F19" s="35">
        <v>213.14</v>
      </c>
      <c r="G19" s="35">
        <v>880.04899999999998</v>
      </c>
      <c r="H19" s="35">
        <v>30</v>
      </c>
      <c r="I19" s="36">
        <v>0</v>
      </c>
      <c r="J19" s="35">
        <v>20</v>
      </c>
      <c r="K19" s="35">
        <v>10</v>
      </c>
      <c r="L19" s="36">
        <v>0</v>
      </c>
      <c r="M19" s="23">
        <f t="shared" si="0"/>
        <v>30</v>
      </c>
      <c r="N19" s="2"/>
    </row>
    <row r="20" spans="1:15" ht="19.5" customHeight="1" x14ac:dyDescent="0.3">
      <c r="A20" s="8">
        <v>44911</v>
      </c>
      <c r="B20" s="55"/>
      <c r="C20" s="55"/>
      <c r="D20" s="21">
        <v>213.8</v>
      </c>
      <c r="E20" s="26">
        <v>949</v>
      </c>
      <c r="F20" s="35">
        <v>213.14</v>
      </c>
      <c r="G20" s="35">
        <v>880.04899999999998</v>
      </c>
      <c r="H20" s="35">
        <v>30</v>
      </c>
      <c r="I20" s="36">
        <v>0</v>
      </c>
      <c r="J20" s="35">
        <v>20</v>
      </c>
      <c r="K20" s="35">
        <v>10</v>
      </c>
      <c r="L20" s="36">
        <v>0</v>
      </c>
      <c r="M20" s="23">
        <f t="shared" si="0"/>
        <v>30</v>
      </c>
      <c r="N20" s="2"/>
    </row>
    <row r="21" spans="1:15" ht="19.5" customHeight="1" x14ac:dyDescent="0.3">
      <c r="A21" s="8">
        <v>44912</v>
      </c>
      <c r="B21" s="55"/>
      <c r="C21" s="55"/>
      <c r="D21" s="21">
        <v>213.8</v>
      </c>
      <c r="E21" s="26">
        <v>949</v>
      </c>
      <c r="F21" s="36">
        <v>213.13</v>
      </c>
      <c r="G21" s="35">
        <v>878.99</v>
      </c>
      <c r="H21" s="35">
        <v>18</v>
      </c>
      <c r="I21" s="36">
        <v>0</v>
      </c>
      <c r="J21" s="35">
        <v>20</v>
      </c>
      <c r="K21" s="36">
        <v>0</v>
      </c>
      <c r="L21" s="35">
        <v>10</v>
      </c>
      <c r="M21" s="23">
        <f t="shared" si="0"/>
        <v>30</v>
      </c>
      <c r="N21" s="2"/>
    </row>
    <row r="22" spans="1:15" ht="19.5" customHeight="1" x14ac:dyDescent="0.3">
      <c r="A22" s="8">
        <v>44913</v>
      </c>
      <c r="B22" s="55"/>
      <c r="C22" s="55"/>
      <c r="D22" s="21">
        <v>213.8</v>
      </c>
      <c r="E22" s="26">
        <v>949</v>
      </c>
      <c r="F22" s="35">
        <v>213.13</v>
      </c>
      <c r="G22" s="35">
        <v>878.99</v>
      </c>
      <c r="H22" s="35">
        <v>20</v>
      </c>
      <c r="I22" s="36">
        <v>0</v>
      </c>
      <c r="J22" s="36">
        <v>0</v>
      </c>
      <c r="K22" s="36">
        <v>0</v>
      </c>
      <c r="L22" s="35">
        <v>20</v>
      </c>
      <c r="M22" s="23">
        <f t="shared" si="0"/>
        <v>20</v>
      </c>
      <c r="N22" s="2"/>
    </row>
    <row r="23" spans="1:15" ht="19.5" customHeight="1" x14ac:dyDescent="0.3">
      <c r="A23" s="8">
        <v>44914</v>
      </c>
      <c r="B23" s="55"/>
      <c r="C23" s="55"/>
      <c r="D23" s="21">
        <v>213.8</v>
      </c>
      <c r="E23" s="26">
        <v>949</v>
      </c>
      <c r="F23" s="35">
        <v>213.12</v>
      </c>
      <c r="G23" s="35">
        <v>877.93</v>
      </c>
      <c r="H23" s="35">
        <v>17</v>
      </c>
      <c r="I23" s="36">
        <v>0</v>
      </c>
      <c r="J23" s="36">
        <v>0</v>
      </c>
      <c r="K23" s="36">
        <v>0</v>
      </c>
      <c r="L23" s="35">
        <v>20</v>
      </c>
      <c r="M23" s="23">
        <f t="shared" si="0"/>
        <v>20</v>
      </c>
      <c r="N23" s="2"/>
    </row>
    <row r="24" spans="1:15" ht="19.5" customHeight="1" x14ac:dyDescent="0.3">
      <c r="A24" s="8">
        <v>44915</v>
      </c>
      <c r="B24" s="55"/>
      <c r="C24" s="55"/>
      <c r="D24" s="21">
        <v>213.8</v>
      </c>
      <c r="E24" s="26">
        <v>949</v>
      </c>
      <c r="F24" s="35">
        <v>213.12</v>
      </c>
      <c r="G24" s="35">
        <v>877.93</v>
      </c>
      <c r="H24" s="35">
        <v>20</v>
      </c>
      <c r="I24" s="36">
        <v>0</v>
      </c>
      <c r="J24" s="36">
        <v>0</v>
      </c>
      <c r="K24" s="36">
        <v>0</v>
      </c>
      <c r="L24" s="35">
        <v>20</v>
      </c>
      <c r="M24" s="23">
        <f t="shared" si="0"/>
        <v>20</v>
      </c>
      <c r="N24" s="2"/>
    </row>
    <row r="25" spans="1:15" ht="19.5" customHeight="1" x14ac:dyDescent="0.3">
      <c r="A25" s="8">
        <v>44916</v>
      </c>
      <c r="B25" s="55"/>
      <c r="C25" s="55"/>
      <c r="D25" s="21">
        <v>213.8</v>
      </c>
      <c r="E25" s="26">
        <v>949</v>
      </c>
      <c r="F25" s="35">
        <v>213.11</v>
      </c>
      <c r="G25" s="35">
        <v>876.87099999999998</v>
      </c>
      <c r="H25" s="35">
        <v>17</v>
      </c>
      <c r="I25" s="36">
        <v>0</v>
      </c>
      <c r="J25" s="36">
        <v>0</v>
      </c>
      <c r="K25" s="36">
        <v>0</v>
      </c>
      <c r="L25" s="35">
        <v>20</v>
      </c>
      <c r="M25" s="23">
        <f t="shared" si="0"/>
        <v>20</v>
      </c>
      <c r="N25" s="2"/>
    </row>
    <row r="26" spans="1:15" ht="19.5" customHeight="1" x14ac:dyDescent="0.3">
      <c r="A26" s="8">
        <v>44917</v>
      </c>
      <c r="B26" s="55"/>
      <c r="C26" s="55"/>
      <c r="D26" s="21">
        <v>213.8</v>
      </c>
      <c r="E26" s="26">
        <v>949</v>
      </c>
      <c r="F26" s="35">
        <v>213.1</v>
      </c>
      <c r="G26" s="35">
        <v>875.81200000000001</v>
      </c>
      <c r="H26" s="35">
        <v>17</v>
      </c>
      <c r="I26" s="36">
        <v>0</v>
      </c>
      <c r="J26" s="36">
        <v>0</v>
      </c>
      <c r="K26" s="36">
        <v>0</v>
      </c>
      <c r="L26" s="35">
        <v>20</v>
      </c>
      <c r="M26" s="23">
        <f t="shared" si="0"/>
        <v>20</v>
      </c>
      <c r="N26" s="2"/>
      <c r="O26" s="18"/>
    </row>
    <row r="27" spans="1:15" ht="19.5" customHeight="1" x14ac:dyDescent="0.3">
      <c r="A27" s="8">
        <v>44918</v>
      </c>
      <c r="B27" s="55"/>
      <c r="C27" s="55"/>
      <c r="D27" s="21">
        <v>213.8</v>
      </c>
      <c r="E27" s="26">
        <v>949</v>
      </c>
      <c r="F27" s="35">
        <v>213.1</v>
      </c>
      <c r="G27" s="35">
        <v>875.81200000000001</v>
      </c>
      <c r="H27" s="35">
        <v>20</v>
      </c>
      <c r="I27" s="36">
        <v>0</v>
      </c>
      <c r="J27" s="36">
        <v>0</v>
      </c>
      <c r="K27" s="36">
        <v>0</v>
      </c>
      <c r="L27" s="35">
        <v>20</v>
      </c>
      <c r="M27" s="23">
        <f t="shared" si="0"/>
        <v>20</v>
      </c>
      <c r="N27" s="2"/>
    </row>
    <row r="28" spans="1:15" ht="19.5" customHeight="1" x14ac:dyDescent="0.3">
      <c r="A28" s="8">
        <v>44919</v>
      </c>
      <c r="B28" s="55"/>
      <c r="C28" s="55"/>
      <c r="D28" s="21">
        <v>213.8</v>
      </c>
      <c r="E28" s="26">
        <v>949</v>
      </c>
      <c r="F28" s="35">
        <v>213.09</v>
      </c>
      <c r="G28" s="35">
        <v>874.75199999999995</v>
      </c>
      <c r="H28" s="35">
        <v>8</v>
      </c>
      <c r="I28" s="36">
        <v>0</v>
      </c>
      <c r="J28" s="36">
        <v>0</v>
      </c>
      <c r="K28" s="36">
        <v>0</v>
      </c>
      <c r="L28" s="35">
        <v>20</v>
      </c>
      <c r="M28" s="23">
        <f t="shared" si="0"/>
        <v>20</v>
      </c>
      <c r="N28" s="2"/>
    </row>
    <row r="29" spans="1:15" ht="19.5" customHeight="1" x14ac:dyDescent="0.3">
      <c r="A29" s="8">
        <v>44920</v>
      </c>
      <c r="B29" s="55"/>
      <c r="C29" s="55"/>
      <c r="D29" s="21">
        <v>213.8</v>
      </c>
      <c r="E29" s="26">
        <v>949</v>
      </c>
      <c r="F29" s="35">
        <v>213.08</v>
      </c>
      <c r="G29" s="35">
        <v>873.69299999999998</v>
      </c>
      <c r="H29" s="35">
        <v>8</v>
      </c>
      <c r="I29" s="36">
        <v>0</v>
      </c>
      <c r="J29" s="36">
        <v>0</v>
      </c>
      <c r="K29" s="36">
        <v>0</v>
      </c>
      <c r="L29" s="35">
        <v>20</v>
      </c>
      <c r="M29" s="23">
        <f t="shared" si="0"/>
        <v>20</v>
      </c>
      <c r="N29" s="2"/>
    </row>
    <row r="30" spans="1:15" ht="19.5" customHeight="1" x14ac:dyDescent="0.3">
      <c r="A30" s="8">
        <v>44921</v>
      </c>
      <c r="B30" s="55"/>
      <c r="C30" s="55"/>
      <c r="D30" s="21">
        <v>213.8</v>
      </c>
      <c r="E30" s="26">
        <v>949</v>
      </c>
      <c r="F30" s="35">
        <v>213.07</v>
      </c>
      <c r="G30" s="35">
        <v>872.63300000000004</v>
      </c>
      <c r="H30" s="35">
        <v>8</v>
      </c>
      <c r="I30" s="36">
        <v>0</v>
      </c>
      <c r="J30" s="36">
        <v>0</v>
      </c>
      <c r="K30" s="36">
        <v>0</v>
      </c>
      <c r="L30" s="35">
        <v>20</v>
      </c>
      <c r="M30" s="23">
        <f t="shared" si="0"/>
        <v>20</v>
      </c>
      <c r="N30" s="2"/>
    </row>
    <row r="31" spans="1:15" ht="21" customHeight="1" x14ac:dyDescent="0.3">
      <c r="A31" s="8">
        <v>44922</v>
      </c>
      <c r="B31" s="55"/>
      <c r="C31" s="55"/>
      <c r="D31" s="21">
        <v>213.8</v>
      </c>
      <c r="E31" s="26">
        <v>949</v>
      </c>
      <c r="F31" s="36">
        <v>213.06</v>
      </c>
      <c r="G31" s="35">
        <v>871.57399999999996</v>
      </c>
      <c r="H31" s="35">
        <v>8</v>
      </c>
      <c r="I31" s="36">
        <v>0</v>
      </c>
      <c r="J31" s="36">
        <v>0</v>
      </c>
      <c r="K31" s="36">
        <v>0</v>
      </c>
      <c r="L31" s="35">
        <v>20</v>
      </c>
      <c r="M31" s="23">
        <f t="shared" si="0"/>
        <v>20</v>
      </c>
      <c r="N31" s="2"/>
    </row>
    <row r="32" spans="1:15" ht="21" customHeight="1" x14ac:dyDescent="0.3">
      <c r="A32" s="8">
        <v>44923</v>
      </c>
      <c r="B32" s="55"/>
      <c r="C32" s="55"/>
      <c r="D32" s="21">
        <v>213.8</v>
      </c>
      <c r="E32" s="26">
        <v>949</v>
      </c>
      <c r="F32" s="35">
        <v>213.04</v>
      </c>
      <c r="G32" s="35">
        <v>869.45500000000004</v>
      </c>
      <c r="H32" s="35">
        <v>0</v>
      </c>
      <c r="I32" s="36">
        <v>0</v>
      </c>
      <c r="J32" s="36">
        <v>0</v>
      </c>
      <c r="K32" s="36">
        <v>0</v>
      </c>
      <c r="L32" s="35">
        <v>25</v>
      </c>
      <c r="M32" s="23">
        <f t="shared" si="0"/>
        <v>25</v>
      </c>
      <c r="N32" s="2"/>
    </row>
    <row r="33" spans="1:15" ht="21" customHeight="1" x14ac:dyDescent="0.3">
      <c r="A33" s="8">
        <v>44924</v>
      </c>
      <c r="B33" s="55"/>
      <c r="C33" s="55"/>
      <c r="D33" s="21">
        <v>213.8</v>
      </c>
      <c r="E33" s="26">
        <v>949</v>
      </c>
      <c r="F33" s="35">
        <v>213.02</v>
      </c>
      <c r="G33" s="35">
        <v>867.33600000000001</v>
      </c>
      <c r="H33" s="35">
        <v>0</v>
      </c>
      <c r="I33" s="36">
        <v>0</v>
      </c>
      <c r="J33" s="36">
        <v>0</v>
      </c>
      <c r="K33" s="36">
        <v>0</v>
      </c>
      <c r="L33" s="35">
        <v>25</v>
      </c>
      <c r="M33" s="23">
        <f t="shared" si="0"/>
        <v>25</v>
      </c>
      <c r="N33" s="2"/>
    </row>
    <row r="34" spans="1:15" ht="21" customHeight="1" x14ac:dyDescent="0.3">
      <c r="A34" s="8">
        <v>44925</v>
      </c>
      <c r="B34" s="55"/>
      <c r="C34" s="55"/>
      <c r="D34" s="21">
        <v>213.8</v>
      </c>
      <c r="E34" s="26">
        <v>949</v>
      </c>
      <c r="F34" s="35">
        <v>213</v>
      </c>
      <c r="G34" s="35">
        <v>865.21699999999998</v>
      </c>
      <c r="H34" s="35">
        <v>0</v>
      </c>
      <c r="I34" s="36">
        <v>0</v>
      </c>
      <c r="J34" s="36">
        <v>0</v>
      </c>
      <c r="K34" s="36">
        <v>0</v>
      </c>
      <c r="L34" s="35">
        <v>25</v>
      </c>
      <c r="M34" s="23">
        <f t="shared" ref="M34" si="1">L34+K34+J34+I34</f>
        <v>25</v>
      </c>
      <c r="N34" s="2"/>
    </row>
    <row r="35" spans="1:15" ht="21" customHeight="1" x14ac:dyDescent="0.3">
      <c r="A35" s="8">
        <v>44926</v>
      </c>
      <c r="B35" s="56"/>
      <c r="C35" s="56"/>
      <c r="D35" s="22">
        <v>213.8</v>
      </c>
      <c r="E35" s="26">
        <v>949</v>
      </c>
      <c r="F35" s="35">
        <v>212.98</v>
      </c>
      <c r="G35" s="35">
        <v>863.09799999999996</v>
      </c>
      <c r="H35" s="35">
        <v>0</v>
      </c>
      <c r="I35" s="36">
        <v>0</v>
      </c>
      <c r="J35" s="36">
        <v>0</v>
      </c>
      <c r="K35" s="36">
        <v>0</v>
      </c>
      <c r="L35" s="35">
        <v>25</v>
      </c>
      <c r="M35" s="23">
        <f t="shared" si="0"/>
        <v>25</v>
      </c>
      <c r="N35" s="2"/>
    </row>
    <row r="36" spans="1:15" ht="21" customHeight="1" x14ac:dyDescent="0.3">
      <c r="A36" s="12"/>
      <c r="B36" s="13"/>
      <c r="C36" s="13"/>
      <c r="D36" s="14"/>
      <c r="E36" s="14"/>
      <c r="F36" s="15"/>
      <c r="G36" s="14"/>
      <c r="H36" s="16">
        <f>SUM(H5:H35)</f>
        <v>1125</v>
      </c>
      <c r="I36" s="16">
        <f t="shared" ref="I36:M36" si="2">SUM(I5:I35)</f>
        <v>0</v>
      </c>
      <c r="J36" s="16">
        <f t="shared" si="2"/>
        <v>560</v>
      </c>
      <c r="K36" s="16">
        <f t="shared" si="2"/>
        <v>410</v>
      </c>
      <c r="L36" s="16">
        <f t="shared" si="2"/>
        <v>310</v>
      </c>
      <c r="M36" s="16">
        <f t="shared" si="2"/>
        <v>1280</v>
      </c>
      <c r="N36" s="17"/>
      <c r="O36" s="19"/>
    </row>
    <row r="37" spans="1:15" ht="47.25" customHeight="1" x14ac:dyDescent="0.3">
      <c r="A37" s="3"/>
      <c r="B37" s="4"/>
      <c r="C37" s="5"/>
      <c r="D37" s="5"/>
      <c r="E37" s="5"/>
      <c r="F37" s="5"/>
      <c r="G37" s="5"/>
      <c r="H37" s="5">
        <f>H36/11574</f>
        <v>9.7200622083981336E-2</v>
      </c>
      <c r="I37" s="5"/>
      <c r="J37" s="5">
        <f>J36/11574</f>
        <v>4.838430965958182E-2</v>
      </c>
      <c r="K37" s="5">
        <f>K36/11574</f>
        <v>3.5424226715050973E-2</v>
      </c>
      <c r="L37" s="6"/>
      <c r="M37" s="6"/>
      <c r="N37" s="7"/>
    </row>
    <row r="38" spans="1:15" ht="15.75" customHeight="1" x14ac:dyDescent="0.3">
      <c r="A38" s="57" t="s">
        <v>9</v>
      </c>
      <c r="B38" s="52"/>
      <c r="C38" s="52"/>
      <c r="D38" s="52"/>
      <c r="J38" s="57" t="s">
        <v>10</v>
      </c>
      <c r="K38" s="52"/>
      <c r="L38" s="52"/>
      <c r="M38" s="52"/>
      <c r="N38" s="7"/>
    </row>
    <row r="39" spans="1:15" ht="15.75" customHeight="1" x14ac:dyDescent="0.3">
      <c r="A39" s="58" t="s">
        <v>16</v>
      </c>
      <c r="B39" s="52"/>
      <c r="C39" s="52"/>
      <c r="D39" s="52"/>
      <c r="J39" s="58" t="s">
        <v>16</v>
      </c>
      <c r="K39" s="52"/>
      <c r="L39" s="52"/>
      <c r="M39" s="52"/>
      <c r="N39" s="7"/>
    </row>
    <row r="40" spans="1:15" ht="15.75" customHeight="1" x14ac:dyDescent="0.3">
      <c r="A40" s="51" t="s">
        <v>17</v>
      </c>
      <c r="B40" s="52"/>
      <c r="C40" s="52"/>
      <c r="D40" s="52"/>
      <c r="J40" s="51" t="s">
        <v>17</v>
      </c>
      <c r="K40" s="52"/>
      <c r="L40" s="52"/>
      <c r="M40" s="52"/>
      <c r="N40" s="7"/>
    </row>
    <row r="41" spans="1:15" ht="15.75" customHeight="1" x14ac:dyDescent="0.3">
      <c r="N41" s="7"/>
    </row>
    <row r="42" spans="1:15" ht="15.75" customHeight="1" x14ac:dyDescent="0.3">
      <c r="N42" s="7"/>
    </row>
    <row r="43" spans="1:15" ht="15.75" customHeight="1" x14ac:dyDescent="0.3">
      <c r="N43" s="7"/>
    </row>
    <row r="44" spans="1:15" ht="15.75" customHeight="1" x14ac:dyDescent="0.3">
      <c r="N44" s="7"/>
    </row>
    <row r="45" spans="1:15" ht="15.75" customHeight="1" x14ac:dyDescent="0.3">
      <c r="N45" s="7"/>
    </row>
    <row r="46" spans="1:15" ht="15.75" customHeight="1" x14ac:dyDescent="0.3">
      <c r="N46" s="7"/>
    </row>
    <row r="47" spans="1:15" ht="15.75" customHeight="1" x14ac:dyDescent="0.3">
      <c r="N47" s="7"/>
    </row>
    <row r="48" spans="1:15" ht="15.75" customHeight="1" x14ac:dyDescent="0.3">
      <c r="N48" s="7"/>
    </row>
    <row r="49" spans="14:14" ht="15.75" customHeight="1" x14ac:dyDescent="0.3">
      <c r="N49" s="7"/>
    </row>
    <row r="50" spans="14:14" ht="15.75" customHeight="1" x14ac:dyDescent="0.3">
      <c r="N50" s="7"/>
    </row>
    <row r="51" spans="14:14" ht="15.75" customHeight="1" x14ac:dyDescent="0.3">
      <c r="N51" s="7"/>
    </row>
    <row r="52" spans="14:14" ht="15.75" customHeight="1" x14ac:dyDescent="0.3">
      <c r="N52" s="7"/>
    </row>
    <row r="53" spans="14:14" ht="15.75" customHeight="1" x14ac:dyDescent="0.3">
      <c r="N53" s="7"/>
    </row>
    <row r="54" spans="14:14" ht="15.75" customHeight="1" x14ac:dyDescent="0.3">
      <c r="N54" s="7"/>
    </row>
    <row r="55" spans="14:14" ht="15.75" customHeight="1" x14ac:dyDescent="0.3">
      <c r="N55" s="7"/>
    </row>
    <row r="56" spans="14:14" ht="15.75" customHeight="1" x14ac:dyDescent="0.3">
      <c r="N56" s="7"/>
    </row>
    <row r="57" spans="14:14" ht="15.75" customHeight="1" x14ac:dyDescent="0.3">
      <c r="N57" s="7"/>
    </row>
    <row r="58" spans="14:14" ht="15.75" customHeight="1" x14ac:dyDescent="0.3">
      <c r="N58" s="7"/>
    </row>
    <row r="59" spans="14:14" ht="15.75" customHeight="1" x14ac:dyDescent="0.3">
      <c r="N59" s="7"/>
    </row>
    <row r="60" spans="14:14" ht="15.75" customHeight="1" x14ac:dyDescent="0.3">
      <c r="N60" s="7"/>
    </row>
    <row r="61" spans="14:14" ht="15.75" customHeight="1" x14ac:dyDescent="0.3">
      <c r="N61" s="7"/>
    </row>
    <row r="62" spans="14:14" ht="15.75" customHeight="1" x14ac:dyDescent="0.3">
      <c r="N62" s="7"/>
    </row>
    <row r="63" spans="14:14" ht="15.75" customHeight="1" x14ac:dyDescent="0.3">
      <c r="N63" s="7"/>
    </row>
    <row r="64" spans="14:14" ht="15.75" customHeight="1" x14ac:dyDescent="0.3">
      <c r="N64" s="7"/>
    </row>
    <row r="65" spans="14:14" ht="15.75" customHeight="1" x14ac:dyDescent="0.3">
      <c r="N65" s="7"/>
    </row>
    <row r="66" spans="14:14" ht="15.75" customHeight="1" x14ac:dyDescent="0.3">
      <c r="N66" s="7"/>
    </row>
    <row r="67" spans="14:14" ht="15.75" customHeight="1" x14ac:dyDescent="0.3">
      <c r="N67" s="7"/>
    </row>
    <row r="68" spans="14:14" ht="15.75" customHeight="1" x14ac:dyDescent="0.3">
      <c r="N68" s="7"/>
    </row>
    <row r="69" spans="14:14" ht="15.75" customHeight="1" x14ac:dyDescent="0.3">
      <c r="N69" s="7"/>
    </row>
    <row r="70" spans="14:14" ht="15.75" customHeight="1" x14ac:dyDescent="0.3">
      <c r="N70" s="7"/>
    </row>
    <row r="71" spans="14:14" ht="15.75" customHeight="1" x14ac:dyDescent="0.3">
      <c r="N71" s="7"/>
    </row>
    <row r="72" spans="14:14" ht="15.75" customHeight="1" x14ac:dyDescent="0.3">
      <c r="N72" s="7"/>
    </row>
    <row r="73" spans="14:14" ht="15.75" customHeight="1" x14ac:dyDescent="0.3">
      <c r="N73" s="7"/>
    </row>
    <row r="74" spans="14:14" ht="15.75" customHeight="1" x14ac:dyDescent="0.3">
      <c r="N74" s="7"/>
    </row>
    <row r="75" spans="14:14" ht="15.75" customHeight="1" x14ac:dyDescent="0.3">
      <c r="N75" s="7"/>
    </row>
    <row r="76" spans="14:14" ht="15.75" customHeight="1" x14ac:dyDescent="0.3">
      <c r="N76" s="7"/>
    </row>
    <row r="77" spans="14:14" ht="15.75" customHeight="1" x14ac:dyDescent="0.3">
      <c r="N77" s="7"/>
    </row>
    <row r="78" spans="14:14" ht="15.75" customHeight="1" x14ac:dyDescent="0.3">
      <c r="N78" s="7"/>
    </row>
    <row r="79" spans="14:14" ht="15.75" customHeight="1" x14ac:dyDescent="0.3">
      <c r="N79" s="7"/>
    </row>
    <row r="80" spans="14:14" ht="15.75" customHeight="1" x14ac:dyDescent="0.3">
      <c r="N80" s="7"/>
    </row>
    <row r="81" spans="14:14" ht="15.75" customHeight="1" x14ac:dyDescent="0.3">
      <c r="N81" s="7"/>
    </row>
    <row r="82" spans="14:14" ht="15.75" customHeight="1" x14ac:dyDescent="0.3">
      <c r="N82" s="7"/>
    </row>
    <row r="83" spans="14:14" ht="15.75" customHeight="1" x14ac:dyDescent="0.3">
      <c r="N83" s="7"/>
    </row>
    <row r="84" spans="14:14" ht="15.75" customHeight="1" x14ac:dyDescent="0.3">
      <c r="N84" s="7"/>
    </row>
    <row r="85" spans="14:14" ht="15.75" customHeight="1" x14ac:dyDescent="0.3">
      <c r="N85" s="7"/>
    </row>
    <row r="86" spans="14:14" ht="15.75" customHeight="1" x14ac:dyDescent="0.3">
      <c r="N86" s="7"/>
    </row>
    <row r="87" spans="14:14" ht="15.75" customHeight="1" x14ac:dyDescent="0.3">
      <c r="N87" s="7"/>
    </row>
    <row r="88" spans="14:14" ht="15.75" customHeight="1" x14ac:dyDescent="0.3">
      <c r="N88" s="7"/>
    </row>
    <row r="89" spans="14:14" ht="15.75" customHeight="1" x14ac:dyDescent="0.3">
      <c r="N89" s="7"/>
    </row>
    <row r="90" spans="14:14" ht="15.75" customHeight="1" x14ac:dyDescent="0.3">
      <c r="N90" s="7"/>
    </row>
    <row r="91" spans="14:14" ht="15.75" customHeight="1" x14ac:dyDescent="0.3">
      <c r="N91" s="7"/>
    </row>
    <row r="92" spans="14:14" ht="15.75" customHeight="1" x14ac:dyDescent="0.3">
      <c r="N92" s="7"/>
    </row>
    <row r="93" spans="14:14" ht="15.75" customHeight="1" x14ac:dyDescent="0.3">
      <c r="N93" s="7"/>
    </row>
    <row r="94" spans="14:14" ht="15.75" customHeight="1" x14ac:dyDescent="0.3">
      <c r="N94" s="7"/>
    </row>
    <row r="95" spans="14:14" ht="15.75" customHeight="1" x14ac:dyDescent="0.3">
      <c r="N95" s="7"/>
    </row>
    <row r="96" spans="14:14" ht="15.75" customHeight="1" x14ac:dyDescent="0.3">
      <c r="N96" s="7"/>
    </row>
    <row r="97" spans="14:14" ht="15.75" customHeight="1" x14ac:dyDescent="0.3">
      <c r="N97" s="7"/>
    </row>
    <row r="98" spans="14:14" ht="15.75" customHeight="1" x14ac:dyDescent="0.3">
      <c r="N98" s="7"/>
    </row>
    <row r="99" spans="14:14" ht="15.75" customHeight="1" x14ac:dyDescent="0.3">
      <c r="N99" s="7"/>
    </row>
    <row r="100" spans="14:14" ht="15.75" customHeight="1" x14ac:dyDescent="0.3">
      <c r="N100" s="7"/>
    </row>
    <row r="101" spans="14:14" ht="15.75" customHeight="1" x14ac:dyDescent="0.3">
      <c r="N101" s="7"/>
    </row>
    <row r="102" spans="14:14" ht="15.75" customHeight="1" x14ac:dyDescent="0.3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  <mergeCell ref="E3:E4"/>
  </mergeCells>
  <pageMargins left="0.7" right="0.7" top="0.75" bottom="0.75" header="0" footer="0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 2022 </vt:lpstr>
      <vt:lpstr>FEBRUARY 2022</vt:lpstr>
      <vt:lpstr>MARCH 2022</vt:lpstr>
      <vt:lpstr>APRIL 2022</vt:lpstr>
      <vt:lpstr>MAY 2022</vt:lpstr>
      <vt:lpstr>JUNE 2022</vt:lpstr>
      <vt:lpstr>JULY 2022 </vt:lpstr>
      <vt:lpstr>AUGUST 2022</vt:lpstr>
      <vt:lpstr>SEPTEMBER 2022</vt:lpstr>
      <vt:lpstr>OCTOBER 2022</vt:lpstr>
      <vt:lpstr>NOVEMBER 2022 </vt:lpstr>
      <vt:lpstr>DECEMBER 2022</vt:lpstr>
      <vt:lpstr>'AUGUST 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Praveen Sagar</cp:lastModifiedBy>
  <cp:lastPrinted>2024-02-02T06:09:12Z</cp:lastPrinted>
  <dcterms:created xsi:type="dcterms:W3CDTF">2022-06-06T06:49:54Z</dcterms:created>
  <dcterms:modified xsi:type="dcterms:W3CDTF">2026-01-02T17:34:57Z</dcterms:modified>
</cp:coreProperties>
</file>