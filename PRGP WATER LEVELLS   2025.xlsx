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Peddagedda\Water Levels\Monthly Water Levels\MONTHLY WATER LEVELS\"/>
    </mc:Choice>
  </mc:AlternateContent>
  <xr:revisionPtr revIDLastSave="0" documentId="13_ncr:1_{26188D18-B31F-4C77-B90F-7D16A6317010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EP 2025" sheetId="9" r:id="rId1"/>
    <sheet name="AUG 2025" sheetId="8" r:id="rId2"/>
    <sheet name="July 2025" sheetId="6" r:id="rId3"/>
    <sheet name="June 2025" sheetId="7" r:id="rId4"/>
    <sheet name="May 2025" sheetId="5" r:id="rId5"/>
    <sheet name="APRIL 2025" sheetId="4" r:id="rId6"/>
    <sheet name="March 2025" sheetId="3" r:id="rId7"/>
    <sheet name="FEBRUARY 2025" sheetId="2" r:id="rId8"/>
    <sheet name="JANUARY 2025" sheetId="1" r:id="rId9"/>
  </sheets>
  <definedNames>
    <definedName name="_xlnm.Print_Area" localSheetId="1">'AUG 2025'!$A$1:$M$39</definedName>
    <definedName name="_xlnm.Print_Area" localSheetId="2">'July 2025'!$A$1:$M$39</definedName>
    <definedName name="_xlnm.Print_Area" localSheetId="0">'SEP 2025'!$A$1:$M$38</definedName>
  </definedNames>
  <calcPr calcId="191029"/>
</workbook>
</file>

<file path=xl/calcChain.xml><?xml version="1.0" encoding="utf-8"?>
<calcChain xmlns="http://schemas.openxmlformats.org/spreadsheetml/2006/main">
  <c r="Q28" i="9" l="1"/>
  <c r="N18" i="9"/>
  <c r="N25" i="9"/>
  <c r="P25" i="9" s="1"/>
  <c r="M63" i="9"/>
  <c r="M64" i="9"/>
  <c r="Q68" i="9"/>
  <c r="O65" i="9"/>
  <c r="P49" i="9"/>
  <c r="O30" i="9"/>
  <c r="P31" i="9"/>
  <c r="P33" i="9" s="1"/>
  <c r="R35" i="9"/>
  <c r="P18" i="9"/>
  <c r="N11" i="9"/>
  <c r="P11" i="9" s="1"/>
  <c r="Q35" i="8"/>
  <c r="Q28" i="8"/>
  <c r="Q21" i="8"/>
  <c r="P35" i="8"/>
  <c r="P28" i="8"/>
  <c r="P21" i="8"/>
  <c r="N35" i="8"/>
  <c r="N28" i="8"/>
  <c r="N21" i="8"/>
  <c r="N19" i="8"/>
  <c r="O20" i="8"/>
  <c r="L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35" i="6" l="1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35" i="5" l="1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5" i="5"/>
  <c r="L14" i="5"/>
  <c r="L13" i="5"/>
  <c r="L12" i="5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32" i="2" l="1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3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L5" i="1"/>
</calcChain>
</file>

<file path=xl/sharedStrings.xml><?xml version="1.0" encoding="utf-8"?>
<sst xmlns="http://schemas.openxmlformats.org/spreadsheetml/2006/main" count="209" uniqueCount="34">
  <si>
    <t>Date</t>
  </si>
  <si>
    <t>Name of the Project</t>
  </si>
  <si>
    <t>Name of the River</t>
  </si>
  <si>
    <t>FRL (in mts)</t>
  </si>
  <si>
    <t>Present Water Level (in Mts)</t>
  </si>
  <si>
    <t>Inflows (in Cusecs)</t>
  </si>
  <si>
    <t>Outflows (in Cusecs)</t>
  </si>
  <si>
    <t>Total Out flows (in Cusecs)</t>
  </si>
  <si>
    <t>Rainfall</t>
  </si>
  <si>
    <t>Assistant Executive Engineer</t>
  </si>
  <si>
    <t>Deputy Executive Engineer</t>
  </si>
  <si>
    <t>PEDDAGEDDA RESERVOIR PROJECT</t>
  </si>
  <si>
    <t>VEGAVATHI RIVER</t>
  </si>
  <si>
    <t>RIVER SLUICE IN CUSECS</t>
  </si>
  <si>
    <t>LOSS</t>
  </si>
  <si>
    <t>SPILLWAY</t>
  </si>
  <si>
    <t>PP Sub Division 2</t>
  </si>
  <si>
    <t xml:space="preserve">Saluru </t>
  </si>
  <si>
    <t>RIGHT HEAD SLUICE IN CUSECS</t>
  </si>
  <si>
    <t>Present Capacity (in Mcft)</t>
  </si>
  <si>
    <t>RIVER DISCHARGE PARTICULARS OF PEDDAGEDDA RESERVOIR PROJECT FOR THE MONTH OF JANUARY, 2025</t>
  </si>
  <si>
    <t>Note: As oral instructions received from Smt Gummidi Sndhya Rani Garu Hon'Ble Minister for Women &amp; Child Welfare Tribal Welfare and instructions received  from Heigher authorities water released for Rabi crops on 10/01/2025.</t>
  </si>
  <si>
    <t>RIVER DISCHARGE PARTICULARS OF PEDDAGEDDA RESERVOIR PROJECT FOR THE MONTH OF FEBRUARY, 2025</t>
  </si>
  <si>
    <t>RIVER DISCHARGE PARTICULARS OF PEDDAGEDDA RESERVOIR PROJECT FOR THE MONTH OF March, 2025</t>
  </si>
  <si>
    <t>RIVER DISCHARGE PARTICULARS OF PEDDAGEDDA RESERVOIR PROJECT FOR THE MONTH OF APRIL, 2025</t>
  </si>
  <si>
    <t>RIVER DISCHARGE PARTICULARS OF PEDDAGEDDA RESERVOIR PROJECT FOR THE MONTH OF MAY, 2025</t>
  </si>
  <si>
    <r>
      <rPr>
        <b/>
        <sz val="11"/>
        <rFont val="Calibri"/>
        <family val="2"/>
      </rPr>
      <t>Note:</t>
    </r>
    <r>
      <rPr>
        <sz val="11"/>
        <rFont val="Calibri"/>
        <family val="2"/>
      </rPr>
      <t xml:space="preserve"> 1)As oral instructions received from Smt Gummidi Sndhya Rani Garu Hon'Ble Minister for Women &amp; Child Welfare Tribal Welfare and instructions received  from Heigher authorities water released for Rabi crops on 10/01/2025 and closed on 03/05/2025.</t>
    </r>
  </si>
  <si>
    <t>2)As oral instructions received from Smt Gummidi Sndhya Rani Garu Hon'Ble Minister for Women &amp; Child Welfare Tribal Welfare and instructions received  from Heigher authorities water released for local festivals in Pachipenta and Salur Mandals  from 11/05/2025 to 22/05/2025.</t>
  </si>
  <si>
    <t>RIVER DISCHARGE PARTICULARS OF PEDDAGEDDA RESERVOIR PROJECT FOR THE MONTH OF JULY, 2025</t>
  </si>
  <si>
    <t>PP Sub Division No.2, Salur</t>
  </si>
  <si>
    <t>RIVER DISCHARGE PARTICULARS OF PEDDAGEDDA RESERVOIR PROJECT FOR THE MONTH OF JUNE, 2025</t>
  </si>
  <si>
    <t>RIVER DISCHARGE PARTICULARS OF PEDDAGEDDA RESERVOIR PROJECT FOR THE MONTH OFAUGUST, 2025</t>
  </si>
  <si>
    <t xml:space="preserve"> </t>
  </si>
  <si>
    <t>RIVER DISCHARGE PARTICULARS OF PEDDAGEDDA RESERVOIR PROJECT FOR THE MONTH OFSEPTEMBER,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</si>
</sst>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dd/mm/yyyy;@"/>
  </numFmts>
  <fonts count="1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sz val="14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E87031"/>
      </left>
      <right style="medium">
        <color rgb="FFE87031"/>
      </right>
      <top style="medium">
        <color rgb="FFE87031"/>
      </top>
      <bottom/>
      <diagonal/>
    </border>
    <border>
      <left style="medium">
        <color rgb="FFE87031"/>
      </left>
      <right style="medium">
        <color rgb="FFE87031"/>
      </right>
      <top/>
      <bottom style="medium">
        <color rgb="FFED7C31"/>
      </bottom>
      <diagonal/>
    </border>
    <border>
      <left style="medium">
        <color rgb="FFE87031"/>
      </left>
      <right style="medium">
        <color rgb="FFE87031"/>
      </right>
      <top/>
      <bottom/>
      <diagonal/>
    </border>
    <border>
      <left style="medium">
        <color rgb="FF000000"/>
      </left>
      <right style="medium">
        <color rgb="FFE87031"/>
      </right>
      <top/>
      <bottom style="medium">
        <color rgb="FFED7C31"/>
      </bottom>
      <diagonal/>
    </border>
    <border>
      <left style="medium">
        <color rgb="FFE87031"/>
      </left>
      <right style="medium">
        <color rgb="FFE87031"/>
      </right>
      <top style="medium">
        <color rgb="FFED7C31"/>
      </top>
      <bottom/>
      <diagonal/>
    </border>
    <border>
      <left style="medium">
        <color rgb="FF000000"/>
      </left>
      <right style="medium">
        <color rgb="FFE87031"/>
      </right>
      <top style="medium">
        <color rgb="FFED7C31"/>
      </top>
      <bottom/>
      <diagonal/>
    </border>
    <border>
      <left style="medium">
        <color rgb="FFE87031"/>
      </left>
      <right style="medium">
        <color rgb="FFE87031"/>
      </right>
      <top style="medium">
        <color rgb="FFE87031"/>
      </top>
      <bottom style="medium">
        <color rgb="FFE87031"/>
      </bottom>
      <diagonal/>
    </border>
    <border>
      <left style="medium">
        <color rgb="FFE87031"/>
      </left>
      <right style="medium">
        <color rgb="FFE87031"/>
      </right>
      <top/>
      <bottom style="medium">
        <color rgb="FFE8703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ED7C31"/>
      </bottom>
      <diagonal/>
    </border>
    <border>
      <left style="medium">
        <color rgb="FF000000"/>
      </left>
      <right style="medium">
        <color rgb="FF000000"/>
      </right>
      <top style="medium">
        <color rgb="FFED7C31"/>
      </top>
      <bottom/>
      <diagonal/>
    </border>
    <border>
      <left style="medium">
        <color rgb="FFE87031"/>
      </left>
      <right style="medium">
        <color rgb="FF000000"/>
      </right>
      <top/>
      <bottom style="medium">
        <color rgb="FFED7C31"/>
      </bottom>
      <diagonal/>
    </border>
    <border>
      <left style="medium">
        <color rgb="FFE87031"/>
      </left>
      <right style="medium">
        <color rgb="FF000000"/>
      </right>
      <top style="medium">
        <color rgb="FFED7C31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165" fontId="5" fillId="0" borderId="1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5" fillId="0" borderId="1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64" fontId="6" fillId="0" borderId="11" xfId="0" quotePrefix="1" applyNumberFormat="1" applyFont="1" applyBorder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0" fontId="3" fillId="0" borderId="11" xfId="0" applyFont="1" applyBorder="1" applyAlignment="1">
      <alignment horizontal="center" vertical="center" wrapText="1"/>
    </xf>
    <xf numFmtId="0" fontId="0" fillId="0" borderId="0" xfId="0"/>
    <xf numFmtId="164" fontId="6" fillId="0" borderId="17" xfId="0" quotePrefix="1" applyNumberFormat="1" applyFont="1" applyBorder="1" applyAlignment="1">
      <alignment horizontal="center" vertical="center" wrapText="1"/>
    </xf>
    <xf numFmtId="164" fontId="6" fillId="0" borderId="16" xfId="0" quotePrefix="1" applyNumberFormat="1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Fill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1" fontId="6" fillId="0" borderId="11" xfId="0" quotePrefix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166" fontId="2" fillId="0" borderId="11" xfId="0" applyNumberFormat="1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/>
    </xf>
    <xf numFmtId="166" fontId="2" fillId="0" borderId="19" xfId="0" applyNumberFormat="1" applyFont="1" applyBorder="1" applyAlignment="1">
      <alignment horizontal="center" vertical="center"/>
    </xf>
    <xf numFmtId="164" fontId="6" fillId="0" borderId="19" xfId="0" quotePrefix="1" applyNumberFormat="1" applyFont="1" applyBorder="1" applyAlignment="1">
      <alignment horizontal="center" vertical="center" wrapText="1"/>
    </xf>
    <xf numFmtId="1" fontId="6" fillId="0" borderId="19" xfId="0" applyNumberFormat="1" applyFont="1" applyBorder="1" applyAlignment="1">
      <alignment horizontal="center" vertical="center" wrapText="1"/>
    </xf>
    <xf numFmtId="1" fontId="6" fillId="0" borderId="19" xfId="0" quotePrefix="1" applyNumberFormat="1" applyFont="1" applyBorder="1" applyAlignment="1">
      <alignment horizontal="center" vertical="center" wrapText="1"/>
    </xf>
    <xf numFmtId="165" fontId="2" fillId="0" borderId="19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6" fontId="2" fillId="0" borderId="13" xfId="0" applyNumberFormat="1" applyFont="1" applyBorder="1" applyAlignment="1">
      <alignment horizontal="center" vertical="center"/>
    </xf>
    <xf numFmtId="164" fontId="6" fillId="0" borderId="13" xfId="0" quotePrefix="1" applyNumberFormat="1" applyFont="1" applyBorder="1" applyAlignment="1">
      <alignment horizontal="center" vertical="center" wrapText="1"/>
    </xf>
    <xf numFmtId="1" fontId="6" fillId="0" borderId="13" xfId="0" applyNumberFormat="1" applyFont="1" applyBorder="1" applyAlignment="1">
      <alignment horizontal="center" vertical="center" wrapText="1"/>
    </xf>
    <xf numFmtId="1" fontId="6" fillId="0" borderId="13" xfId="0" quotePrefix="1" applyNumberFormat="1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/>
    </xf>
    <xf numFmtId="164" fontId="0" fillId="0" borderId="13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165" fontId="2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4" fontId="6" fillId="0" borderId="22" xfId="0" quotePrefix="1" applyNumberFormat="1" applyFont="1" applyBorder="1" applyAlignment="1">
      <alignment horizontal="center" vertical="center" wrapText="1"/>
    </xf>
    <xf numFmtId="164" fontId="6" fillId="0" borderId="24" xfId="0" quotePrefix="1" applyNumberFormat="1" applyFont="1" applyBorder="1" applyAlignment="1">
      <alignment horizontal="center" vertical="center" wrapText="1"/>
    </xf>
    <xf numFmtId="1" fontId="6" fillId="0" borderId="20" xfId="0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10" fillId="3" borderId="3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0" borderId="12" xfId="0" applyFont="1" applyBorder="1"/>
    <xf numFmtId="164" fontId="2" fillId="0" borderId="13" xfId="0" applyNumberFormat="1" applyFont="1" applyBorder="1" applyAlignment="1">
      <alignment horizontal="center" vertical="center" textRotation="90"/>
    </xf>
    <xf numFmtId="166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2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21" xfId="0" applyFont="1" applyBorder="1"/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1" fillId="0" borderId="13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23" xfId="0" applyFont="1" applyBorder="1"/>
    <xf numFmtId="0" fontId="2" fillId="0" borderId="10" xfId="0" applyFont="1" applyBorder="1"/>
    <xf numFmtId="164" fontId="2" fillId="0" borderId="7" xfId="0" applyNumberFormat="1" applyFont="1" applyBorder="1" applyAlignment="1">
      <alignment horizontal="center" vertical="center" textRotation="90"/>
    </xf>
    <xf numFmtId="0" fontId="2" fillId="0" borderId="15" xfId="0" applyFont="1" applyBorder="1"/>
    <xf numFmtId="1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40</xdr:row>
      <xdr:rowOff>0</xdr:rowOff>
    </xdr:from>
    <xdr:to>
      <xdr:col>3</xdr:col>
      <xdr:colOff>301625</xdr:colOff>
      <xdr:row>42</xdr:row>
      <xdr:rowOff>63500</xdr:rowOff>
    </xdr:to>
    <xdr:grpSp>
      <xdr:nvGrpSpPr>
        <xdr:cNvPr id="2" name="docshapegroup37">
          <a:extLst>
            <a:ext uri="{FF2B5EF4-FFF2-40B4-BE49-F238E27FC236}">
              <a16:creationId xmlns:a16="http://schemas.microsoft.com/office/drawing/2014/main" id="{968FDDB0-DDE0-4F9A-9833-3AB0C98F8F80}"/>
            </a:ext>
          </a:extLst>
        </xdr:cNvPr>
        <xdr:cNvGrpSpPr>
          <a:grpSpLocks/>
        </xdr:cNvGrpSpPr>
      </xdr:nvGrpSpPr>
      <xdr:grpSpPr bwMode="auto">
        <a:xfrm>
          <a:off x="1886510" y="12270441"/>
          <a:ext cx="6350" cy="466912"/>
          <a:chOff x="2966" y="-1"/>
          <a:chExt cx="10" cy="730"/>
        </a:xfrm>
      </xdr:grpSpPr>
      <xdr:pic>
        <xdr:nvPicPr>
          <xdr:cNvPr id="3" name="docshape38">
            <a:extLst>
              <a:ext uri="{FF2B5EF4-FFF2-40B4-BE49-F238E27FC236}">
                <a16:creationId xmlns:a16="http://schemas.microsoft.com/office/drawing/2014/main" id="{A2A7E89A-295C-4C20-B45A-9FE57A078268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66" y="-1"/>
            <a:ext cx="10" cy="7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</xdr:col>
      <xdr:colOff>295275</xdr:colOff>
      <xdr:row>56</xdr:row>
      <xdr:rowOff>0</xdr:rowOff>
    </xdr:from>
    <xdr:to>
      <xdr:col>3</xdr:col>
      <xdr:colOff>301625</xdr:colOff>
      <xdr:row>58</xdr:row>
      <xdr:rowOff>63500</xdr:rowOff>
    </xdr:to>
    <xdr:grpSp>
      <xdr:nvGrpSpPr>
        <xdr:cNvPr id="4" name=" 684">
          <a:extLst>
            <a:ext uri="{FF2B5EF4-FFF2-40B4-BE49-F238E27FC236}">
              <a16:creationId xmlns:a16="http://schemas.microsoft.com/office/drawing/2014/main" id="{DDFC53A0-1BDB-45F0-ADDF-982A9A888428}"/>
            </a:ext>
          </a:extLst>
        </xdr:cNvPr>
        <xdr:cNvGrpSpPr>
          <a:grpSpLocks/>
        </xdr:cNvGrpSpPr>
      </xdr:nvGrpSpPr>
      <xdr:grpSpPr bwMode="auto">
        <a:xfrm>
          <a:off x="1886510" y="15497735"/>
          <a:ext cx="6350" cy="466912"/>
          <a:chOff x="2966" y="-1"/>
          <a:chExt cx="10" cy="730"/>
        </a:xfrm>
      </xdr:grpSpPr>
      <xdr:pic>
        <xdr:nvPicPr>
          <xdr:cNvPr id="5" name="docshape38">
            <a:extLst>
              <a:ext uri="{FF2B5EF4-FFF2-40B4-BE49-F238E27FC236}">
                <a16:creationId xmlns:a16="http://schemas.microsoft.com/office/drawing/2014/main" id="{7FCF4531-52F7-48A6-9555-49059039202C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66" y="-1"/>
            <a:ext cx="10" cy="7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AB4A-CBDE-41AF-AAC3-FC7DF19714A2}">
  <dimension ref="A1:R101"/>
  <sheetViews>
    <sheetView tabSelected="1" view="pageBreakPreview" zoomScale="85" zoomScaleNormal="100" zoomScaleSheetLayoutView="85" workbookViewId="0">
      <pane xSplit="5" ySplit="4" topLeftCell="F26" activePane="bottomRight" state="frozen"/>
      <selection pane="topRight" activeCell="F1" sqref="F1"/>
      <selection pane="bottomLeft" activeCell="A5" sqref="A5"/>
      <selection pane="bottomRight" activeCell="A35" sqref="A35:M35"/>
    </sheetView>
  </sheetViews>
  <sheetFormatPr defaultColWidth="14.42578125" defaultRowHeight="15" customHeight="1"/>
  <cols>
    <col min="1" max="1" width="12.42578125" style="57" customWidth="1"/>
    <col min="2" max="2" width="6.28515625" style="57" customWidth="1"/>
    <col min="3" max="3" width="5.140625" style="57" customWidth="1"/>
    <col min="4" max="4" width="10" style="57" customWidth="1"/>
    <col min="5" max="6" width="8.7109375" style="57" customWidth="1"/>
    <col min="7" max="7" width="9.85546875" style="57" customWidth="1"/>
    <col min="8" max="8" width="8.7109375" style="57" customWidth="1"/>
    <col min="9" max="9" width="8.42578125" style="57" customWidth="1"/>
    <col min="10" max="10" width="8.7109375" style="57" customWidth="1"/>
    <col min="11" max="11" width="6.42578125" style="57" customWidth="1"/>
    <col min="12" max="12" width="8.5703125" style="57" customWidth="1"/>
    <col min="13" max="13" width="8.85546875" style="57" customWidth="1"/>
    <col min="14" max="16384" width="14.42578125" style="57"/>
  </cols>
  <sheetData>
    <row r="1" spans="1:16" ht="14.25" customHeight="1">
      <c r="A1" s="93" t="s">
        <v>33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6" ht="15.75" customHeigh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6" ht="14.25" customHeight="1">
      <c r="A3" s="99" t="s">
        <v>0</v>
      </c>
      <c r="B3" s="100" t="s">
        <v>1</v>
      </c>
      <c r="C3" s="100" t="s">
        <v>2</v>
      </c>
      <c r="D3" s="99" t="s">
        <v>3</v>
      </c>
      <c r="E3" s="99" t="s">
        <v>4</v>
      </c>
      <c r="F3" s="99" t="s">
        <v>19</v>
      </c>
      <c r="G3" s="99" t="s">
        <v>5</v>
      </c>
      <c r="H3" s="101" t="s">
        <v>6</v>
      </c>
      <c r="I3" s="102"/>
      <c r="J3" s="102"/>
      <c r="K3" s="102"/>
      <c r="L3" s="103" t="s">
        <v>7</v>
      </c>
      <c r="M3" s="89" t="s">
        <v>8</v>
      </c>
    </row>
    <row r="4" spans="1:16" ht="51.75" customHeight="1">
      <c r="A4" s="90"/>
      <c r="B4" s="90"/>
      <c r="C4" s="90"/>
      <c r="D4" s="90"/>
      <c r="E4" s="90"/>
      <c r="F4" s="90"/>
      <c r="G4" s="90"/>
      <c r="H4" s="59" t="s">
        <v>15</v>
      </c>
      <c r="I4" s="59" t="s">
        <v>13</v>
      </c>
      <c r="J4" s="59" t="s">
        <v>18</v>
      </c>
      <c r="K4" s="59" t="s">
        <v>14</v>
      </c>
      <c r="L4" s="90"/>
      <c r="M4" s="90"/>
    </row>
    <row r="5" spans="1:16" s="54" customFormat="1" ht="24.75" customHeight="1">
      <c r="A5" s="40">
        <v>45901</v>
      </c>
      <c r="B5" s="91" t="s">
        <v>11</v>
      </c>
      <c r="C5" s="91" t="s">
        <v>12</v>
      </c>
      <c r="D5" s="65">
        <v>213.8</v>
      </c>
      <c r="E5" s="61">
        <v>212.38</v>
      </c>
      <c r="F5" s="61">
        <v>797.58</v>
      </c>
      <c r="G5" s="61">
        <v>104</v>
      </c>
      <c r="H5" s="61">
        <v>0</v>
      </c>
      <c r="I5" s="61">
        <v>70</v>
      </c>
      <c r="J5" s="61">
        <v>70</v>
      </c>
      <c r="K5" s="67">
        <v>0</v>
      </c>
      <c r="L5" s="42">
        <f>H5+I5+J5+K5</f>
        <v>140</v>
      </c>
      <c r="M5" s="53"/>
    </row>
    <row r="6" spans="1:16" s="54" customFormat="1" ht="24.75" customHeight="1">
      <c r="A6" s="40">
        <v>45902</v>
      </c>
      <c r="B6" s="91"/>
      <c r="C6" s="91"/>
      <c r="D6" s="65">
        <v>213.8</v>
      </c>
      <c r="E6" s="61">
        <v>212.41</v>
      </c>
      <c r="F6" s="61">
        <v>803.86</v>
      </c>
      <c r="G6" s="61">
        <v>213</v>
      </c>
      <c r="H6" s="61">
        <v>0</v>
      </c>
      <c r="I6" s="61">
        <v>70</v>
      </c>
      <c r="J6" s="61">
        <v>70</v>
      </c>
      <c r="K6" s="67">
        <v>0</v>
      </c>
      <c r="L6" s="42">
        <f t="shared" ref="L6:L34" si="0">H6+I6+J6+K6</f>
        <v>140</v>
      </c>
      <c r="M6" s="53"/>
    </row>
    <row r="7" spans="1:16" s="54" customFormat="1" ht="24.75" customHeight="1">
      <c r="A7" s="40">
        <v>45903</v>
      </c>
      <c r="B7" s="91"/>
      <c r="C7" s="91"/>
      <c r="D7" s="65">
        <v>213.8</v>
      </c>
      <c r="E7" s="61">
        <v>212.49</v>
      </c>
      <c r="F7" s="61">
        <v>812.22</v>
      </c>
      <c r="G7" s="61">
        <v>237</v>
      </c>
      <c r="H7" s="61">
        <v>0</v>
      </c>
      <c r="I7" s="61">
        <v>70</v>
      </c>
      <c r="J7" s="61">
        <v>70</v>
      </c>
      <c r="K7" s="67">
        <v>0</v>
      </c>
      <c r="L7" s="42">
        <f t="shared" si="0"/>
        <v>140</v>
      </c>
      <c r="M7" s="53"/>
    </row>
    <row r="8" spans="1:16" s="54" customFormat="1" ht="24.75" customHeight="1">
      <c r="A8" s="40">
        <v>45904</v>
      </c>
      <c r="B8" s="91"/>
      <c r="C8" s="91"/>
      <c r="D8" s="65">
        <v>213.8</v>
      </c>
      <c r="E8" s="61">
        <v>212.53</v>
      </c>
      <c r="F8" s="61">
        <v>816.4</v>
      </c>
      <c r="G8" s="61">
        <v>189</v>
      </c>
      <c r="H8" s="61">
        <v>0</v>
      </c>
      <c r="I8" s="61">
        <v>70</v>
      </c>
      <c r="J8" s="61">
        <v>70</v>
      </c>
      <c r="K8" s="67">
        <v>0</v>
      </c>
      <c r="L8" s="42">
        <f t="shared" si="0"/>
        <v>140</v>
      </c>
      <c r="M8" s="53"/>
    </row>
    <row r="9" spans="1:16" s="54" customFormat="1" ht="24.75" customHeight="1">
      <c r="A9" s="40">
        <v>45905</v>
      </c>
      <c r="B9" s="91"/>
      <c r="C9" s="91"/>
      <c r="D9" s="65">
        <v>213.8</v>
      </c>
      <c r="E9" s="61">
        <v>212.54</v>
      </c>
      <c r="F9" s="61">
        <v>817.45</v>
      </c>
      <c r="G9" s="61">
        <v>153</v>
      </c>
      <c r="H9" s="61">
        <v>0</v>
      </c>
      <c r="I9" s="61">
        <v>70</v>
      </c>
      <c r="J9" s="61">
        <v>70</v>
      </c>
      <c r="K9" s="67">
        <v>0</v>
      </c>
      <c r="L9" s="42">
        <f t="shared" si="0"/>
        <v>140</v>
      </c>
      <c r="M9" s="53"/>
    </row>
    <row r="10" spans="1:16" s="54" customFormat="1" ht="24.75" customHeight="1">
      <c r="A10" s="40">
        <v>45906</v>
      </c>
      <c r="B10" s="91"/>
      <c r="C10" s="91"/>
      <c r="D10" s="65">
        <v>213.8</v>
      </c>
      <c r="E10" s="61">
        <v>212.58</v>
      </c>
      <c r="F10" s="61">
        <v>821.63</v>
      </c>
      <c r="G10" s="61">
        <v>189</v>
      </c>
      <c r="H10" s="61">
        <v>0</v>
      </c>
      <c r="I10" s="61">
        <v>70</v>
      </c>
      <c r="J10" s="61">
        <v>70</v>
      </c>
      <c r="K10" s="67">
        <v>0</v>
      </c>
      <c r="L10" s="42">
        <f t="shared" si="0"/>
        <v>140</v>
      </c>
      <c r="M10" s="53"/>
    </row>
    <row r="11" spans="1:16" s="54" customFormat="1" ht="24.75" customHeight="1">
      <c r="A11" s="40">
        <v>45907</v>
      </c>
      <c r="B11" s="91"/>
      <c r="C11" s="91"/>
      <c r="D11" s="65">
        <v>213.8</v>
      </c>
      <c r="E11" s="61">
        <v>212.54</v>
      </c>
      <c r="F11" s="61">
        <v>817.54</v>
      </c>
      <c r="G11" s="61">
        <v>92</v>
      </c>
      <c r="H11" s="61">
        <v>0</v>
      </c>
      <c r="I11" s="61">
        <v>70</v>
      </c>
      <c r="J11" s="61">
        <v>70</v>
      </c>
      <c r="K11" s="67">
        <v>0</v>
      </c>
      <c r="L11" s="42">
        <f t="shared" si="0"/>
        <v>140</v>
      </c>
      <c r="M11" s="53"/>
      <c r="N11" s="54">
        <f>SUM(G5:G11)</f>
        <v>1177</v>
      </c>
      <c r="O11" s="54">
        <v>11574</v>
      </c>
      <c r="P11" s="54">
        <f>+N11/O11</f>
        <v>0.10169345083808537</v>
      </c>
    </row>
    <row r="12" spans="1:16" s="54" customFormat="1" ht="24.75" customHeight="1">
      <c r="A12" s="40">
        <v>45908</v>
      </c>
      <c r="B12" s="91"/>
      <c r="C12" s="91"/>
      <c r="D12" s="66">
        <v>213.8</v>
      </c>
      <c r="E12" s="61">
        <v>212.62</v>
      </c>
      <c r="F12" s="61">
        <v>825.81</v>
      </c>
      <c r="G12" s="61">
        <v>237</v>
      </c>
      <c r="H12" s="61">
        <v>0</v>
      </c>
      <c r="I12" s="61">
        <v>70</v>
      </c>
      <c r="J12" s="61">
        <v>70</v>
      </c>
      <c r="K12" s="67">
        <v>0</v>
      </c>
      <c r="L12" s="42">
        <f t="shared" si="0"/>
        <v>140</v>
      </c>
      <c r="M12" s="53"/>
    </row>
    <row r="13" spans="1:16" s="54" customFormat="1" ht="24.75" customHeight="1">
      <c r="A13" s="40">
        <v>45909</v>
      </c>
      <c r="B13" s="91"/>
      <c r="C13" s="91"/>
      <c r="D13" s="65">
        <v>213.8</v>
      </c>
      <c r="E13" s="61">
        <v>212.6</v>
      </c>
      <c r="F13" s="61">
        <v>823.72</v>
      </c>
      <c r="G13" s="61">
        <v>116</v>
      </c>
      <c r="H13" s="61">
        <v>0</v>
      </c>
      <c r="I13" s="61">
        <v>70</v>
      </c>
      <c r="J13" s="61">
        <v>70</v>
      </c>
      <c r="K13" s="67">
        <v>0</v>
      </c>
      <c r="L13" s="42">
        <f t="shared" si="0"/>
        <v>140</v>
      </c>
      <c r="M13" s="53"/>
    </row>
    <row r="14" spans="1:16" s="54" customFormat="1" ht="24.75" customHeight="1">
      <c r="A14" s="40">
        <v>45910</v>
      </c>
      <c r="B14" s="91"/>
      <c r="C14" s="91"/>
      <c r="D14" s="65">
        <v>213.8</v>
      </c>
      <c r="E14" s="61">
        <v>212.58</v>
      </c>
      <c r="F14" s="61">
        <v>821.63</v>
      </c>
      <c r="G14" s="61">
        <v>116</v>
      </c>
      <c r="H14" s="61">
        <v>0</v>
      </c>
      <c r="I14" s="61">
        <v>70</v>
      </c>
      <c r="J14" s="61">
        <v>70</v>
      </c>
      <c r="K14" s="67">
        <v>0</v>
      </c>
      <c r="L14" s="42">
        <f t="shared" si="0"/>
        <v>140</v>
      </c>
      <c r="M14" s="53"/>
    </row>
    <row r="15" spans="1:16" s="54" customFormat="1" ht="24.75" customHeight="1">
      <c r="A15" s="40">
        <v>45911</v>
      </c>
      <c r="B15" s="91"/>
      <c r="C15" s="91"/>
      <c r="D15" s="65">
        <v>213.8</v>
      </c>
      <c r="E15" s="61">
        <v>212.6</v>
      </c>
      <c r="F15" s="61">
        <v>823.72</v>
      </c>
      <c r="G15" s="61">
        <v>165</v>
      </c>
      <c r="H15" s="61">
        <v>0</v>
      </c>
      <c r="I15" s="61">
        <v>70</v>
      </c>
      <c r="J15" s="61">
        <v>70</v>
      </c>
      <c r="K15" s="67">
        <v>0</v>
      </c>
      <c r="L15" s="42">
        <f t="shared" si="0"/>
        <v>140</v>
      </c>
      <c r="M15" s="53"/>
    </row>
    <row r="16" spans="1:16" s="54" customFormat="1" ht="24.75" customHeight="1" thickBot="1">
      <c r="A16" s="40">
        <v>45912</v>
      </c>
      <c r="B16" s="91"/>
      <c r="C16" s="91"/>
      <c r="D16" s="65">
        <v>213.8</v>
      </c>
      <c r="E16" s="61">
        <v>212.6</v>
      </c>
      <c r="F16" s="61">
        <v>823.72</v>
      </c>
      <c r="G16" s="61">
        <v>140</v>
      </c>
      <c r="H16" s="61">
        <v>0</v>
      </c>
      <c r="I16" s="61">
        <v>70</v>
      </c>
      <c r="J16" s="61">
        <v>70</v>
      </c>
      <c r="K16" s="67">
        <v>0</v>
      </c>
      <c r="L16" s="42">
        <f t="shared" si="0"/>
        <v>140</v>
      </c>
      <c r="M16" s="53"/>
    </row>
    <row r="17" spans="1:18" s="54" customFormat="1" ht="24.75" customHeight="1">
      <c r="A17" s="40">
        <v>45913</v>
      </c>
      <c r="B17" s="91"/>
      <c r="C17" s="91"/>
      <c r="D17" s="65">
        <v>213.8</v>
      </c>
      <c r="E17" s="61">
        <v>212.59</v>
      </c>
      <c r="F17" s="61">
        <v>822.68</v>
      </c>
      <c r="G17" s="61">
        <v>128</v>
      </c>
      <c r="H17" s="61">
        <v>0</v>
      </c>
      <c r="I17" s="61">
        <v>70</v>
      </c>
      <c r="J17" s="61">
        <v>70</v>
      </c>
      <c r="K17" s="67">
        <v>0</v>
      </c>
      <c r="L17" s="42">
        <f t="shared" si="0"/>
        <v>140</v>
      </c>
      <c r="M17" s="53"/>
      <c r="Q17" s="79">
        <v>6.9000000000000006E-2</v>
      </c>
    </row>
    <row r="18" spans="1:18" s="54" customFormat="1" ht="24.75" customHeight="1" thickBot="1">
      <c r="A18" s="40">
        <v>45914</v>
      </c>
      <c r="B18" s="91"/>
      <c r="C18" s="91"/>
      <c r="D18" s="65">
        <v>213.8</v>
      </c>
      <c r="E18" s="61">
        <v>212.6</v>
      </c>
      <c r="F18" s="61">
        <v>823.72</v>
      </c>
      <c r="G18" s="61">
        <v>153</v>
      </c>
      <c r="H18" s="61">
        <v>0</v>
      </c>
      <c r="I18" s="61">
        <v>70</v>
      </c>
      <c r="J18" s="61">
        <v>70</v>
      </c>
      <c r="K18" s="67">
        <v>0</v>
      </c>
      <c r="L18" s="42">
        <f t="shared" si="0"/>
        <v>140</v>
      </c>
      <c r="M18" s="53"/>
      <c r="N18" s="54">
        <f>SUM(G12:G18)</f>
        <v>1055</v>
      </c>
      <c r="O18" s="54">
        <v>11574</v>
      </c>
      <c r="P18" s="54">
        <f>+N18/O18</f>
        <v>9.1152583376533605E-2</v>
      </c>
      <c r="Q18" s="80"/>
    </row>
    <row r="19" spans="1:18" s="54" customFormat="1" ht="24.75" customHeight="1">
      <c r="A19" s="40">
        <v>45915</v>
      </c>
      <c r="B19" s="91"/>
      <c r="C19" s="91"/>
      <c r="D19" s="65">
        <v>213.8</v>
      </c>
      <c r="E19" s="61">
        <v>212.59</v>
      </c>
      <c r="F19" s="61">
        <v>822.68</v>
      </c>
      <c r="G19" s="61">
        <v>128</v>
      </c>
      <c r="H19" s="61">
        <v>0</v>
      </c>
      <c r="I19" s="61">
        <v>70</v>
      </c>
      <c r="J19" s="61">
        <v>70</v>
      </c>
      <c r="K19" s="67">
        <v>0</v>
      </c>
      <c r="L19" s="42">
        <f t="shared" si="0"/>
        <v>140</v>
      </c>
      <c r="M19" s="53"/>
      <c r="N19" s="60"/>
      <c r="Q19" s="81">
        <v>0.108</v>
      </c>
    </row>
    <row r="20" spans="1:18" s="54" customFormat="1" ht="24.75" customHeight="1" thickBot="1">
      <c r="A20" s="40">
        <v>45916</v>
      </c>
      <c r="B20" s="91"/>
      <c r="C20" s="91"/>
      <c r="D20" s="65">
        <v>213.8</v>
      </c>
      <c r="E20" s="61">
        <v>212.59</v>
      </c>
      <c r="F20" s="61">
        <v>822.68</v>
      </c>
      <c r="G20" s="61">
        <v>140</v>
      </c>
      <c r="H20" s="61">
        <v>0</v>
      </c>
      <c r="I20" s="61">
        <v>70</v>
      </c>
      <c r="J20" s="61">
        <v>70</v>
      </c>
      <c r="K20" s="67">
        <v>0</v>
      </c>
      <c r="L20" s="42">
        <f t="shared" si="0"/>
        <v>140</v>
      </c>
      <c r="M20" s="53"/>
      <c r="Q20" s="82"/>
    </row>
    <row r="21" spans="1:18" s="54" customFormat="1" ht="24.75" customHeight="1">
      <c r="A21" s="40">
        <v>45917</v>
      </c>
      <c r="B21" s="91"/>
      <c r="C21" s="91"/>
      <c r="D21" s="65">
        <v>213.8</v>
      </c>
      <c r="E21" s="61">
        <v>212.58</v>
      </c>
      <c r="F21" s="61">
        <v>821.63</v>
      </c>
      <c r="G21" s="61">
        <v>128</v>
      </c>
      <c r="H21" s="61">
        <v>0</v>
      </c>
      <c r="I21" s="61">
        <v>70</v>
      </c>
      <c r="J21" s="61">
        <v>70</v>
      </c>
      <c r="K21" s="67">
        <v>0</v>
      </c>
      <c r="L21" s="42">
        <f t="shared" si="0"/>
        <v>140</v>
      </c>
      <c r="M21" s="53"/>
      <c r="Q21" s="75">
        <v>0.111</v>
      </c>
    </row>
    <row r="22" spans="1:18" s="54" customFormat="1" ht="24.75" customHeight="1" thickBot="1">
      <c r="A22" s="40">
        <v>45918</v>
      </c>
      <c r="B22" s="91"/>
      <c r="C22" s="91"/>
      <c r="D22" s="65">
        <v>213.8</v>
      </c>
      <c r="E22" s="61">
        <v>212.55</v>
      </c>
      <c r="F22" s="61">
        <v>818.49</v>
      </c>
      <c r="G22" s="61">
        <v>104</v>
      </c>
      <c r="H22" s="61">
        <v>0</v>
      </c>
      <c r="I22" s="61">
        <v>70</v>
      </c>
      <c r="J22" s="61">
        <v>70</v>
      </c>
      <c r="K22" s="67">
        <v>0</v>
      </c>
      <c r="L22" s="42">
        <f t="shared" si="0"/>
        <v>140</v>
      </c>
      <c r="M22" s="53"/>
      <c r="Q22" s="76"/>
    </row>
    <row r="23" spans="1:18" s="54" customFormat="1" ht="24.75" customHeight="1" thickBot="1">
      <c r="A23" s="40">
        <v>45919</v>
      </c>
      <c r="B23" s="91"/>
      <c r="C23" s="91"/>
      <c r="D23" s="65">
        <v>213.8</v>
      </c>
      <c r="E23" s="61">
        <v>212.51</v>
      </c>
      <c r="F23" s="61">
        <v>814.31</v>
      </c>
      <c r="G23" s="61">
        <v>82</v>
      </c>
      <c r="H23" s="61">
        <v>0</v>
      </c>
      <c r="I23" s="61">
        <v>60</v>
      </c>
      <c r="J23" s="61">
        <v>70</v>
      </c>
      <c r="K23" s="67">
        <v>0</v>
      </c>
      <c r="L23" s="42">
        <f t="shared" si="0"/>
        <v>130</v>
      </c>
      <c r="M23" s="53"/>
      <c r="Q23" s="71">
        <v>0.10199999999999999</v>
      </c>
    </row>
    <row r="24" spans="1:18" s="54" customFormat="1" ht="24.75" customHeight="1">
      <c r="A24" s="40">
        <v>45920</v>
      </c>
      <c r="B24" s="91"/>
      <c r="C24" s="91"/>
      <c r="D24" s="65">
        <v>213.8</v>
      </c>
      <c r="E24" s="61">
        <v>212.47</v>
      </c>
      <c r="F24" s="61">
        <v>810.13</v>
      </c>
      <c r="G24" s="61">
        <v>82</v>
      </c>
      <c r="H24" s="61">
        <v>0</v>
      </c>
      <c r="I24" s="61">
        <v>60</v>
      </c>
      <c r="J24" s="61">
        <v>70</v>
      </c>
      <c r="K24" s="67">
        <v>0</v>
      </c>
      <c r="L24" s="42">
        <f t="shared" si="0"/>
        <v>130</v>
      </c>
      <c r="M24" s="53"/>
      <c r="Q24" s="75">
        <v>9.0999999999999998E-2</v>
      </c>
      <c r="R24" s="79">
        <v>2.8000000000000001E-2</v>
      </c>
    </row>
    <row r="25" spans="1:18" s="54" customFormat="1" ht="24.75" customHeight="1" thickBot="1">
      <c r="A25" s="40">
        <v>45921</v>
      </c>
      <c r="B25" s="91"/>
      <c r="C25" s="91"/>
      <c r="D25" s="41">
        <v>213.8</v>
      </c>
      <c r="E25" s="61">
        <v>212.42</v>
      </c>
      <c r="F25" s="61">
        <v>804.9</v>
      </c>
      <c r="G25" s="61">
        <v>70</v>
      </c>
      <c r="H25" s="61">
        <v>0</v>
      </c>
      <c r="I25" s="61">
        <v>60</v>
      </c>
      <c r="J25" s="61">
        <v>70</v>
      </c>
      <c r="K25" s="67">
        <v>0</v>
      </c>
      <c r="L25" s="42">
        <f t="shared" si="0"/>
        <v>130</v>
      </c>
      <c r="M25" s="53"/>
      <c r="N25" s="54">
        <f>SUM(G19:G25)</f>
        <v>734</v>
      </c>
      <c r="O25" s="54">
        <v>11574</v>
      </c>
      <c r="P25" s="54">
        <f>+N25/O25</f>
        <v>6.3418005875237604E-2</v>
      </c>
      <c r="Q25" s="76"/>
      <c r="R25" s="80"/>
    </row>
    <row r="26" spans="1:18" s="54" customFormat="1" ht="24.75" customHeight="1">
      <c r="A26" s="40">
        <v>45922</v>
      </c>
      <c r="B26" s="91"/>
      <c r="C26" s="91"/>
      <c r="D26" s="41">
        <v>213.8</v>
      </c>
      <c r="E26" s="61">
        <v>212.52</v>
      </c>
      <c r="F26" s="61">
        <v>815.36</v>
      </c>
      <c r="G26" s="61">
        <v>252</v>
      </c>
      <c r="H26" s="61">
        <v>0</v>
      </c>
      <c r="I26" s="61">
        <v>60</v>
      </c>
      <c r="J26" s="61">
        <v>70</v>
      </c>
      <c r="K26" s="67">
        <v>0</v>
      </c>
      <c r="L26" s="42">
        <f t="shared" si="0"/>
        <v>130</v>
      </c>
      <c r="M26" s="53"/>
      <c r="N26" s="55"/>
      <c r="Q26" s="75">
        <v>6.3E-2</v>
      </c>
      <c r="R26" s="81">
        <v>2.3E-2</v>
      </c>
    </row>
    <row r="27" spans="1:18" s="54" customFormat="1" ht="24.75" customHeight="1" thickBot="1">
      <c r="A27" s="40">
        <v>45923</v>
      </c>
      <c r="B27" s="91"/>
      <c r="C27" s="91"/>
      <c r="D27" s="41">
        <v>213.8</v>
      </c>
      <c r="E27" s="61">
        <v>212.52</v>
      </c>
      <c r="F27" s="61">
        <v>815.36</v>
      </c>
      <c r="G27" s="61">
        <v>130</v>
      </c>
      <c r="H27" s="61">
        <v>0</v>
      </c>
      <c r="I27" s="61">
        <v>60</v>
      </c>
      <c r="J27" s="61">
        <v>70</v>
      </c>
      <c r="K27" s="67">
        <v>0</v>
      </c>
      <c r="L27" s="42">
        <f t="shared" si="0"/>
        <v>130</v>
      </c>
      <c r="M27" s="53"/>
      <c r="Q27" s="76"/>
      <c r="R27" s="82"/>
    </row>
    <row r="28" spans="1:18" s="54" customFormat="1" ht="24.75" customHeight="1">
      <c r="A28" s="40">
        <v>45924</v>
      </c>
      <c r="B28" s="91"/>
      <c r="C28" s="91"/>
      <c r="D28" s="41">
        <v>213.8</v>
      </c>
      <c r="E28" s="61">
        <v>212.5</v>
      </c>
      <c r="F28" s="61">
        <v>815.27</v>
      </c>
      <c r="G28" s="61">
        <v>106</v>
      </c>
      <c r="H28" s="61">
        <v>0</v>
      </c>
      <c r="I28" s="61">
        <v>60</v>
      </c>
      <c r="J28" s="61">
        <v>70</v>
      </c>
      <c r="K28" s="42">
        <v>0</v>
      </c>
      <c r="L28" s="42">
        <f t="shared" si="0"/>
        <v>130</v>
      </c>
      <c r="M28" s="53"/>
      <c r="Q28" s="68">
        <f>SUM(Q17:Q27)</f>
        <v>0.54400000000000004</v>
      </c>
      <c r="R28" s="75">
        <v>2.0899999999999998E-2</v>
      </c>
    </row>
    <row r="29" spans="1:18" s="54" customFormat="1" ht="24.75" customHeight="1" thickBot="1">
      <c r="A29" s="40">
        <v>45925</v>
      </c>
      <c r="B29" s="91"/>
      <c r="C29" s="91"/>
      <c r="D29" s="41">
        <v>213.8</v>
      </c>
      <c r="E29" s="61">
        <v>212.44</v>
      </c>
      <c r="F29" s="61">
        <v>806.99</v>
      </c>
      <c r="G29" s="61">
        <v>58</v>
      </c>
      <c r="H29" s="61">
        <v>0</v>
      </c>
      <c r="I29" s="61">
        <v>60</v>
      </c>
      <c r="J29" s="61">
        <v>70</v>
      </c>
      <c r="K29" s="42">
        <v>0</v>
      </c>
      <c r="L29" s="42">
        <f t="shared" si="0"/>
        <v>130</v>
      </c>
      <c r="M29" s="53"/>
      <c r="R29" s="76"/>
    </row>
    <row r="30" spans="1:18" s="54" customFormat="1" ht="24.75" customHeight="1">
      <c r="A30" s="40">
        <v>45926</v>
      </c>
      <c r="B30" s="91"/>
      <c r="C30" s="91"/>
      <c r="D30" s="41">
        <v>213.8</v>
      </c>
      <c r="E30" s="61">
        <v>212.4</v>
      </c>
      <c r="F30" s="61">
        <v>802.81</v>
      </c>
      <c r="G30" s="61">
        <v>82</v>
      </c>
      <c r="H30" s="61">
        <v>0</v>
      </c>
      <c r="I30" s="61">
        <v>60</v>
      </c>
      <c r="J30" s="61">
        <v>70</v>
      </c>
      <c r="K30" s="42">
        <v>0</v>
      </c>
      <c r="L30" s="42">
        <f t="shared" si="0"/>
        <v>130</v>
      </c>
      <c r="M30" s="53"/>
      <c r="O30" s="73">
        <f>0.78/1.07</f>
        <v>0.7289719626168224</v>
      </c>
      <c r="P30" s="54">
        <v>2204</v>
      </c>
      <c r="R30" s="75">
        <v>0.02</v>
      </c>
    </row>
    <row r="31" spans="1:18" s="54" customFormat="1" ht="24.75" customHeight="1" thickBot="1">
      <c r="A31" s="40">
        <v>45927</v>
      </c>
      <c r="B31" s="91"/>
      <c r="C31" s="91"/>
      <c r="D31" s="41">
        <v>213.8</v>
      </c>
      <c r="E31" s="61">
        <v>212.37</v>
      </c>
      <c r="F31" s="61">
        <v>799.67</v>
      </c>
      <c r="G31" s="61">
        <v>94</v>
      </c>
      <c r="H31" s="61">
        <v>0</v>
      </c>
      <c r="I31" s="61">
        <v>60</v>
      </c>
      <c r="J31" s="61">
        <v>70</v>
      </c>
      <c r="K31" s="42">
        <v>0</v>
      </c>
      <c r="L31" s="42">
        <f t="shared" si="0"/>
        <v>130</v>
      </c>
      <c r="M31" s="53"/>
      <c r="P31" s="54">
        <f>+P30/11574</f>
        <v>0.19042681873163989</v>
      </c>
      <c r="R31" s="76"/>
    </row>
    <row r="32" spans="1:18" s="54" customFormat="1" ht="24.75" customHeight="1">
      <c r="A32" s="40">
        <v>45928</v>
      </c>
      <c r="B32" s="91"/>
      <c r="C32" s="91"/>
      <c r="D32" s="41">
        <v>213.8</v>
      </c>
      <c r="E32" s="61">
        <v>212.34</v>
      </c>
      <c r="F32" s="61">
        <v>796.54</v>
      </c>
      <c r="G32" s="61">
        <v>94</v>
      </c>
      <c r="H32" s="61">
        <v>0</v>
      </c>
      <c r="I32" s="61">
        <v>60</v>
      </c>
      <c r="J32" s="61">
        <v>70</v>
      </c>
      <c r="K32" s="42">
        <v>0</v>
      </c>
      <c r="L32" s="42">
        <f t="shared" si="0"/>
        <v>130</v>
      </c>
      <c r="M32" s="53"/>
      <c r="P32" s="54">
        <v>8.8999999999999999E-3</v>
      </c>
      <c r="R32" s="75">
        <v>0.02</v>
      </c>
    </row>
    <row r="33" spans="1:18" s="54" customFormat="1" ht="24.75" customHeight="1" thickBot="1">
      <c r="A33" s="40">
        <v>45929</v>
      </c>
      <c r="B33" s="91"/>
      <c r="C33" s="91"/>
      <c r="D33" s="41">
        <v>213.8</v>
      </c>
      <c r="E33" s="61">
        <v>212.31</v>
      </c>
      <c r="F33" s="61">
        <v>793.4</v>
      </c>
      <c r="G33" s="61">
        <v>94</v>
      </c>
      <c r="H33" s="61">
        <v>0</v>
      </c>
      <c r="I33" s="61">
        <v>60</v>
      </c>
      <c r="J33" s="61">
        <v>70</v>
      </c>
      <c r="K33" s="42">
        <v>0</v>
      </c>
      <c r="L33" s="42">
        <f t="shared" si="0"/>
        <v>130</v>
      </c>
      <c r="M33" s="53"/>
      <c r="P33" s="54">
        <f>+P32+P31</f>
        <v>0.19932681873163988</v>
      </c>
      <c r="R33" s="76"/>
    </row>
    <row r="34" spans="1:18" s="54" customFormat="1" ht="24.75" customHeight="1">
      <c r="A34" s="40">
        <v>45930</v>
      </c>
      <c r="B34" s="91"/>
      <c r="C34" s="91"/>
      <c r="D34" s="41">
        <v>213.8</v>
      </c>
      <c r="E34" s="61">
        <v>212.29</v>
      </c>
      <c r="F34" s="61">
        <v>791.31</v>
      </c>
      <c r="G34" s="61">
        <v>106</v>
      </c>
      <c r="H34" s="42">
        <v>0</v>
      </c>
      <c r="I34" s="61">
        <v>60</v>
      </c>
      <c r="J34" s="61">
        <v>70</v>
      </c>
      <c r="K34" s="42">
        <v>0</v>
      </c>
      <c r="L34" s="42">
        <f t="shared" si="0"/>
        <v>130</v>
      </c>
      <c r="M34" s="53"/>
      <c r="R34" s="72">
        <v>0.02</v>
      </c>
    </row>
    <row r="35" spans="1:18" ht="27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12"/>
      <c r="R35" s="57">
        <f>SUM(R24:R34)</f>
        <v>0.13190000000000002</v>
      </c>
    </row>
    <row r="36" spans="1:18" ht="37.5" customHeight="1" thickBot="1">
      <c r="A36" s="34"/>
      <c r="B36" s="35"/>
      <c r="C36" s="4"/>
      <c r="D36" s="4"/>
      <c r="E36" s="4"/>
      <c r="F36" s="4"/>
      <c r="G36" s="4"/>
      <c r="H36" s="4"/>
      <c r="I36" s="4"/>
      <c r="J36" s="4"/>
      <c r="K36" s="56"/>
      <c r="L36" s="56"/>
      <c r="M36" s="58"/>
    </row>
    <row r="37" spans="1:18" ht="15.75" customHeight="1">
      <c r="A37" s="85" t="s">
        <v>9</v>
      </c>
      <c r="B37" s="86"/>
      <c r="C37" s="86"/>
      <c r="D37" s="86"/>
      <c r="I37" s="85" t="s">
        <v>10</v>
      </c>
      <c r="J37" s="86"/>
      <c r="K37" s="86"/>
      <c r="L37" s="86"/>
      <c r="M37" s="58"/>
      <c r="P37" s="79">
        <v>4.0000000000000001E-3</v>
      </c>
    </row>
    <row r="38" spans="1:18" ht="15.75" customHeight="1" thickBot="1">
      <c r="A38" s="85" t="s">
        <v>29</v>
      </c>
      <c r="B38" s="86"/>
      <c r="C38" s="86"/>
      <c r="D38" s="86"/>
      <c r="I38" s="85" t="s">
        <v>29</v>
      </c>
      <c r="J38" s="86"/>
      <c r="K38" s="86"/>
      <c r="L38" s="86"/>
      <c r="M38" s="58"/>
      <c r="P38" s="88"/>
    </row>
    <row r="39" spans="1:18" ht="15.75" customHeight="1">
      <c r="A39" s="87"/>
      <c r="B39" s="86"/>
      <c r="C39" s="86"/>
      <c r="D39" s="86"/>
      <c r="I39" s="87"/>
      <c r="J39" s="86"/>
      <c r="K39" s="86"/>
      <c r="L39" s="86"/>
      <c r="M39" s="58"/>
      <c r="P39" s="69">
        <v>1.2E-2</v>
      </c>
    </row>
    <row r="40" spans="1:18" ht="15.75" customHeight="1" thickBot="1">
      <c r="M40" s="58"/>
      <c r="P40" s="70" t="s">
        <v>32</v>
      </c>
    </row>
    <row r="41" spans="1:18" ht="15.75" customHeight="1">
      <c r="M41" s="58"/>
      <c r="P41" s="83">
        <v>1.4999999999999999E-2</v>
      </c>
    </row>
    <row r="42" spans="1:18" ht="15.75" customHeight="1" thickBot="1">
      <c r="M42" s="58"/>
      <c r="P42" s="84"/>
    </row>
    <row r="43" spans="1:18" ht="15.75" customHeight="1">
      <c r="M43" s="58"/>
      <c r="P43" s="83">
        <v>1.4999999999999999E-2</v>
      </c>
    </row>
    <row r="44" spans="1:18" ht="15.75" customHeight="1" thickBot="1">
      <c r="M44" s="58"/>
      <c r="P44" s="84"/>
    </row>
    <row r="45" spans="1:18" ht="15.75" customHeight="1">
      <c r="M45" s="58"/>
      <c r="P45" s="83">
        <v>1.2E-2</v>
      </c>
    </row>
    <row r="46" spans="1:18" ht="15.75" customHeight="1" thickBot="1">
      <c r="M46" s="58"/>
      <c r="P46" s="84"/>
    </row>
    <row r="47" spans="1:18" ht="15.75" customHeight="1">
      <c r="M47" s="58"/>
      <c r="P47" s="83">
        <v>0.01</v>
      </c>
    </row>
    <row r="48" spans="1:18" ht="15.75" customHeight="1" thickBot="1">
      <c r="M48" s="58"/>
      <c r="P48" s="84"/>
    </row>
    <row r="49" spans="13:17" ht="15.75" customHeight="1">
      <c r="M49" s="58"/>
      <c r="P49" s="57">
        <f>SUM(P37:P48)</f>
        <v>6.7999999999999991E-2</v>
      </c>
    </row>
    <row r="50" spans="13:17" ht="15.75" customHeight="1">
      <c r="M50" s="58"/>
    </row>
    <row r="51" spans="13:17" ht="15.75" customHeight="1">
      <c r="M51" s="58"/>
    </row>
    <row r="52" spans="13:17" ht="15.75" customHeight="1">
      <c r="M52" s="58"/>
    </row>
    <row r="53" spans="13:17" ht="15.75" customHeight="1" thickBot="1">
      <c r="M53" s="58"/>
    </row>
    <row r="54" spans="13:17" ht="15.75" customHeight="1" thickBot="1">
      <c r="M54" s="58"/>
      <c r="O54" s="74">
        <v>0.30599999999999999</v>
      </c>
    </row>
    <row r="55" spans="13:17" ht="15.75" customHeight="1" thickBot="1">
      <c r="M55" s="58"/>
      <c r="O55" s="69">
        <v>0.51800000000000002</v>
      </c>
    </row>
    <row r="56" spans="13:17" ht="15.75" customHeight="1" thickBot="1">
      <c r="M56" s="58"/>
      <c r="O56" s="70" t="s">
        <v>32</v>
      </c>
      <c r="Q56" s="79">
        <v>2.8000000000000001E-2</v>
      </c>
    </row>
    <row r="57" spans="13:17" ht="15.75" customHeight="1" thickBot="1">
      <c r="M57" s="58"/>
      <c r="O57" s="77">
        <v>0.26700000000000002</v>
      </c>
      <c r="Q57" s="80"/>
    </row>
    <row r="58" spans="13:17" ht="15.75" customHeight="1" thickBot="1">
      <c r="M58" s="58"/>
      <c r="O58" s="78"/>
      <c r="Q58" s="81">
        <v>2.3E-2</v>
      </c>
    </row>
    <row r="59" spans="13:17" ht="15.75" customHeight="1" thickBot="1">
      <c r="M59" s="58"/>
      <c r="O59" s="77">
        <v>0.216</v>
      </c>
      <c r="Q59" s="82"/>
    </row>
    <row r="60" spans="13:17" ht="15.75" customHeight="1" thickBot="1">
      <c r="M60" s="58"/>
      <c r="O60" s="78"/>
      <c r="Q60" s="75">
        <v>2.0899999999999998E-2</v>
      </c>
    </row>
    <row r="61" spans="13:17" ht="15.75" customHeight="1" thickBot="1">
      <c r="M61" s="58"/>
      <c r="O61" s="77">
        <v>0.30599999999999999</v>
      </c>
      <c r="Q61" s="76"/>
    </row>
    <row r="62" spans="13:17" ht="15.75" customHeight="1" thickBot="1">
      <c r="M62" s="58"/>
      <c r="O62" s="78"/>
      <c r="Q62" s="75">
        <v>0.02</v>
      </c>
    </row>
    <row r="63" spans="13:17" ht="15.75" customHeight="1" thickBot="1">
      <c r="M63" s="58">
        <f>0.805/0.949</f>
        <v>0.84826132771338258</v>
      </c>
      <c r="O63" s="77">
        <v>0.155</v>
      </c>
      <c r="Q63" s="76"/>
    </row>
    <row r="64" spans="13:17" ht="15.75" customHeight="1" thickBot="1">
      <c r="M64" s="58">
        <f>+M63*100</f>
        <v>84.826132771338251</v>
      </c>
      <c r="O64" s="78"/>
      <c r="Q64" s="75">
        <v>0.02</v>
      </c>
    </row>
    <row r="65" spans="13:17" ht="15.75" customHeight="1" thickBot="1">
      <c r="M65" s="58"/>
      <c r="O65" s="57">
        <f>SUM(O54:O64)</f>
        <v>1.7680000000000002</v>
      </c>
      <c r="Q65" s="76"/>
    </row>
    <row r="66" spans="13:17" ht="15.75" customHeight="1">
      <c r="M66" s="58"/>
      <c r="Q66" s="75">
        <v>0.02</v>
      </c>
    </row>
    <row r="67" spans="13:17" ht="15.75" customHeight="1" thickBot="1">
      <c r="M67" s="58"/>
      <c r="Q67" s="76"/>
    </row>
    <row r="68" spans="13:17" ht="15.75" customHeight="1">
      <c r="M68" s="58"/>
      <c r="Q68" s="57">
        <f>SUM(Q56:Q67)</f>
        <v>0.13190000000000002</v>
      </c>
    </row>
    <row r="69" spans="13:17" ht="15.75" customHeight="1">
      <c r="M69" s="58"/>
    </row>
    <row r="70" spans="13:17" ht="15.75" customHeight="1">
      <c r="M70" s="58"/>
    </row>
    <row r="71" spans="13:17" ht="15.75" customHeight="1">
      <c r="M71" s="58"/>
    </row>
    <row r="72" spans="13:17" ht="15.75" customHeight="1">
      <c r="M72" s="58"/>
    </row>
    <row r="73" spans="13:17" ht="15.75" customHeight="1">
      <c r="M73" s="58"/>
    </row>
    <row r="74" spans="13:17" ht="15.75" customHeight="1">
      <c r="M74" s="58"/>
    </row>
    <row r="75" spans="13:17" ht="15.75" customHeight="1">
      <c r="M75" s="58"/>
    </row>
    <row r="76" spans="13:17" ht="15.75" customHeight="1">
      <c r="M76" s="58"/>
    </row>
    <row r="77" spans="13:17" ht="15.75" customHeight="1">
      <c r="M77" s="58"/>
    </row>
    <row r="78" spans="13:17" ht="15.75" customHeight="1">
      <c r="M78" s="58"/>
    </row>
    <row r="79" spans="13:17" ht="15.75" customHeight="1">
      <c r="M79" s="58"/>
    </row>
    <row r="80" spans="13:17" ht="15.75" customHeight="1">
      <c r="M80" s="58"/>
    </row>
    <row r="81" spans="13:13" ht="15.75" customHeight="1">
      <c r="M81" s="58"/>
    </row>
    <row r="82" spans="13:13" ht="15.75" customHeight="1">
      <c r="M82" s="58"/>
    </row>
    <row r="83" spans="13:13" ht="15.75" customHeight="1">
      <c r="M83" s="58"/>
    </row>
    <row r="84" spans="13:13" ht="15.75" customHeight="1">
      <c r="M84" s="58"/>
    </row>
    <row r="85" spans="13:13" ht="15.75" customHeight="1">
      <c r="M85" s="58"/>
    </row>
    <row r="86" spans="13:13" ht="15.75" customHeight="1">
      <c r="M86" s="58"/>
    </row>
    <row r="87" spans="13:13" ht="15.75" customHeight="1">
      <c r="M87" s="58"/>
    </row>
    <row r="88" spans="13:13" ht="15.75" customHeight="1">
      <c r="M88" s="58"/>
    </row>
    <row r="89" spans="13:13" ht="15.75" customHeight="1">
      <c r="M89" s="58"/>
    </row>
    <row r="90" spans="13:13" ht="15.75" customHeight="1">
      <c r="M90" s="58"/>
    </row>
    <row r="91" spans="13:13" ht="15.75" customHeight="1">
      <c r="M91" s="58"/>
    </row>
    <row r="92" spans="13:13" ht="15.75" customHeight="1">
      <c r="M92" s="58"/>
    </row>
    <row r="93" spans="13:13" ht="15.75" customHeight="1">
      <c r="M93" s="58"/>
    </row>
    <row r="94" spans="13:13" ht="15.75" customHeight="1">
      <c r="M94" s="58"/>
    </row>
    <row r="95" spans="13:13" ht="15.75" customHeight="1">
      <c r="M95" s="58"/>
    </row>
    <row r="96" spans="13:13" ht="15.75" customHeight="1">
      <c r="M96" s="58"/>
    </row>
    <row r="97" spans="13:13" ht="15.75" customHeight="1">
      <c r="M97" s="58"/>
    </row>
    <row r="98" spans="13:13" ht="15.75" customHeight="1">
      <c r="M98" s="58"/>
    </row>
    <row r="99" spans="13:13" ht="15.75" customHeight="1">
      <c r="M99" s="58"/>
    </row>
    <row r="100" spans="13:13" ht="15.75" customHeight="1">
      <c r="M100" s="58"/>
    </row>
    <row r="101" spans="13:13" ht="15.75" customHeight="1">
      <c r="M101" s="58"/>
    </row>
  </sheetData>
  <mergeCells count="45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M3:M4"/>
    <mergeCell ref="B5:B34"/>
    <mergeCell ref="C5:C34"/>
    <mergeCell ref="A35:M35"/>
    <mergeCell ref="A37:D37"/>
    <mergeCell ref="I37:L37"/>
    <mergeCell ref="Q17:Q18"/>
    <mergeCell ref="Q19:Q20"/>
    <mergeCell ref="Q21:Q22"/>
    <mergeCell ref="Q24:Q25"/>
    <mergeCell ref="Q26:Q27"/>
    <mergeCell ref="A38:D38"/>
    <mergeCell ref="I38:L38"/>
    <mergeCell ref="A39:D39"/>
    <mergeCell ref="I39:L39"/>
    <mergeCell ref="P37:P38"/>
    <mergeCell ref="R24:R25"/>
    <mergeCell ref="R26:R27"/>
    <mergeCell ref="R28:R29"/>
    <mergeCell ref="R30:R31"/>
    <mergeCell ref="R32:R33"/>
    <mergeCell ref="P41:P42"/>
    <mergeCell ref="P43:P44"/>
    <mergeCell ref="P45:P46"/>
    <mergeCell ref="P47:P48"/>
    <mergeCell ref="O57:O58"/>
    <mergeCell ref="Q66:Q67"/>
    <mergeCell ref="O61:O62"/>
    <mergeCell ref="O63:O64"/>
    <mergeCell ref="Q56:Q57"/>
    <mergeCell ref="Q58:Q59"/>
    <mergeCell ref="Q60:Q61"/>
    <mergeCell ref="Q62:Q63"/>
    <mergeCell ref="Q64:Q65"/>
    <mergeCell ref="O59:O60"/>
  </mergeCells>
  <printOptions horizontalCentered="1"/>
  <pageMargins left="0.7" right="0.7" top="0.75" bottom="0.75" header="0" footer="0"/>
  <pageSetup paperSize="9" scale="7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zoomScaleNormal="100" workbookViewId="0">
      <pane xSplit="5" ySplit="4" topLeftCell="F32" activePane="bottomRight" state="frozen"/>
      <selection pane="topRight" activeCell="F1" sqref="F1"/>
      <selection pane="bottomLeft" activeCell="A5" sqref="A5"/>
      <selection pane="bottomRight" activeCell="Q35" sqref="Q35"/>
    </sheetView>
  </sheetViews>
  <sheetFormatPr defaultColWidth="14.42578125" defaultRowHeight="15" customHeight="1"/>
  <cols>
    <col min="1" max="1" width="12.42578125" style="51" customWidth="1"/>
    <col min="2" max="2" width="6.28515625" style="51" customWidth="1"/>
    <col min="3" max="3" width="5.140625" style="51" customWidth="1"/>
    <col min="4" max="4" width="10" style="51" customWidth="1"/>
    <col min="5" max="6" width="8.7109375" style="51" customWidth="1"/>
    <col min="7" max="7" width="9.85546875" style="51" customWidth="1"/>
    <col min="8" max="8" width="8.7109375" style="51" customWidth="1"/>
    <col min="9" max="9" width="8.42578125" style="51" customWidth="1"/>
    <col min="10" max="10" width="8.7109375" style="51" customWidth="1"/>
    <col min="11" max="11" width="6.42578125" style="51" customWidth="1"/>
    <col min="12" max="12" width="8.5703125" style="51" customWidth="1"/>
    <col min="13" max="13" width="8.85546875" style="51" customWidth="1"/>
    <col min="14" max="16384" width="14.42578125" style="51"/>
  </cols>
  <sheetData>
    <row r="1" spans="1:13" ht="14.25" customHeight="1">
      <c r="A1" s="93" t="s">
        <v>31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5.75" customHeight="1">
      <c r="A2" s="96"/>
      <c r="B2" s="97"/>
      <c r="C2" s="97"/>
      <c r="D2" s="97"/>
      <c r="E2" s="97"/>
      <c r="F2" s="104"/>
      <c r="G2" s="104"/>
      <c r="H2" s="104"/>
      <c r="I2" s="104"/>
      <c r="J2" s="104"/>
      <c r="K2" s="104"/>
      <c r="L2" s="104"/>
      <c r="M2" s="98"/>
    </row>
    <row r="3" spans="1:13" ht="14.25" customHeight="1">
      <c r="A3" s="99" t="s">
        <v>0</v>
      </c>
      <c r="B3" s="100" t="s">
        <v>1</v>
      </c>
      <c r="C3" s="100" t="s">
        <v>2</v>
      </c>
      <c r="D3" s="99" t="s">
        <v>3</v>
      </c>
      <c r="E3" s="105" t="s">
        <v>4</v>
      </c>
      <c r="F3" s="107" t="s">
        <v>19</v>
      </c>
      <c r="G3" s="107" t="s">
        <v>5</v>
      </c>
      <c r="H3" s="109" t="s">
        <v>6</v>
      </c>
      <c r="I3" s="108"/>
      <c r="J3" s="108"/>
      <c r="K3" s="108"/>
      <c r="L3" s="110" t="s">
        <v>7</v>
      </c>
      <c r="M3" s="111" t="s">
        <v>8</v>
      </c>
    </row>
    <row r="4" spans="1:13" ht="51.75" customHeight="1">
      <c r="A4" s="90"/>
      <c r="B4" s="90"/>
      <c r="C4" s="90"/>
      <c r="D4" s="90"/>
      <c r="E4" s="106"/>
      <c r="F4" s="108"/>
      <c r="G4" s="108"/>
      <c r="H4" s="64" t="s">
        <v>15</v>
      </c>
      <c r="I4" s="64" t="s">
        <v>13</v>
      </c>
      <c r="J4" s="64" t="s">
        <v>18</v>
      </c>
      <c r="K4" s="64" t="s">
        <v>14</v>
      </c>
      <c r="L4" s="108"/>
      <c r="M4" s="112"/>
    </row>
    <row r="5" spans="1:13" s="54" customFormat="1" ht="24.75" customHeight="1">
      <c r="A5" s="40">
        <v>45870</v>
      </c>
      <c r="B5" s="91" t="s">
        <v>11</v>
      </c>
      <c r="C5" s="91" t="s">
        <v>12</v>
      </c>
      <c r="D5" s="41">
        <v>213.8</v>
      </c>
      <c r="E5" s="62">
        <v>212.32</v>
      </c>
      <c r="F5" s="41">
        <v>794.45</v>
      </c>
      <c r="G5" s="61">
        <v>0</v>
      </c>
      <c r="H5" s="42">
        <v>0</v>
      </c>
      <c r="I5" s="61">
        <v>0</v>
      </c>
      <c r="J5" s="61">
        <v>0</v>
      </c>
      <c r="K5" s="42">
        <v>15</v>
      </c>
      <c r="L5" s="42">
        <f>H5+I5+J5+K5</f>
        <v>15</v>
      </c>
      <c r="M5" s="63"/>
    </row>
    <row r="6" spans="1:13" s="54" customFormat="1" ht="24.75" customHeight="1">
      <c r="A6" s="40">
        <v>45871</v>
      </c>
      <c r="B6" s="91"/>
      <c r="C6" s="91"/>
      <c r="D6" s="41">
        <v>213.8</v>
      </c>
      <c r="E6" s="62">
        <v>212.31</v>
      </c>
      <c r="F6" s="41">
        <v>793.4</v>
      </c>
      <c r="G6" s="61">
        <v>3</v>
      </c>
      <c r="H6" s="42">
        <v>0</v>
      </c>
      <c r="I6" s="61">
        <v>0</v>
      </c>
      <c r="J6" s="61">
        <v>0</v>
      </c>
      <c r="K6" s="42">
        <v>15</v>
      </c>
      <c r="L6" s="42">
        <f t="shared" ref="L6:L35" si="0">H6+I6+J6+K6</f>
        <v>15</v>
      </c>
      <c r="M6" s="63"/>
    </row>
    <row r="7" spans="1:13" s="54" customFormat="1" ht="24.75" customHeight="1">
      <c r="A7" s="40">
        <v>45872</v>
      </c>
      <c r="B7" s="91"/>
      <c r="C7" s="91"/>
      <c r="D7" s="41">
        <v>213.8</v>
      </c>
      <c r="E7" s="62">
        <v>212.34</v>
      </c>
      <c r="F7" s="41">
        <v>796.54</v>
      </c>
      <c r="G7" s="61">
        <v>52</v>
      </c>
      <c r="H7" s="42">
        <v>0</v>
      </c>
      <c r="I7" s="61">
        <v>30</v>
      </c>
      <c r="J7" s="61">
        <v>30</v>
      </c>
      <c r="K7" s="42">
        <v>0</v>
      </c>
      <c r="L7" s="42">
        <f t="shared" si="0"/>
        <v>60</v>
      </c>
      <c r="M7" s="63"/>
    </row>
    <row r="8" spans="1:13" s="54" customFormat="1" ht="24.75" customHeight="1">
      <c r="A8" s="40">
        <v>45873</v>
      </c>
      <c r="B8" s="91"/>
      <c r="C8" s="91"/>
      <c r="D8" s="41">
        <v>213.8</v>
      </c>
      <c r="E8" s="62">
        <v>212.23</v>
      </c>
      <c r="F8" s="41">
        <v>784.04</v>
      </c>
      <c r="G8" s="61">
        <v>0</v>
      </c>
      <c r="H8" s="42">
        <v>0</v>
      </c>
      <c r="I8" s="61">
        <v>30</v>
      </c>
      <c r="J8" s="61">
        <v>40</v>
      </c>
      <c r="K8" s="42">
        <v>0</v>
      </c>
      <c r="L8" s="42">
        <f t="shared" si="0"/>
        <v>70</v>
      </c>
      <c r="M8" s="63"/>
    </row>
    <row r="9" spans="1:13" s="54" customFormat="1" ht="24.75" customHeight="1">
      <c r="A9" s="40">
        <v>45874</v>
      </c>
      <c r="B9" s="91"/>
      <c r="C9" s="91"/>
      <c r="D9" s="41">
        <v>213.8</v>
      </c>
      <c r="E9" s="62">
        <v>212.13</v>
      </c>
      <c r="F9" s="41">
        <v>774.58</v>
      </c>
      <c r="G9" s="61">
        <v>34</v>
      </c>
      <c r="H9" s="42">
        <v>0</v>
      </c>
      <c r="I9" s="61">
        <v>30</v>
      </c>
      <c r="J9" s="61">
        <v>50</v>
      </c>
      <c r="K9" s="42">
        <v>0</v>
      </c>
      <c r="L9" s="42">
        <f t="shared" si="0"/>
        <v>80</v>
      </c>
      <c r="M9" s="63"/>
    </row>
    <row r="10" spans="1:13" s="54" customFormat="1" ht="24.75" customHeight="1">
      <c r="A10" s="40">
        <v>45875</v>
      </c>
      <c r="B10" s="91"/>
      <c r="C10" s="91"/>
      <c r="D10" s="41">
        <v>213.8</v>
      </c>
      <c r="E10" s="62">
        <v>212.06</v>
      </c>
      <c r="F10" s="41">
        <v>767.26</v>
      </c>
      <c r="G10" s="61">
        <v>16</v>
      </c>
      <c r="H10" s="42">
        <v>0</v>
      </c>
      <c r="I10" s="61">
        <v>3</v>
      </c>
      <c r="J10" s="61">
        <v>70</v>
      </c>
      <c r="K10" s="42">
        <v>0</v>
      </c>
      <c r="L10" s="42">
        <f t="shared" si="0"/>
        <v>73</v>
      </c>
      <c r="M10" s="63"/>
    </row>
    <row r="11" spans="1:13" s="54" customFormat="1" ht="24.75" customHeight="1">
      <c r="A11" s="40">
        <v>45876</v>
      </c>
      <c r="B11" s="91"/>
      <c r="C11" s="91"/>
      <c r="D11" s="41">
        <v>213.8</v>
      </c>
      <c r="E11" s="62">
        <v>212.01</v>
      </c>
      <c r="F11" s="41">
        <v>762.03</v>
      </c>
      <c r="G11" s="61">
        <v>40</v>
      </c>
      <c r="H11" s="42">
        <v>0</v>
      </c>
      <c r="I11" s="61">
        <v>30</v>
      </c>
      <c r="J11" s="61">
        <v>70</v>
      </c>
      <c r="K11" s="42">
        <v>0</v>
      </c>
      <c r="L11" s="42">
        <f t="shared" si="0"/>
        <v>100</v>
      </c>
      <c r="M11" s="63"/>
    </row>
    <row r="12" spans="1:13" s="54" customFormat="1" ht="24.75" customHeight="1">
      <c r="A12" s="40">
        <v>45877</v>
      </c>
      <c r="B12" s="91"/>
      <c r="C12" s="91"/>
      <c r="D12" s="41">
        <v>213.8</v>
      </c>
      <c r="E12" s="62">
        <v>212.08</v>
      </c>
      <c r="F12" s="41">
        <v>769.35</v>
      </c>
      <c r="G12" s="61">
        <v>185</v>
      </c>
      <c r="H12" s="42">
        <v>0</v>
      </c>
      <c r="I12" s="61">
        <v>30</v>
      </c>
      <c r="J12" s="61">
        <v>70</v>
      </c>
      <c r="K12" s="42">
        <v>0</v>
      </c>
      <c r="L12" s="42">
        <f t="shared" si="0"/>
        <v>100</v>
      </c>
      <c r="M12" s="63"/>
    </row>
    <row r="13" spans="1:13" s="54" customFormat="1" ht="24.75" customHeight="1">
      <c r="A13" s="40">
        <v>45878</v>
      </c>
      <c r="B13" s="91"/>
      <c r="C13" s="91"/>
      <c r="D13" s="41">
        <v>213.8</v>
      </c>
      <c r="E13" s="62">
        <v>212.04</v>
      </c>
      <c r="F13" s="41">
        <v>765.17</v>
      </c>
      <c r="G13" s="61">
        <v>52</v>
      </c>
      <c r="H13" s="42">
        <v>0</v>
      </c>
      <c r="I13" s="61">
        <v>30</v>
      </c>
      <c r="J13" s="61">
        <v>70</v>
      </c>
      <c r="K13" s="42">
        <v>0</v>
      </c>
      <c r="L13" s="42">
        <f t="shared" si="0"/>
        <v>100</v>
      </c>
      <c r="M13" s="63"/>
    </row>
    <row r="14" spans="1:13" s="54" customFormat="1" ht="24.75" customHeight="1">
      <c r="A14" s="40">
        <v>45879</v>
      </c>
      <c r="B14" s="91"/>
      <c r="C14" s="91"/>
      <c r="D14" s="41">
        <v>213.8</v>
      </c>
      <c r="E14" s="62">
        <v>212.09</v>
      </c>
      <c r="F14" s="41">
        <v>770.4</v>
      </c>
      <c r="G14" s="61">
        <v>141</v>
      </c>
      <c r="H14" s="42">
        <v>0</v>
      </c>
      <c r="I14" s="61">
        <v>30</v>
      </c>
      <c r="J14" s="61">
        <v>50</v>
      </c>
      <c r="K14" s="42">
        <v>0</v>
      </c>
      <c r="L14" s="42">
        <f t="shared" si="0"/>
        <v>80</v>
      </c>
      <c r="M14" s="63"/>
    </row>
    <row r="15" spans="1:13" s="54" customFormat="1" ht="24.75" customHeight="1">
      <c r="A15" s="40">
        <v>45880</v>
      </c>
      <c r="B15" s="91"/>
      <c r="C15" s="91"/>
      <c r="D15" s="41">
        <v>213.8</v>
      </c>
      <c r="E15" s="62">
        <v>212.04</v>
      </c>
      <c r="F15" s="41">
        <v>765.17</v>
      </c>
      <c r="G15" s="61">
        <v>20</v>
      </c>
      <c r="H15" s="42">
        <v>0</v>
      </c>
      <c r="I15" s="61">
        <v>30</v>
      </c>
      <c r="J15" s="61">
        <v>50</v>
      </c>
      <c r="K15" s="42">
        <v>0</v>
      </c>
      <c r="L15" s="42">
        <f t="shared" si="0"/>
        <v>80</v>
      </c>
      <c r="M15" s="63"/>
    </row>
    <row r="16" spans="1:13" s="54" customFormat="1" ht="24.75" customHeight="1">
      <c r="A16" s="40">
        <v>45881</v>
      </c>
      <c r="B16" s="91"/>
      <c r="C16" s="91"/>
      <c r="D16" s="41">
        <v>213.8</v>
      </c>
      <c r="E16" s="62">
        <v>211.99</v>
      </c>
      <c r="F16" s="41">
        <v>759.94</v>
      </c>
      <c r="G16" s="61">
        <v>60</v>
      </c>
      <c r="H16" s="42">
        <v>0</v>
      </c>
      <c r="I16" s="61">
        <v>50</v>
      </c>
      <c r="J16" s="61">
        <v>70</v>
      </c>
      <c r="K16" s="42">
        <v>0</v>
      </c>
      <c r="L16" s="42">
        <f t="shared" si="0"/>
        <v>120</v>
      </c>
      <c r="M16" s="63"/>
    </row>
    <row r="17" spans="1:17" s="54" customFormat="1" ht="24.75" customHeight="1">
      <c r="A17" s="40">
        <v>45882</v>
      </c>
      <c r="B17" s="91"/>
      <c r="C17" s="91"/>
      <c r="D17" s="41">
        <v>213.8</v>
      </c>
      <c r="E17" s="62">
        <v>211.99</v>
      </c>
      <c r="F17" s="41">
        <v>759.94</v>
      </c>
      <c r="G17" s="61">
        <v>140</v>
      </c>
      <c r="H17" s="42">
        <v>0</v>
      </c>
      <c r="I17" s="61">
        <v>70</v>
      </c>
      <c r="J17" s="61">
        <v>70</v>
      </c>
      <c r="K17" s="42">
        <v>0</v>
      </c>
      <c r="L17" s="42">
        <f t="shared" si="0"/>
        <v>140</v>
      </c>
      <c r="M17" s="63"/>
    </row>
    <row r="18" spans="1:17" s="54" customFormat="1" ht="24.75" customHeight="1">
      <c r="A18" s="40">
        <v>45883</v>
      </c>
      <c r="B18" s="91"/>
      <c r="C18" s="91"/>
      <c r="D18" s="41">
        <v>213.8</v>
      </c>
      <c r="E18" s="62">
        <v>212.01</v>
      </c>
      <c r="F18" s="41">
        <v>762.03</v>
      </c>
      <c r="G18" s="61">
        <v>165</v>
      </c>
      <c r="H18" s="42">
        <v>0</v>
      </c>
      <c r="I18" s="61">
        <v>70</v>
      </c>
      <c r="J18" s="61">
        <v>70</v>
      </c>
      <c r="K18" s="42">
        <v>0</v>
      </c>
      <c r="L18" s="42">
        <f t="shared" si="0"/>
        <v>140</v>
      </c>
      <c r="M18" s="63"/>
    </row>
    <row r="19" spans="1:17" s="54" customFormat="1" ht="24.75" customHeight="1">
      <c r="A19" s="40">
        <v>45884</v>
      </c>
      <c r="B19" s="91"/>
      <c r="C19" s="91"/>
      <c r="D19" s="41">
        <v>213.8</v>
      </c>
      <c r="E19" s="62">
        <v>212.01</v>
      </c>
      <c r="F19" s="41">
        <v>762.03</v>
      </c>
      <c r="G19" s="61">
        <v>165</v>
      </c>
      <c r="H19" s="42">
        <v>0</v>
      </c>
      <c r="I19" s="61">
        <v>70</v>
      </c>
      <c r="J19" s="61">
        <v>70</v>
      </c>
      <c r="K19" s="42">
        <v>0</v>
      </c>
      <c r="L19" s="42">
        <f t="shared" si="0"/>
        <v>140</v>
      </c>
      <c r="M19" s="63"/>
      <c r="N19" s="60">
        <f>SUM(L7:L17)</f>
        <v>1003</v>
      </c>
    </row>
    <row r="20" spans="1:17" s="54" customFormat="1" ht="24.75" customHeight="1">
      <c r="A20" s="40">
        <v>45885</v>
      </c>
      <c r="B20" s="91"/>
      <c r="C20" s="91"/>
      <c r="D20" s="41">
        <v>213.8</v>
      </c>
      <c r="E20" s="62">
        <v>212</v>
      </c>
      <c r="F20" s="41">
        <v>760.99</v>
      </c>
      <c r="G20" s="61">
        <v>128</v>
      </c>
      <c r="H20" s="42">
        <v>0</v>
      </c>
      <c r="I20" s="61">
        <v>70</v>
      </c>
      <c r="J20" s="61">
        <v>70</v>
      </c>
      <c r="K20" s="42">
        <v>0</v>
      </c>
      <c r="L20" s="42">
        <f t="shared" si="0"/>
        <v>140</v>
      </c>
      <c r="M20" s="63"/>
      <c r="N20" s="54">
        <v>11574</v>
      </c>
      <c r="O20" s="54">
        <f>+N19/N20</f>
        <v>8.6659754622429586E-2</v>
      </c>
    </row>
    <row r="21" spans="1:17" s="54" customFormat="1" ht="24.75" customHeight="1">
      <c r="A21" s="40">
        <v>45886</v>
      </c>
      <c r="B21" s="91"/>
      <c r="C21" s="91"/>
      <c r="D21" s="41">
        <v>213.8</v>
      </c>
      <c r="E21" s="62">
        <v>212.1</v>
      </c>
      <c r="F21" s="41">
        <v>771.44</v>
      </c>
      <c r="G21" s="61">
        <v>116</v>
      </c>
      <c r="H21" s="42">
        <v>0</v>
      </c>
      <c r="I21" s="61">
        <v>70</v>
      </c>
      <c r="J21" s="61">
        <v>70</v>
      </c>
      <c r="K21" s="42">
        <v>0</v>
      </c>
      <c r="L21" s="42">
        <f t="shared" si="0"/>
        <v>140</v>
      </c>
      <c r="M21" s="63"/>
      <c r="N21" s="68">
        <f>SUM(G15:G21)</f>
        <v>794</v>
      </c>
      <c r="O21" s="54">
        <v>11574</v>
      </c>
      <c r="P21" s="54">
        <f>+N21/O21</f>
        <v>6.8602039053049943E-2</v>
      </c>
      <c r="Q21" s="54">
        <f>+N21*24*60*60/10^9</f>
        <v>6.8601599999999999E-2</v>
      </c>
    </row>
    <row r="22" spans="1:17" s="54" customFormat="1" ht="24.75" customHeight="1">
      <c r="A22" s="40">
        <v>45887</v>
      </c>
      <c r="B22" s="91"/>
      <c r="C22" s="91"/>
      <c r="D22" s="41">
        <v>213.8</v>
      </c>
      <c r="E22" s="62">
        <v>212.1</v>
      </c>
      <c r="F22" s="41">
        <v>771.44</v>
      </c>
      <c r="G22" s="61">
        <v>201</v>
      </c>
      <c r="H22" s="42">
        <v>0</v>
      </c>
      <c r="I22" s="61">
        <v>70</v>
      </c>
      <c r="J22" s="61">
        <v>70</v>
      </c>
      <c r="K22" s="42">
        <v>0</v>
      </c>
      <c r="L22" s="42">
        <f t="shared" si="0"/>
        <v>140</v>
      </c>
      <c r="M22" s="63"/>
    </row>
    <row r="23" spans="1:17" s="54" customFormat="1" ht="24.75" customHeight="1">
      <c r="A23" s="40">
        <v>45888</v>
      </c>
      <c r="B23" s="91"/>
      <c r="C23" s="91"/>
      <c r="D23" s="41">
        <v>213.8</v>
      </c>
      <c r="E23" s="62">
        <v>212.1</v>
      </c>
      <c r="F23" s="41">
        <v>771.44</v>
      </c>
      <c r="G23" s="61">
        <v>370</v>
      </c>
      <c r="H23" s="42">
        <v>0</v>
      </c>
      <c r="I23" s="61">
        <v>70</v>
      </c>
      <c r="J23" s="61">
        <v>70</v>
      </c>
      <c r="K23" s="42">
        <v>0</v>
      </c>
      <c r="L23" s="42">
        <f t="shared" si="0"/>
        <v>140</v>
      </c>
      <c r="M23" s="63"/>
    </row>
    <row r="24" spans="1:17" s="54" customFormat="1" ht="24.75" customHeight="1">
      <c r="A24" s="40">
        <v>45889</v>
      </c>
      <c r="B24" s="91"/>
      <c r="C24" s="91"/>
      <c r="D24" s="41">
        <v>213.8</v>
      </c>
      <c r="E24" s="62">
        <v>212.14</v>
      </c>
      <c r="F24" s="41">
        <v>775.63</v>
      </c>
      <c r="G24" s="61">
        <v>189</v>
      </c>
      <c r="H24" s="42">
        <v>0</v>
      </c>
      <c r="I24" s="61">
        <v>70</v>
      </c>
      <c r="J24" s="61">
        <v>70</v>
      </c>
      <c r="K24" s="42">
        <v>0</v>
      </c>
      <c r="L24" s="42">
        <f t="shared" si="0"/>
        <v>140</v>
      </c>
      <c r="M24" s="63"/>
    </row>
    <row r="25" spans="1:17" s="54" customFormat="1" ht="24.75" customHeight="1">
      <c r="A25" s="40">
        <v>45890</v>
      </c>
      <c r="B25" s="91"/>
      <c r="C25" s="91"/>
      <c r="D25" s="41">
        <v>213.8</v>
      </c>
      <c r="E25" s="62">
        <v>212.18</v>
      </c>
      <c r="F25" s="41">
        <v>779.81</v>
      </c>
      <c r="G25" s="61">
        <v>225</v>
      </c>
      <c r="H25" s="42">
        <v>0</v>
      </c>
      <c r="I25" s="61">
        <v>70</v>
      </c>
      <c r="J25" s="61">
        <v>70</v>
      </c>
      <c r="K25" s="42">
        <v>0</v>
      </c>
      <c r="L25" s="42">
        <f t="shared" si="0"/>
        <v>140</v>
      </c>
      <c r="M25" s="63"/>
    </row>
    <row r="26" spans="1:17" s="54" customFormat="1" ht="24.75" customHeight="1">
      <c r="A26" s="40">
        <v>45891</v>
      </c>
      <c r="B26" s="91"/>
      <c r="C26" s="91"/>
      <c r="D26" s="41">
        <v>213.8</v>
      </c>
      <c r="E26" s="62">
        <v>212.19</v>
      </c>
      <c r="F26" s="41">
        <v>780.85</v>
      </c>
      <c r="G26" s="61">
        <v>80</v>
      </c>
      <c r="H26" s="42">
        <v>0</v>
      </c>
      <c r="I26" s="61">
        <v>70</v>
      </c>
      <c r="J26" s="61">
        <v>70</v>
      </c>
      <c r="K26" s="42">
        <v>0</v>
      </c>
      <c r="L26" s="42">
        <f t="shared" si="0"/>
        <v>140</v>
      </c>
      <c r="M26" s="63"/>
      <c r="N26" s="55"/>
    </row>
    <row r="27" spans="1:17" s="54" customFormat="1" ht="24.75" customHeight="1">
      <c r="A27" s="40">
        <v>45892</v>
      </c>
      <c r="B27" s="91"/>
      <c r="C27" s="91"/>
      <c r="D27" s="41">
        <v>213.8</v>
      </c>
      <c r="E27" s="62">
        <v>212.2</v>
      </c>
      <c r="F27" s="41">
        <v>781.9</v>
      </c>
      <c r="G27" s="61">
        <v>104</v>
      </c>
      <c r="H27" s="42">
        <v>0</v>
      </c>
      <c r="I27" s="61">
        <v>70</v>
      </c>
      <c r="J27" s="61">
        <v>70</v>
      </c>
      <c r="K27" s="42">
        <v>0</v>
      </c>
      <c r="L27" s="42">
        <f t="shared" si="0"/>
        <v>140</v>
      </c>
      <c r="M27" s="63"/>
    </row>
    <row r="28" spans="1:17" s="54" customFormat="1" ht="24.75" customHeight="1">
      <c r="A28" s="40">
        <v>45893</v>
      </c>
      <c r="B28" s="91"/>
      <c r="C28" s="91"/>
      <c r="D28" s="41">
        <v>213.8</v>
      </c>
      <c r="E28" s="62">
        <v>212.24</v>
      </c>
      <c r="F28" s="41">
        <v>786.08</v>
      </c>
      <c r="G28" s="61">
        <v>80</v>
      </c>
      <c r="H28" s="42">
        <v>0</v>
      </c>
      <c r="I28" s="61">
        <v>70</v>
      </c>
      <c r="J28" s="61">
        <v>70</v>
      </c>
      <c r="K28" s="42">
        <v>0</v>
      </c>
      <c r="L28" s="42">
        <f t="shared" si="0"/>
        <v>140</v>
      </c>
      <c r="M28" s="63"/>
      <c r="N28" s="68">
        <f>SUM(G22:G28)</f>
        <v>1249</v>
      </c>
      <c r="O28" s="54">
        <v>11574</v>
      </c>
      <c r="P28" s="54">
        <f>+N28/O28</f>
        <v>0.10791429065146017</v>
      </c>
      <c r="Q28" s="54">
        <f>+N28*24*60*60/10^9</f>
        <v>0.1079136</v>
      </c>
    </row>
    <row r="29" spans="1:17" s="54" customFormat="1" ht="24.75" customHeight="1">
      <c r="A29" s="40">
        <v>45894</v>
      </c>
      <c r="B29" s="91"/>
      <c r="C29" s="91"/>
      <c r="D29" s="41">
        <v>213.8</v>
      </c>
      <c r="E29" s="62">
        <v>212.25</v>
      </c>
      <c r="F29" s="41">
        <v>787.13</v>
      </c>
      <c r="G29" s="61">
        <v>68</v>
      </c>
      <c r="H29" s="42">
        <v>0</v>
      </c>
      <c r="I29" s="61">
        <v>70</v>
      </c>
      <c r="J29" s="61">
        <v>70</v>
      </c>
      <c r="K29" s="42">
        <v>0</v>
      </c>
      <c r="L29" s="42">
        <f t="shared" si="0"/>
        <v>140</v>
      </c>
      <c r="M29" s="63"/>
    </row>
    <row r="30" spans="1:17" s="54" customFormat="1" ht="24.75" customHeight="1">
      <c r="A30" s="40">
        <v>45895</v>
      </c>
      <c r="B30" s="91"/>
      <c r="C30" s="91"/>
      <c r="D30" s="41">
        <v>213.8</v>
      </c>
      <c r="E30" s="62">
        <v>212.26</v>
      </c>
      <c r="F30" s="41">
        <v>788.17</v>
      </c>
      <c r="G30" s="61">
        <v>104</v>
      </c>
      <c r="H30" s="42">
        <v>0</v>
      </c>
      <c r="I30" s="61">
        <v>70</v>
      </c>
      <c r="J30" s="61">
        <v>70</v>
      </c>
      <c r="K30" s="42">
        <v>0</v>
      </c>
      <c r="L30" s="42">
        <f t="shared" si="0"/>
        <v>140</v>
      </c>
      <c r="M30" s="63"/>
    </row>
    <row r="31" spans="1:17" s="54" customFormat="1" ht="24.75" customHeight="1">
      <c r="A31" s="40">
        <v>45896</v>
      </c>
      <c r="B31" s="91"/>
      <c r="C31" s="91"/>
      <c r="D31" s="41">
        <v>213.8</v>
      </c>
      <c r="E31" s="62">
        <v>210.92</v>
      </c>
      <c r="F31" s="41">
        <v>648.86599999999999</v>
      </c>
      <c r="G31" s="61">
        <v>165</v>
      </c>
      <c r="H31" s="42">
        <v>0</v>
      </c>
      <c r="I31" s="61">
        <v>70</v>
      </c>
      <c r="J31" s="61">
        <v>70</v>
      </c>
      <c r="K31" s="42">
        <v>0</v>
      </c>
      <c r="L31" s="42">
        <f t="shared" si="0"/>
        <v>140</v>
      </c>
      <c r="M31" s="63"/>
    </row>
    <row r="32" spans="1:17" s="54" customFormat="1" ht="24.75" customHeight="1">
      <c r="A32" s="40">
        <v>45897</v>
      </c>
      <c r="B32" s="91"/>
      <c r="C32" s="91"/>
      <c r="D32" s="41">
        <v>213.8</v>
      </c>
      <c r="E32" s="62">
        <v>212.3</v>
      </c>
      <c r="F32" s="41">
        <v>792.35</v>
      </c>
      <c r="G32" s="61">
        <v>395</v>
      </c>
      <c r="H32" s="42">
        <v>0</v>
      </c>
      <c r="I32" s="61">
        <v>70</v>
      </c>
      <c r="J32" s="61">
        <v>70</v>
      </c>
      <c r="K32" s="42">
        <v>0</v>
      </c>
      <c r="L32" s="42">
        <f t="shared" si="0"/>
        <v>140</v>
      </c>
      <c r="M32" s="63"/>
    </row>
    <row r="33" spans="1:17" s="54" customFormat="1" ht="24.75" customHeight="1">
      <c r="A33" s="40">
        <v>45898</v>
      </c>
      <c r="B33" s="91"/>
      <c r="C33" s="91"/>
      <c r="D33" s="41">
        <v>213.8</v>
      </c>
      <c r="E33" s="62">
        <v>212.35</v>
      </c>
      <c r="F33" s="41">
        <v>797.58</v>
      </c>
      <c r="G33" s="61">
        <v>201</v>
      </c>
      <c r="H33" s="42">
        <v>0</v>
      </c>
      <c r="I33" s="61">
        <v>70</v>
      </c>
      <c r="J33" s="61">
        <v>70</v>
      </c>
      <c r="K33" s="42">
        <v>0</v>
      </c>
      <c r="L33" s="42">
        <f t="shared" si="0"/>
        <v>140</v>
      </c>
      <c r="M33" s="63"/>
    </row>
    <row r="34" spans="1:17" s="54" customFormat="1" ht="24.75" customHeight="1">
      <c r="A34" s="40">
        <v>45899</v>
      </c>
      <c r="B34" s="91"/>
      <c r="C34" s="91"/>
      <c r="D34" s="41">
        <v>213.8</v>
      </c>
      <c r="E34" s="62">
        <v>212.36</v>
      </c>
      <c r="F34" s="41">
        <v>798.63</v>
      </c>
      <c r="G34" s="61">
        <v>189</v>
      </c>
      <c r="H34" s="42">
        <v>0</v>
      </c>
      <c r="I34" s="61">
        <v>70</v>
      </c>
      <c r="J34" s="61">
        <v>70</v>
      </c>
      <c r="K34" s="42">
        <v>0</v>
      </c>
      <c r="L34" s="42">
        <f t="shared" si="0"/>
        <v>140</v>
      </c>
      <c r="M34" s="63"/>
    </row>
    <row r="35" spans="1:17" s="54" customFormat="1" ht="24.75" customHeight="1">
      <c r="A35" s="40">
        <v>45900</v>
      </c>
      <c r="B35" s="91"/>
      <c r="C35" s="91"/>
      <c r="D35" s="41">
        <v>213.8</v>
      </c>
      <c r="E35" s="62">
        <v>212.34</v>
      </c>
      <c r="F35" s="41">
        <v>796.54</v>
      </c>
      <c r="G35" s="61">
        <v>165</v>
      </c>
      <c r="H35" s="42">
        <v>0</v>
      </c>
      <c r="I35" s="61">
        <v>70</v>
      </c>
      <c r="J35" s="61">
        <v>70</v>
      </c>
      <c r="K35" s="42">
        <v>0</v>
      </c>
      <c r="L35" s="42">
        <f t="shared" si="0"/>
        <v>140</v>
      </c>
      <c r="M35" s="63"/>
      <c r="N35" s="68">
        <f>SUM(G29:G35)</f>
        <v>1287</v>
      </c>
      <c r="O35" s="54">
        <v>11574</v>
      </c>
      <c r="P35" s="54">
        <f>+N35/O35</f>
        <v>0.11119751166407466</v>
      </c>
      <c r="Q35" s="54">
        <f>+N35*24*60*60/10^9</f>
        <v>0.1111968</v>
      </c>
    </row>
    <row r="36" spans="1:17" ht="27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12"/>
    </row>
    <row r="37" spans="1:17" ht="37.5" customHeight="1">
      <c r="A37" s="34"/>
      <c r="B37" s="35"/>
      <c r="C37" s="4"/>
      <c r="D37" s="4"/>
      <c r="E37" s="4"/>
      <c r="F37" s="4"/>
      <c r="G37" s="4"/>
      <c r="H37" s="4"/>
      <c r="I37" s="4"/>
      <c r="J37" s="4"/>
      <c r="K37" s="50"/>
      <c r="L37" s="50"/>
      <c r="M37" s="52"/>
    </row>
    <row r="38" spans="1:17" ht="15.75" customHeight="1">
      <c r="A38" s="85" t="s">
        <v>9</v>
      </c>
      <c r="B38" s="86"/>
      <c r="C38" s="86"/>
      <c r="D38" s="86"/>
      <c r="I38" s="85" t="s">
        <v>10</v>
      </c>
      <c r="J38" s="86"/>
      <c r="K38" s="86"/>
      <c r="L38" s="86"/>
      <c r="M38" s="52"/>
    </row>
    <row r="39" spans="1:17" ht="15.75" customHeight="1">
      <c r="A39" s="85" t="s">
        <v>29</v>
      </c>
      <c r="B39" s="86"/>
      <c r="C39" s="86"/>
      <c r="D39" s="86"/>
      <c r="I39" s="85" t="s">
        <v>29</v>
      </c>
      <c r="J39" s="86"/>
      <c r="K39" s="86"/>
      <c r="L39" s="86"/>
      <c r="M39" s="52"/>
    </row>
    <row r="40" spans="1:17" ht="15.75" customHeight="1">
      <c r="A40" s="87"/>
      <c r="B40" s="86"/>
      <c r="C40" s="86"/>
      <c r="D40" s="86"/>
      <c r="I40" s="87"/>
      <c r="J40" s="86"/>
      <c r="K40" s="86"/>
      <c r="L40" s="86"/>
      <c r="M40" s="52"/>
    </row>
    <row r="41" spans="1:17" ht="15.75" customHeight="1">
      <c r="M41" s="52"/>
    </row>
    <row r="42" spans="1:17" ht="15.75" customHeight="1">
      <c r="M42" s="52"/>
    </row>
    <row r="43" spans="1:17" ht="15.75" customHeight="1">
      <c r="M43" s="52"/>
    </row>
    <row r="44" spans="1:17" ht="15.75" customHeight="1">
      <c r="M44" s="52"/>
    </row>
    <row r="45" spans="1:17" ht="15.75" customHeight="1">
      <c r="M45" s="52"/>
    </row>
    <row r="46" spans="1:17" ht="15.75" customHeight="1">
      <c r="M46" s="52"/>
    </row>
    <row r="47" spans="1:17" ht="15.75" customHeight="1">
      <c r="M47" s="52"/>
    </row>
    <row r="48" spans="1:17" ht="15.75" customHeight="1">
      <c r="M48" s="52"/>
    </row>
    <row r="49" spans="13:13" ht="15.75" customHeight="1">
      <c r="M49" s="52"/>
    </row>
    <row r="50" spans="13:13" ht="15.75" customHeight="1">
      <c r="M50" s="52"/>
    </row>
    <row r="51" spans="13:13" ht="15.75" customHeight="1">
      <c r="M51" s="52"/>
    </row>
    <row r="52" spans="13:13" ht="15.75" customHeight="1">
      <c r="M52" s="52"/>
    </row>
    <row r="53" spans="13:13" ht="15.75" customHeight="1">
      <c r="M53" s="52"/>
    </row>
    <row r="54" spans="13:13" ht="15.75" customHeight="1">
      <c r="M54" s="52"/>
    </row>
    <row r="55" spans="13:13" ht="15.75" customHeight="1">
      <c r="M55" s="52"/>
    </row>
    <row r="56" spans="13:13" ht="15.75" customHeight="1">
      <c r="M56" s="52"/>
    </row>
    <row r="57" spans="13:13" ht="15.75" customHeight="1">
      <c r="M57" s="52"/>
    </row>
    <row r="58" spans="13:13" ht="15.75" customHeight="1">
      <c r="M58" s="52"/>
    </row>
    <row r="59" spans="13:13" ht="15.75" customHeight="1">
      <c r="M59" s="52"/>
    </row>
    <row r="60" spans="13:13" ht="15.75" customHeight="1">
      <c r="M60" s="52"/>
    </row>
    <row r="61" spans="13:13" ht="15.75" customHeight="1">
      <c r="M61" s="52"/>
    </row>
    <row r="62" spans="13:13" ht="15.75" customHeight="1">
      <c r="M62" s="52"/>
    </row>
    <row r="63" spans="13:13" ht="15.75" customHeight="1">
      <c r="M63" s="52"/>
    </row>
    <row r="64" spans="13:13" ht="15.75" customHeight="1">
      <c r="M64" s="52"/>
    </row>
    <row r="65" spans="13:13" ht="15.75" customHeight="1">
      <c r="M65" s="52"/>
    </row>
    <row r="66" spans="13:13" ht="15.75" customHeight="1">
      <c r="M66" s="52"/>
    </row>
    <row r="67" spans="13:13" ht="15.75" customHeight="1">
      <c r="M67" s="52"/>
    </row>
    <row r="68" spans="13:13" ht="15.75" customHeight="1">
      <c r="M68" s="52"/>
    </row>
    <row r="69" spans="13:13" ht="15.75" customHeight="1">
      <c r="M69" s="52"/>
    </row>
    <row r="70" spans="13:13" ht="15.75" customHeight="1">
      <c r="M70" s="52"/>
    </row>
    <row r="71" spans="13:13" ht="15.75" customHeight="1">
      <c r="M71" s="52"/>
    </row>
    <row r="72" spans="13:13" ht="15.75" customHeight="1">
      <c r="M72" s="52"/>
    </row>
    <row r="73" spans="13:13" ht="15.75" customHeight="1">
      <c r="M73" s="52"/>
    </row>
    <row r="74" spans="13:13" ht="15.75" customHeight="1">
      <c r="M74" s="52"/>
    </row>
    <row r="75" spans="13:13" ht="15.75" customHeight="1">
      <c r="M75" s="52"/>
    </row>
    <row r="76" spans="13:13" ht="15.75" customHeight="1">
      <c r="M76" s="52"/>
    </row>
    <row r="77" spans="13:13" ht="15.75" customHeight="1">
      <c r="M77" s="52"/>
    </row>
    <row r="78" spans="13:13" ht="15.75" customHeight="1">
      <c r="M78" s="52"/>
    </row>
    <row r="79" spans="13:13" ht="15.75" customHeight="1">
      <c r="M79" s="52"/>
    </row>
    <row r="80" spans="13:13" ht="15.75" customHeight="1">
      <c r="M80" s="52"/>
    </row>
    <row r="81" spans="13:13" ht="15.75" customHeight="1">
      <c r="M81" s="52"/>
    </row>
    <row r="82" spans="13:13" ht="15.75" customHeight="1">
      <c r="M82" s="52"/>
    </row>
    <row r="83" spans="13:13" ht="15.75" customHeight="1">
      <c r="M83" s="52"/>
    </row>
    <row r="84" spans="13:13" ht="15.75" customHeight="1">
      <c r="M84" s="52"/>
    </row>
    <row r="85" spans="13:13" ht="15.75" customHeight="1">
      <c r="M85" s="52"/>
    </row>
    <row r="86" spans="13:13" ht="15.75" customHeight="1">
      <c r="M86" s="52"/>
    </row>
    <row r="87" spans="13:13" ht="15.75" customHeight="1">
      <c r="M87" s="52"/>
    </row>
    <row r="88" spans="13:13" ht="15.75" customHeight="1">
      <c r="M88" s="52"/>
    </row>
    <row r="89" spans="13:13" ht="15.75" customHeight="1">
      <c r="M89" s="52"/>
    </row>
    <row r="90" spans="13:13" ht="15.75" customHeight="1">
      <c r="M90" s="52"/>
    </row>
    <row r="91" spans="13:13" ht="15.75" customHeight="1">
      <c r="M91" s="52"/>
    </row>
    <row r="92" spans="13:13" ht="15.75" customHeight="1">
      <c r="M92" s="52"/>
    </row>
    <row r="93" spans="13:13" ht="15.75" customHeight="1">
      <c r="M93" s="52"/>
    </row>
    <row r="94" spans="13:13" ht="15.75" customHeight="1">
      <c r="M94" s="52"/>
    </row>
    <row r="95" spans="13:13" ht="15.75" customHeight="1">
      <c r="M95" s="52"/>
    </row>
    <row r="96" spans="13:13" ht="15.75" customHeight="1">
      <c r="M96" s="52"/>
    </row>
    <row r="97" spans="13:13" ht="15.75" customHeight="1">
      <c r="M97" s="52"/>
    </row>
    <row r="98" spans="13:13" ht="15.75" customHeight="1">
      <c r="M98" s="52"/>
    </row>
    <row r="99" spans="13:13" ht="15.75" customHeight="1">
      <c r="M99" s="52"/>
    </row>
    <row r="100" spans="13:13" ht="15.75" customHeight="1">
      <c r="M100" s="52"/>
    </row>
    <row r="101" spans="13:13" ht="15.75" customHeight="1">
      <c r="M101" s="52"/>
    </row>
    <row r="102" spans="13:13" ht="15.75" customHeight="1">
      <c r="M102" s="52"/>
    </row>
  </sheetData>
  <mergeCells count="20">
    <mergeCell ref="A39:D39"/>
    <mergeCell ref="I39:L39"/>
    <mergeCell ref="A40:D40"/>
    <mergeCell ref="I40:L40"/>
    <mergeCell ref="M3:M4"/>
    <mergeCell ref="B5:B35"/>
    <mergeCell ref="C5:C35"/>
    <mergeCell ref="A36:M36"/>
    <mergeCell ref="A38:D38"/>
    <mergeCell ref="I38:L38"/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</mergeCells>
  <printOptions horizontalCentered="1"/>
  <pageMargins left="0.7" right="0.7" top="0.75" bottom="0.75" header="0" footer="0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2"/>
  <sheetViews>
    <sheetView view="pageBreakPreview" zoomScale="60" zoomScaleNormal="100" workbookViewId="0">
      <pane xSplit="5" ySplit="4" topLeftCell="F19" activePane="bottomRight" state="frozen"/>
      <selection pane="topRight" activeCell="F1" sqref="F1"/>
      <selection pane="bottomLeft" activeCell="A5" sqref="A5"/>
      <selection pane="bottomRight" activeCell="R39" sqref="R39"/>
    </sheetView>
  </sheetViews>
  <sheetFormatPr defaultColWidth="14.42578125" defaultRowHeight="15" customHeight="1"/>
  <cols>
    <col min="1" max="1" width="12.42578125" style="23" customWidth="1"/>
    <col min="2" max="2" width="6.28515625" style="23" customWidth="1"/>
    <col min="3" max="3" width="5.140625" style="23" customWidth="1"/>
    <col min="4" max="4" width="10" style="23" customWidth="1"/>
    <col min="5" max="6" width="8.7109375" style="23" customWidth="1"/>
    <col min="7" max="7" width="9.85546875" style="23" customWidth="1"/>
    <col min="8" max="8" width="8.7109375" style="23" customWidth="1"/>
    <col min="9" max="9" width="8.42578125" style="23" customWidth="1"/>
    <col min="10" max="10" width="8.7109375" style="23" customWidth="1"/>
    <col min="11" max="11" width="6.42578125" style="23" customWidth="1"/>
    <col min="12" max="12" width="8.5703125" style="23" customWidth="1"/>
    <col min="13" max="13" width="8.85546875" style="23" customWidth="1"/>
    <col min="14" max="16384" width="14.42578125" style="23"/>
  </cols>
  <sheetData>
    <row r="1" spans="1:13" ht="14.25" customHeight="1">
      <c r="A1" s="93" t="s">
        <v>28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5.75" customHeigh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ht="14.25" customHeight="1">
      <c r="A3" s="99" t="s">
        <v>0</v>
      </c>
      <c r="B3" s="100" t="s">
        <v>1</v>
      </c>
      <c r="C3" s="100" t="s">
        <v>2</v>
      </c>
      <c r="D3" s="99" t="s">
        <v>3</v>
      </c>
      <c r="E3" s="99" t="s">
        <v>4</v>
      </c>
      <c r="F3" s="99" t="s">
        <v>19</v>
      </c>
      <c r="G3" s="99" t="s">
        <v>5</v>
      </c>
      <c r="H3" s="101" t="s">
        <v>6</v>
      </c>
      <c r="I3" s="102"/>
      <c r="J3" s="102"/>
      <c r="K3" s="102"/>
      <c r="L3" s="103" t="s">
        <v>7</v>
      </c>
      <c r="M3" s="89" t="s">
        <v>8</v>
      </c>
    </row>
    <row r="4" spans="1:13" ht="51.75" customHeight="1">
      <c r="A4" s="90"/>
      <c r="B4" s="90"/>
      <c r="C4" s="90"/>
      <c r="D4" s="90"/>
      <c r="E4" s="90"/>
      <c r="F4" s="90"/>
      <c r="G4" s="90"/>
      <c r="H4" s="24" t="s">
        <v>15</v>
      </c>
      <c r="I4" s="24" t="s">
        <v>13</v>
      </c>
      <c r="J4" s="24" t="s">
        <v>18</v>
      </c>
      <c r="K4" s="24" t="s">
        <v>14</v>
      </c>
      <c r="L4" s="90"/>
      <c r="M4" s="90"/>
    </row>
    <row r="5" spans="1:13" s="54" customFormat="1" ht="24.75" customHeight="1">
      <c r="A5" s="40">
        <v>45839</v>
      </c>
      <c r="B5" s="91" t="s">
        <v>11</v>
      </c>
      <c r="C5" s="91" t="s">
        <v>12</v>
      </c>
      <c r="D5" s="41">
        <v>213.8</v>
      </c>
      <c r="E5" s="17">
        <v>211.02</v>
      </c>
      <c r="F5" s="41">
        <v>659</v>
      </c>
      <c r="G5" s="8">
        <v>50</v>
      </c>
      <c r="H5" s="42">
        <v>0</v>
      </c>
      <c r="I5" s="43">
        <v>0</v>
      </c>
      <c r="J5" s="43">
        <v>0</v>
      </c>
      <c r="K5" s="42">
        <v>15</v>
      </c>
      <c r="L5" s="42">
        <f>H5+I5+J5+K5</f>
        <v>15</v>
      </c>
      <c r="M5" s="53"/>
    </row>
    <row r="6" spans="1:13" s="54" customFormat="1" ht="24.75" customHeight="1">
      <c r="A6" s="40">
        <v>45840</v>
      </c>
      <c r="B6" s="91"/>
      <c r="C6" s="91"/>
      <c r="D6" s="41">
        <v>213.8</v>
      </c>
      <c r="E6" s="17">
        <v>211.11</v>
      </c>
      <c r="F6" s="41">
        <v>668</v>
      </c>
      <c r="G6" s="8">
        <v>120</v>
      </c>
      <c r="H6" s="42">
        <v>0</v>
      </c>
      <c r="I6" s="43">
        <v>0</v>
      </c>
      <c r="J6" s="43">
        <v>0</v>
      </c>
      <c r="K6" s="42">
        <v>15</v>
      </c>
      <c r="L6" s="42">
        <f t="shared" ref="L6:L35" si="0">H6+I6+J6+K6</f>
        <v>15</v>
      </c>
      <c r="M6" s="53"/>
    </row>
    <row r="7" spans="1:13" s="54" customFormat="1" ht="24.75" customHeight="1">
      <c r="A7" s="40">
        <v>45841</v>
      </c>
      <c r="B7" s="91"/>
      <c r="C7" s="91"/>
      <c r="D7" s="41">
        <v>213.8</v>
      </c>
      <c r="E7" s="17">
        <v>211.24</v>
      </c>
      <c r="F7" s="41">
        <v>682</v>
      </c>
      <c r="G7" s="8">
        <v>178</v>
      </c>
      <c r="H7" s="42">
        <v>0</v>
      </c>
      <c r="I7" s="43">
        <v>0</v>
      </c>
      <c r="J7" s="43">
        <v>0</v>
      </c>
      <c r="K7" s="42">
        <v>15</v>
      </c>
      <c r="L7" s="42">
        <f t="shared" si="0"/>
        <v>15</v>
      </c>
      <c r="M7" s="53"/>
    </row>
    <row r="8" spans="1:13" s="54" customFormat="1" ht="24.75" customHeight="1">
      <c r="A8" s="40">
        <v>45842</v>
      </c>
      <c r="B8" s="91"/>
      <c r="C8" s="91"/>
      <c r="D8" s="41">
        <v>213.8</v>
      </c>
      <c r="E8" s="17">
        <v>211.38</v>
      </c>
      <c r="F8" s="41">
        <v>696</v>
      </c>
      <c r="G8" s="8">
        <v>178</v>
      </c>
      <c r="H8" s="42">
        <v>0</v>
      </c>
      <c r="I8" s="43">
        <v>0</v>
      </c>
      <c r="J8" s="43">
        <v>0</v>
      </c>
      <c r="K8" s="42">
        <v>15</v>
      </c>
      <c r="L8" s="42">
        <f t="shared" si="0"/>
        <v>15</v>
      </c>
      <c r="M8" s="53"/>
    </row>
    <row r="9" spans="1:13" s="54" customFormat="1" ht="24.75" customHeight="1">
      <c r="A9" s="40">
        <v>45843</v>
      </c>
      <c r="B9" s="91"/>
      <c r="C9" s="91"/>
      <c r="D9" s="41">
        <v>213.8</v>
      </c>
      <c r="E9" s="17">
        <v>211.5</v>
      </c>
      <c r="F9" s="41">
        <v>709</v>
      </c>
      <c r="G9" s="8">
        <v>166</v>
      </c>
      <c r="H9" s="42">
        <v>0</v>
      </c>
      <c r="I9" s="43">
        <v>0</v>
      </c>
      <c r="J9" s="43">
        <v>0</v>
      </c>
      <c r="K9" s="42">
        <v>15</v>
      </c>
      <c r="L9" s="42">
        <f t="shared" si="0"/>
        <v>15</v>
      </c>
      <c r="M9" s="53"/>
    </row>
    <row r="10" spans="1:13" s="54" customFormat="1" ht="24.75" customHeight="1">
      <c r="A10" s="40">
        <v>45844</v>
      </c>
      <c r="B10" s="91"/>
      <c r="C10" s="91"/>
      <c r="D10" s="41">
        <v>213.8</v>
      </c>
      <c r="E10" s="17">
        <v>211.6</v>
      </c>
      <c r="F10" s="41">
        <v>719</v>
      </c>
      <c r="G10" s="8">
        <v>131</v>
      </c>
      <c r="H10" s="42">
        <v>0</v>
      </c>
      <c r="I10" s="43">
        <v>0</v>
      </c>
      <c r="J10" s="43">
        <v>0</v>
      </c>
      <c r="K10" s="42">
        <v>15</v>
      </c>
      <c r="L10" s="42">
        <f t="shared" si="0"/>
        <v>15</v>
      </c>
      <c r="M10" s="53"/>
    </row>
    <row r="11" spans="1:13" s="54" customFormat="1" ht="24.75" customHeight="1">
      <c r="A11" s="40">
        <v>45845</v>
      </c>
      <c r="B11" s="91"/>
      <c r="C11" s="91"/>
      <c r="D11" s="41">
        <v>213.8</v>
      </c>
      <c r="E11" s="17">
        <v>211.69</v>
      </c>
      <c r="F11" s="41">
        <v>729</v>
      </c>
      <c r="G11" s="8">
        <v>131</v>
      </c>
      <c r="H11" s="42">
        <v>0</v>
      </c>
      <c r="I11" s="43">
        <v>0</v>
      </c>
      <c r="J11" s="43">
        <v>0</v>
      </c>
      <c r="K11" s="42">
        <v>15</v>
      </c>
      <c r="L11" s="42">
        <f t="shared" si="0"/>
        <v>15</v>
      </c>
      <c r="M11" s="53"/>
    </row>
    <row r="12" spans="1:13" s="54" customFormat="1" ht="24.75" customHeight="1">
      <c r="A12" s="40">
        <v>45846</v>
      </c>
      <c r="B12" s="91"/>
      <c r="C12" s="91"/>
      <c r="D12" s="41">
        <v>213.8</v>
      </c>
      <c r="E12" s="17">
        <v>211.75</v>
      </c>
      <c r="F12" s="41">
        <v>735</v>
      </c>
      <c r="G12" s="8">
        <v>85</v>
      </c>
      <c r="H12" s="42">
        <v>0</v>
      </c>
      <c r="I12" s="43">
        <v>0</v>
      </c>
      <c r="J12" s="43">
        <v>0</v>
      </c>
      <c r="K12" s="42">
        <v>15</v>
      </c>
      <c r="L12" s="42">
        <f t="shared" si="0"/>
        <v>15</v>
      </c>
      <c r="M12" s="53"/>
    </row>
    <row r="13" spans="1:13" s="54" customFormat="1" ht="24.75" customHeight="1">
      <c r="A13" s="40">
        <v>45847</v>
      </c>
      <c r="B13" s="91"/>
      <c r="C13" s="91"/>
      <c r="D13" s="41">
        <v>213.8</v>
      </c>
      <c r="E13" s="17">
        <v>211.8</v>
      </c>
      <c r="F13" s="41">
        <v>740.08</v>
      </c>
      <c r="G13" s="8">
        <v>74</v>
      </c>
      <c r="H13" s="42">
        <v>0</v>
      </c>
      <c r="I13" s="43">
        <v>0</v>
      </c>
      <c r="J13" s="43">
        <v>0</v>
      </c>
      <c r="K13" s="42">
        <v>15</v>
      </c>
      <c r="L13" s="42">
        <f t="shared" si="0"/>
        <v>15</v>
      </c>
      <c r="M13" s="53"/>
    </row>
    <row r="14" spans="1:13" s="54" customFormat="1" ht="24.75" customHeight="1">
      <c r="A14" s="40">
        <v>45848</v>
      </c>
      <c r="B14" s="91"/>
      <c r="C14" s="91"/>
      <c r="D14" s="41">
        <v>213.8</v>
      </c>
      <c r="E14" s="17">
        <v>211.86</v>
      </c>
      <c r="F14" s="41">
        <v>746.35</v>
      </c>
      <c r="G14" s="8">
        <v>88</v>
      </c>
      <c r="H14" s="42">
        <v>0</v>
      </c>
      <c r="I14" s="43">
        <v>0</v>
      </c>
      <c r="J14" s="43">
        <v>0</v>
      </c>
      <c r="K14" s="42">
        <v>15</v>
      </c>
      <c r="L14" s="42">
        <f t="shared" si="0"/>
        <v>15</v>
      </c>
      <c r="M14" s="53"/>
    </row>
    <row r="15" spans="1:13" s="54" customFormat="1" ht="24.75" customHeight="1">
      <c r="A15" s="40">
        <v>45849</v>
      </c>
      <c r="B15" s="91"/>
      <c r="C15" s="91"/>
      <c r="D15" s="41">
        <v>213.8</v>
      </c>
      <c r="E15" s="17">
        <v>211.9</v>
      </c>
      <c r="F15" s="41">
        <v>750.53</v>
      </c>
      <c r="G15" s="8">
        <v>64</v>
      </c>
      <c r="H15" s="42">
        <v>0</v>
      </c>
      <c r="I15" s="43">
        <v>0</v>
      </c>
      <c r="J15" s="43">
        <v>0</v>
      </c>
      <c r="K15" s="42">
        <v>15</v>
      </c>
      <c r="L15" s="42">
        <f t="shared" si="0"/>
        <v>15</v>
      </c>
      <c r="M15" s="53"/>
    </row>
    <row r="16" spans="1:13" s="54" customFormat="1" ht="24.75" customHeight="1">
      <c r="A16" s="40">
        <v>45850</v>
      </c>
      <c r="B16" s="91"/>
      <c r="C16" s="91"/>
      <c r="D16" s="41">
        <v>213.8</v>
      </c>
      <c r="E16" s="17">
        <v>211.9</v>
      </c>
      <c r="F16" s="41">
        <v>750.53</v>
      </c>
      <c r="G16" s="8">
        <v>16</v>
      </c>
      <c r="H16" s="42">
        <v>0</v>
      </c>
      <c r="I16" s="43">
        <v>0</v>
      </c>
      <c r="J16" s="43">
        <v>0</v>
      </c>
      <c r="K16" s="42">
        <v>15</v>
      </c>
      <c r="L16" s="42">
        <f t="shared" si="0"/>
        <v>15</v>
      </c>
      <c r="M16" s="53"/>
    </row>
    <row r="17" spans="1:14" s="54" customFormat="1" ht="24.75" customHeight="1">
      <c r="A17" s="40">
        <v>45851</v>
      </c>
      <c r="B17" s="91"/>
      <c r="C17" s="91"/>
      <c r="D17" s="41">
        <v>213.8</v>
      </c>
      <c r="E17" s="17">
        <v>211.92</v>
      </c>
      <c r="F17" s="41">
        <v>752.62</v>
      </c>
      <c r="G17" s="8">
        <v>40</v>
      </c>
      <c r="H17" s="42">
        <v>0</v>
      </c>
      <c r="I17" s="43">
        <v>0</v>
      </c>
      <c r="J17" s="43">
        <v>0</v>
      </c>
      <c r="K17" s="42">
        <v>15</v>
      </c>
      <c r="L17" s="42">
        <f t="shared" si="0"/>
        <v>15</v>
      </c>
      <c r="M17" s="53"/>
    </row>
    <row r="18" spans="1:14" s="54" customFormat="1" ht="24.75" customHeight="1">
      <c r="A18" s="40">
        <v>45852</v>
      </c>
      <c r="B18" s="91"/>
      <c r="C18" s="91"/>
      <c r="D18" s="41">
        <v>213.8</v>
      </c>
      <c r="E18" s="17">
        <v>211.93</v>
      </c>
      <c r="F18" s="41">
        <v>753.63</v>
      </c>
      <c r="G18" s="8">
        <v>28</v>
      </c>
      <c r="H18" s="42">
        <v>0</v>
      </c>
      <c r="I18" s="43">
        <v>0</v>
      </c>
      <c r="J18" s="43">
        <v>0</v>
      </c>
      <c r="K18" s="42">
        <v>15</v>
      </c>
      <c r="L18" s="42">
        <f t="shared" si="0"/>
        <v>15</v>
      </c>
      <c r="M18" s="53"/>
    </row>
    <row r="19" spans="1:14" s="54" customFormat="1" ht="24.75" customHeight="1">
      <c r="A19" s="40">
        <v>45853</v>
      </c>
      <c r="B19" s="91"/>
      <c r="C19" s="91"/>
      <c r="D19" s="41">
        <v>213.8</v>
      </c>
      <c r="E19" s="17">
        <v>211.95</v>
      </c>
      <c r="F19" s="41">
        <v>755.76</v>
      </c>
      <c r="G19" s="8">
        <v>40</v>
      </c>
      <c r="H19" s="42">
        <v>0</v>
      </c>
      <c r="I19" s="43">
        <v>0</v>
      </c>
      <c r="J19" s="43">
        <v>0</v>
      </c>
      <c r="K19" s="42">
        <v>15</v>
      </c>
      <c r="L19" s="42">
        <f t="shared" si="0"/>
        <v>15</v>
      </c>
      <c r="M19" s="53"/>
    </row>
    <row r="20" spans="1:14" s="54" customFormat="1" ht="24.75" customHeight="1">
      <c r="A20" s="40">
        <v>45854</v>
      </c>
      <c r="B20" s="91"/>
      <c r="C20" s="91"/>
      <c r="D20" s="41">
        <v>213.8</v>
      </c>
      <c r="E20" s="17">
        <v>212</v>
      </c>
      <c r="F20" s="41">
        <v>760.99</v>
      </c>
      <c r="G20" s="8">
        <v>76</v>
      </c>
      <c r="H20" s="42">
        <v>0</v>
      </c>
      <c r="I20" s="43">
        <v>0</v>
      </c>
      <c r="J20" s="43">
        <v>0</v>
      </c>
      <c r="K20" s="42">
        <v>15</v>
      </c>
      <c r="L20" s="42">
        <f t="shared" si="0"/>
        <v>15</v>
      </c>
      <c r="M20" s="53"/>
    </row>
    <row r="21" spans="1:14" s="54" customFormat="1" ht="24.75" customHeight="1">
      <c r="A21" s="40">
        <v>45855</v>
      </c>
      <c r="B21" s="91"/>
      <c r="C21" s="91"/>
      <c r="D21" s="41">
        <v>213.8</v>
      </c>
      <c r="E21" s="17">
        <v>212.1</v>
      </c>
      <c r="F21" s="41">
        <v>771.44</v>
      </c>
      <c r="G21" s="8">
        <v>136</v>
      </c>
      <c r="H21" s="42">
        <v>0</v>
      </c>
      <c r="I21" s="43">
        <v>0</v>
      </c>
      <c r="J21" s="43">
        <v>0</v>
      </c>
      <c r="K21" s="42">
        <v>15</v>
      </c>
      <c r="L21" s="42">
        <f t="shared" si="0"/>
        <v>15</v>
      </c>
      <c r="M21" s="53"/>
    </row>
    <row r="22" spans="1:14" s="54" customFormat="1" ht="24.75" customHeight="1">
      <c r="A22" s="40">
        <v>45856</v>
      </c>
      <c r="B22" s="91"/>
      <c r="C22" s="91"/>
      <c r="D22" s="41">
        <v>213.8</v>
      </c>
      <c r="E22" s="17">
        <v>212.1</v>
      </c>
      <c r="F22" s="41">
        <v>771.44</v>
      </c>
      <c r="G22" s="8">
        <v>16</v>
      </c>
      <c r="H22" s="42">
        <v>0</v>
      </c>
      <c r="I22" s="43">
        <v>0</v>
      </c>
      <c r="J22" s="43">
        <v>0</v>
      </c>
      <c r="K22" s="42">
        <v>15</v>
      </c>
      <c r="L22" s="42">
        <f t="shared" si="0"/>
        <v>15</v>
      </c>
      <c r="M22" s="53"/>
    </row>
    <row r="23" spans="1:14" s="54" customFormat="1" ht="24.75" customHeight="1">
      <c r="A23" s="40">
        <v>45857</v>
      </c>
      <c r="B23" s="91"/>
      <c r="C23" s="91"/>
      <c r="D23" s="41">
        <v>213.8</v>
      </c>
      <c r="E23" s="17">
        <v>212.1</v>
      </c>
      <c r="F23" s="41">
        <v>771.44</v>
      </c>
      <c r="G23" s="8">
        <v>16</v>
      </c>
      <c r="H23" s="42">
        <v>0</v>
      </c>
      <c r="I23" s="43">
        <v>0</v>
      </c>
      <c r="J23" s="43">
        <v>0</v>
      </c>
      <c r="K23" s="42">
        <v>15</v>
      </c>
      <c r="L23" s="42">
        <f t="shared" si="0"/>
        <v>15</v>
      </c>
      <c r="M23" s="53"/>
    </row>
    <row r="24" spans="1:14" s="54" customFormat="1" ht="24.75" customHeight="1">
      <c r="A24" s="40">
        <v>45858</v>
      </c>
      <c r="B24" s="91"/>
      <c r="C24" s="91"/>
      <c r="D24" s="41">
        <v>213.8</v>
      </c>
      <c r="E24" s="17">
        <v>212.14</v>
      </c>
      <c r="F24" s="41">
        <v>775.63</v>
      </c>
      <c r="G24" s="8">
        <v>64</v>
      </c>
      <c r="H24" s="42">
        <v>0</v>
      </c>
      <c r="I24" s="43">
        <v>0</v>
      </c>
      <c r="J24" s="43">
        <v>0</v>
      </c>
      <c r="K24" s="42">
        <v>15</v>
      </c>
      <c r="L24" s="42">
        <f t="shared" si="0"/>
        <v>15</v>
      </c>
      <c r="M24" s="53"/>
    </row>
    <row r="25" spans="1:14" s="54" customFormat="1" ht="24.75" customHeight="1">
      <c r="A25" s="40">
        <v>45859</v>
      </c>
      <c r="B25" s="91"/>
      <c r="C25" s="91"/>
      <c r="D25" s="41">
        <v>213.8</v>
      </c>
      <c r="E25" s="17">
        <v>212.18</v>
      </c>
      <c r="F25" s="41">
        <v>779.81</v>
      </c>
      <c r="G25" s="8">
        <v>64</v>
      </c>
      <c r="H25" s="42">
        <v>0</v>
      </c>
      <c r="I25" s="43">
        <v>0</v>
      </c>
      <c r="J25" s="43">
        <v>0</v>
      </c>
      <c r="K25" s="42">
        <v>15</v>
      </c>
      <c r="L25" s="42">
        <f t="shared" si="0"/>
        <v>15</v>
      </c>
      <c r="M25" s="53"/>
    </row>
    <row r="26" spans="1:14" s="54" customFormat="1" ht="24.75" customHeight="1">
      <c r="A26" s="40">
        <v>45860</v>
      </c>
      <c r="B26" s="91"/>
      <c r="C26" s="91"/>
      <c r="D26" s="41">
        <v>213.8</v>
      </c>
      <c r="E26" s="17">
        <v>212.19</v>
      </c>
      <c r="F26" s="41">
        <v>780.85</v>
      </c>
      <c r="G26" s="8">
        <v>28</v>
      </c>
      <c r="H26" s="42">
        <v>0</v>
      </c>
      <c r="I26" s="43">
        <v>0</v>
      </c>
      <c r="J26" s="43">
        <v>0</v>
      </c>
      <c r="K26" s="42">
        <v>15</v>
      </c>
      <c r="L26" s="42">
        <f t="shared" si="0"/>
        <v>15</v>
      </c>
      <c r="M26" s="53"/>
      <c r="N26" s="55"/>
    </row>
    <row r="27" spans="1:14" s="54" customFormat="1" ht="24.75" customHeight="1">
      <c r="A27" s="40">
        <v>45861</v>
      </c>
      <c r="B27" s="91"/>
      <c r="C27" s="91"/>
      <c r="D27" s="41">
        <v>213.8</v>
      </c>
      <c r="E27" s="17">
        <v>212.2</v>
      </c>
      <c r="F27" s="41">
        <v>781.9</v>
      </c>
      <c r="G27" s="8">
        <v>28</v>
      </c>
      <c r="H27" s="42">
        <v>0</v>
      </c>
      <c r="I27" s="43">
        <v>0</v>
      </c>
      <c r="J27" s="43">
        <v>0</v>
      </c>
      <c r="K27" s="42">
        <v>15</v>
      </c>
      <c r="L27" s="42">
        <f t="shared" si="0"/>
        <v>15</v>
      </c>
      <c r="M27" s="53"/>
    </row>
    <row r="28" spans="1:14" s="54" customFormat="1" ht="24.75" customHeight="1">
      <c r="A28" s="40">
        <v>45862</v>
      </c>
      <c r="B28" s="91"/>
      <c r="C28" s="91"/>
      <c r="D28" s="41">
        <v>213.8</v>
      </c>
      <c r="E28" s="17">
        <v>212.24</v>
      </c>
      <c r="F28" s="41">
        <v>786.08</v>
      </c>
      <c r="G28" s="8">
        <v>64</v>
      </c>
      <c r="H28" s="42">
        <v>0</v>
      </c>
      <c r="I28" s="43">
        <v>0</v>
      </c>
      <c r="J28" s="43">
        <v>0</v>
      </c>
      <c r="K28" s="42">
        <v>15</v>
      </c>
      <c r="L28" s="42">
        <f t="shared" si="0"/>
        <v>15</v>
      </c>
      <c r="M28" s="53"/>
    </row>
    <row r="29" spans="1:14" s="54" customFormat="1" ht="24.75" customHeight="1">
      <c r="A29" s="40">
        <v>45863</v>
      </c>
      <c r="B29" s="91"/>
      <c r="C29" s="91"/>
      <c r="D29" s="41">
        <v>213.8</v>
      </c>
      <c r="E29" s="17">
        <v>212.25</v>
      </c>
      <c r="F29" s="41">
        <v>787.13</v>
      </c>
      <c r="G29" s="8">
        <v>28</v>
      </c>
      <c r="H29" s="42">
        <v>0</v>
      </c>
      <c r="I29" s="43">
        <v>0</v>
      </c>
      <c r="J29" s="43">
        <v>0</v>
      </c>
      <c r="K29" s="42">
        <v>15</v>
      </c>
      <c r="L29" s="42">
        <f t="shared" si="0"/>
        <v>15</v>
      </c>
      <c r="M29" s="53"/>
    </row>
    <row r="30" spans="1:14" s="54" customFormat="1" ht="24.75" customHeight="1">
      <c r="A30" s="40">
        <v>45864</v>
      </c>
      <c r="B30" s="91"/>
      <c r="C30" s="91"/>
      <c r="D30" s="41">
        <v>213.8</v>
      </c>
      <c r="E30" s="17">
        <v>212.26</v>
      </c>
      <c r="F30" s="41">
        <v>788.17</v>
      </c>
      <c r="G30" s="8">
        <v>28</v>
      </c>
      <c r="H30" s="42">
        <v>0</v>
      </c>
      <c r="I30" s="43">
        <v>0</v>
      </c>
      <c r="J30" s="43">
        <v>0</v>
      </c>
      <c r="K30" s="42">
        <v>15</v>
      </c>
      <c r="L30" s="42">
        <f t="shared" si="0"/>
        <v>15</v>
      </c>
      <c r="M30" s="53"/>
    </row>
    <row r="31" spans="1:14" s="54" customFormat="1" ht="24.75" customHeight="1">
      <c r="A31" s="40">
        <v>45865</v>
      </c>
      <c r="B31" s="91"/>
      <c r="C31" s="91"/>
      <c r="D31" s="41">
        <v>213.8</v>
      </c>
      <c r="E31" s="17">
        <v>210.92</v>
      </c>
      <c r="F31" s="41">
        <v>648.86599999999999</v>
      </c>
      <c r="G31" s="8">
        <v>50</v>
      </c>
      <c r="H31" s="42">
        <v>0</v>
      </c>
      <c r="I31" s="43">
        <v>0</v>
      </c>
      <c r="J31" s="43">
        <v>0</v>
      </c>
      <c r="K31" s="42">
        <v>15</v>
      </c>
      <c r="L31" s="42">
        <f t="shared" si="0"/>
        <v>15</v>
      </c>
      <c r="M31" s="53"/>
    </row>
    <row r="32" spans="1:14" s="54" customFormat="1" ht="24.75" customHeight="1">
      <c r="A32" s="40">
        <v>45866</v>
      </c>
      <c r="B32" s="91"/>
      <c r="C32" s="91"/>
      <c r="D32" s="41">
        <v>213.8</v>
      </c>
      <c r="E32" s="17">
        <v>212.3</v>
      </c>
      <c r="F32" s="41">
        <v>792.35</v>
      </c>
      <c r="G32" s="8">
        <v>28</v>
      </c>
      <c r="H32" s="42">
        <v>0</v>
      </c>
      <c r="I32" s="43">
        <v>0</v>
      </c>
      <c r="J32" s="43">
        <v>0</v>
      </c>
      <c r="K32" s="42">
        <v>15</v>
      </c>
      <c r="L32" s="42">
        <f t="shared" si="0"/>
        <v>15</v>
      </c>
      <c r="M32" s="53"/>
    </row>
    <row r="33" spans="1:14" s="54" customFormat="1" ht="24.75" customHeight="1">
      <c r="A33" s="40">
        <v>45867</v>
      </c>
      <c r="B33" s="91"/>
      <c r="C33" s="91"/>
      <c r="D33" s="41">
        <v>213.8</v>
      </c>
      <c r="E33" s="17">
        <v>212.35</v>
      </c>
      <c r="F33" s="41">
        <v>797.58</v>
      </c>
      <c r="G33" s="8">
        <v>76</v>
      </c>
      <c r="H33" s="42">
        <v>0</v>
      </c>
      <c r="I33" s="43">
        <v>0</v>
      </c>
      <c r="J33" s="43">
        <v>0</v>
      </c>
      <c r="K33" s="42">
        <v>15</v>
      </c>
      <c r="L33" s="42">
        <f t="shared" si="0"/>
        <v>15</v>
      </c>
      <c r="M33" s="53"/>
    </row>
    <row r="34" spans="1:14" s="54" customFormat="1" ht="24.75" customHeight="1">
      <c r="A34" s="40">
        <v>45868</v>
      </c>
      <c r="B34" s="91"/>
      <c r="C34" s="91"/>
      <c r="D34" s="41">
        <v>213.8</v>
      </c>
      <c r="E34" s="17">
        <v>212.36</v>
      </c>
      <c r="F34" s="41">
        <v>798.63</v>
      </c>
      <c r="G34" s="8">
        <v>28</v>
      </c>
      <c r="H34" s="42">
        <v>0</v>
      </c>
      <c r="I34" s="43">
        <v>0</v>
      </c>
      <c r="J34" s="43">
        <v>0</v>
      </c>
      <c r="K34" s="42">
        <v>15</v>
      </c>
      <c r="L34" s="42">
        <f t="shared" si="0"/>
        <v>15</v>
      </c>
      <c r="M34" s="53"/>
    </row>
    <row r="35" spans="1:14" s="54" customFormat="1" ht="24.75" customHeight="1">
      <c r="A35" s="40">
        <v>45869</v>
      </c>
      <c r="B35" s="91"/>
      <c r="C35" s="91"/>
      <c r="D35" s="41">
        <v>213.8</v>
      </c>
      <c r="E35" s="17">
        <v>212.34</v>
      </c>
      <c r="F35" s="41">
        <v>796.54</v>
      </c>
      <c r="G35" s="8">
        <v>0</v>
      </c>
      <c r="H35" s="42">
        <v>0</v>
      </c>
      <c r="I35" s="43">
        <v>0</v>
      </c>
      <c r="J35" s="43">
        <v>0</v>
      </c>
      <c r="K35" s="42">
        <v>15</v>
      </c>
      <c r="L35" s="42">
        <f t="shared" si="0"/>
        <v>15</v>
      </c>
      <c r="M35" s="53"/>
    </row>
    <row r="36" spans="1:14" ht="27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12"/>
    </row>
    <row r="37" spans="1:14" ht="37.5" customHeight="1">
      <c r="A37" s="34"/>
      <c r="B37" s="35"/>
      <c r="C37" s="4"/>
      <c r="D37" s="4"/>
      <c r="E37" s="4"/>
      <c r="F37" s="4"/>
      <c r="G37" s="4"/>
      <c r="H37" s="4"/>
      <c r="I37" s="4"/>
      <c r="J37" s="4"/>
      <c r="K37" s="38"/>
      <c r="L37" s="38"/>
      <c r="M37" s="39"/>
    </row>
    <row r="38" spans="1:14" ht="15.75" customHeight="1">
      <c r="A38" s="85" t="s">
        <v>9</v>
      </c>
      <c r="B38" s="86"/>
      <c r="C38" s="86"/>
      <c r="D38" s="86"/>
      <c r="I38" s="85" t="s">
        <v>10</v>
      </c>
      <c r="J38" s="86"/>
      <c r="K38" s="86"/>
      <c r="L38" s="86"/>
      <c r="M38" s="39"/>
    </row>
    <row r="39" spans="1:14" ht="15.75" customHeight="1">
      <c r="A39" s="85" t="s">
        <v>29</v>
      </c>
      <c r="B39" s="86"/>
      <c r="C39" s="86"/>
      <c r="D39" s="86"/>
      <c r="I39" s="85" t="s">
        <v>29</v>
      </c>
      <c r="J39" s="86"/>
      <c r="K39" s="86"/>
      <c r="L39" s="86"/>
      <c r="M39" s="39"/>
    </row>
    <row r="40" spans="1:14" ht="15.75" customHeight="1">
      <c r="A40" s="87"/>
      <c r="B40" s="86"/>
      <c r="C40" s="86"/>
      <c r="D40" s="86"/>
      <c r="I40" s="87"/>
      <c r="J40" s="86"/>
      <c r="K40" s="86"/>
      <c r="L40" s="86"/>
      <c r="M40" s="39"/>
    </row>
    <row r="41" spans="1:14" ht="15.75" customHeight="1">
      <c r="M41" s="39"/>
    </row>
    <row r="42" spans="1:14" ht="15.75" customHeight="1">
      <c r="M42" s="39"/>
    </row>
    <row r="43" spans="1:14" ht="15.75" customHeight="1">
      <c r="M43" s="39"/>
    </row>
    <row r="44" spans="1:14" ht="15.75" customHeight="1">
      <c r="M44" s="39"/>
    </row>
    <row r="45" spans="1:14" ht="15.75" customHeight="1">
      <c r="M45" s="39"/>
    </row>
    <row r="46" spans="1:14" ht="15.75" customHeight="1">
      <c r="M46" s="39"/>
    </row>
    <row r="47" spans="1:14" ht="15.75" customHeight="1">
      <c r="M47" s="39"/>
    </row>
    <row r="48" spans="1:14" ht="15.75" customHeight="1">
      <c r="M48" s="39"/>
    </row>
    <row r="49" spans="13:13" ht="15.75" customHeight="1">
      <c r="M49" s="39"/>
    </row>
    <row r="50" spans="13:13" ht="15.75" customHeight="1">
      <c r="M50" s="39"/>
    </row>
    <row r="51" spans="13:13" ht="15.75" customHeight="1">
      <c r="M51" s="39"/>
    </row>
    <row r="52" spans="13:13" ht="15.75" customHeight="1">
      <c r="M52" s="39"/>
    </row>
    <row r="53" spans="13:13" ht="15.75" customHeight="1">
      <c r="M53" s="39"/>
    </row>
    <row r="54" spans="13:13" ht="15.75" customHeight="1">
      <c r="M54" s="39"/>
    </row>
    <row r="55" spans="13:13" ht="15.75" customHeight="1">
      <c r="M55" s="39"/>
    </row>
    <row r="56" spans="13:13" ht="15.75" customHeight="1">
      <c r="M56" s="39"/>
    </row>
    <row r="57" spans="13:13" ht="15.75" customHeight="1">
      <c r="M57" s="39"/>
    </row>
    <row r="58" spans="13:13" ht="15.75" customHeight="1">
      <c r="M58" s="39"/>
    </row>
    <row r="59" spans="13:13" ht="15.75" customHeight="1">
      <c r="M59" s="39"/>
    </row>
    <row r="60" spans="13:13" ht="15.75" customHeight="1">
      <c r="M60" s="39"/>
    </row>
    <row r="61" spans="13:13" ht="15.75" customHeight="1">
      <c r="M61" s="39"/>
    </row>
    <row r="62" spans="13:13" ht="15.75" customHeight="1">
      <c r="M62" s="39"/>
    </row>
    <row r="63" spans="13:13" ht="15.75" customHeight="1">
      <c r="M63" s="39"/>
    </row>
    <row r="64" spans="13:13" ht="15.75" customHeight="1">
      <c r="M64" s="39"/>
    </row>
    <row r="65" spans="13:13" ht="15.75" customHeight="1">
      <c r="M65" s="39"/>
    </row>
    <row r="66" spans="13:13" ht="15.75" customHeight="1">
      <c r="M66" s="39"/>
    </row>
    <row r="67" spans="13:13" ht="15.75" customHeight="1">
      <c r="M67" s="39"/>
    </row>
    <row r="68" spans="13:13" ht="15.75" customHeight="1">
      <c r="M68" s="39"/>
    </row>
    <row r="69" spans="13:13" ht="15.75" customHeight="1">
      <c r="M69" s="39"/>
    </row>
    <row r="70" spans="13:13" ht="15.75" customHeight="1">
      <c r="M70" s="39"/>
    </row>
    <row r="71" spans="13:13" ht="15.75" customHeight="1">
      <c r="M71" s="39"/>
    </row>
    <row r="72" spans="13:13" ht="15.75" customHeight="1">
      <c r="M72" s="39"/>
    </row>
    <row r="73" spans="13:13" ht="15.75" customHeight="1">
      <c r="M73" s="39"/>
    </row>
    <row r="74" spans="13:13" ht="15.75" customHeight="1">
      <c r="M74" s="39"/>
    </row>
    <row r="75" spans="13:13" ht="15.75" customHeight="1">
      <c r="M75" s="39"/>
    </row>
    <row r="76" spans="13:13" ht="15.75" customHeight="1">
      <c r="M76" s="39"/>
    </row>
    <row r="77" spans="13:13" ht="15.75" customHeight="1">
      <c r="M77" s="39"/>
    </row>
    <row r="78" spans="13:13" ht="15.75" customHeight="1">
      <c r="M78" s="39"/>
    </row>
    <row r="79" spans="13:13" ht="15.75" customHeight="1">
      <c r="M79" s="39"/>
    </row>
    <row r="80" spans="13:13" ht="15.75" customHeight="1">
      <c r="M80" s="39"/>
    </row>
    <row r="81" spans="13:13" ht="15.75" customHeight="1">
      <c r="M81" s="39"/>
    </row>
    <row r="82" spans="13:13" ht="15.75" customHeight="1">
      <c r="M82" s="39"/>
    </row>
    <row r="83" spans="13:13" ht="15.75" customHeight="1">
      <c r="M83" s="39"/>
    </row>
    <row r="84" spans="13:13" ht="15.75" customHeight="1">
      <c r="M84" s="39"/>
    </row>
    <row r="85" spans="13:13" ht="15.75" customHeight="1">
      <c r="M85" s="39"/>
    </row>
    <row r="86" spans="13:13" ht="15.75" customHeight="1">
      <c r="M86" s="39"/>
    </row>
    <row r="87" spans="13:13" ht="15.75" customHeight="1">
      <c r="M87" s="39"/>
    </row>
    <row r="88" spans="13:13" ht="15.75" customHeight="1">
      <c r="M88" s="39"/>
    </row>
    <row r="89" spans="13:13" ht="15.75" customHeight="1">
      <c r="M89" s="39"/>
    </row>
    <row r="90" spans="13:13" ht="15.75" customHeight="1">
      <c r="M90" s="39"/>
    </row>
    <row r="91" spans="13:13" ht="15.75" customHeight="1">
      <c r="M91" s="39"/>
    </row>
    <row r="92" spans="13:13" ht="15.75" customHeight="1">
      <c r="M92" s="39"/>
    </row>
    <row r="93" spans="13:13" ht="15.75" customHeight="1">
      <c r="M93" s="39"/>
    </row>
    <row r="94" spans="13:13" ht="15.75" customHeight="1">
      <c r="M94" s="39"/>
    </row>
    <row r="95" spans="13:13" ht="15.75" customHeight="1">
      <c r="M95" s="39"/>
    </row>
    <row r="96" spans="13:13" ht="15.75" customHeight="1">
      <c r="M96" s="39"/>
    </row>
    <row r="97" spans="13:13" ht="15.75" customHeight="1">
      <c r="M97" s="39"/>
    </row>
    <row r="98" spans="13:13" ht="15.75" customHeight="1">
      <c r="M98" s="39"/>
    </row>
    <row r="99" spans="13:13" ht="15.75" customHeight="1">
      <c r="M99" s="39"/>
    </row>
    <row r="100" spans="13:13" ht="15.75" customHeight="1">
      <c r="M100" s="39"/>
    </row>
    <row r="101" spans="13:13" ht="15.75" customHeight="1">
      <c r="M101" s="39"/>
    </row>
    <row r="102" spans="13:13" ht="15.75" customHeight="1">
      <c r="M102" s="39"/>
    </row>
  </sheetData>
  <mergeCells count="20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39:D39"/>
    <mergeCell ref="I39:L39"/>
    <mergeCell ref="A40:D40"/>
    <mergeCell ref="I40:L40"/>
    <mergeCell ref="M3:M4"/>
    <mergeCell ref="B5:B35"/>
    <mergeCell ref="C5:C35"/>
    <mergeCell ref="A36:M36"/>
    <mergeCell ref="A38:D38"/>
    <mergeCell ref="I38:L38"/>
  </mergeCells>
  <printOptions horizontalCentered="1"/>
  <pageMargins left="0.7" right="0.7" top="0.75" bottom="0.75" header="0" footer="0"/>
  <pageSetup paperSize="9" scale="7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workbookViewId="0">
      <selection activeCell="N17" sqref="N17"/>
    </sheetView>
  </sheetViews>
  <sheetFormatPr defaultColWidth="14.42578125" defaultRowHeight="15" customHeight="1"/>
  <cols>
    <col min="1" max="1" width="12.42578125" style="47" customWidth="1"/>
    <col min="2" max="2" width="6.28515625" style="47" customWidth="1"/>
    <col min="3" max="3" width="5.140625" style="47" customWidth="1"/>
    <col min="4" max="4" width="10" style="47" customWidth="1"/>
    <col min="5" max="6" width="8.7109375" style="47" customWidth="1"/>
    <col min="7" max="7" width="9.85546875" style="47" customWidth="1"/>
    <col min="8" max="8" width="8.7109375" style="47" customWidth="1"/>
    <col min="9" max="9" width="8.42578125" style="47" customWidth="1"/>
    <col min="10" max="10" width="8.7109375" style="47" customWidth="1"/>
    <col min="11" max="11" width="6.42578125" style="47" customWidth="1"/>
    <col min="12" max="12" width="8.5703125" style="47" customWidth="1"/>
    <col min="13" max="13" width="8.85546875" style="47" customWidth="1"/>
    <col min="14" max="16384" width="14.42578125" style="47"/>
  </cols>
  <sheetData>
    <row r="1" spans="1:13" ht="14.25" customHeight="1">
      <c r="A1" s="93" t="s">
        <v>30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5.75" customHeigh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ht="14.25" customHeight="1">
      <c r="A3" s="99" t="s">
        <v>0</v>
      </c>
      <c r="B3" s="100" t="s">
        <v>1</v>
      </c>
      <c r="C3" s="100" t="s">
        <v>2</v>
      </c>
      <c r="D3" s="99" t="s">
        <v>3</v>
      </c>
      <c r="E3" s="99" t="s">
        <v>4</v>
      </c>
      <c r="F3" s="99" t="s">
        <v>19</v>
      </c>
      <c r="G3" s="99" t="s">
        <v>5</v>
      </c>
      <c r="H3" s="101" t="s">
        <v>6</v>
      </c>
      <c r="I3" s="102"/>
      <c r="J3" s="102"/>
      <c r="K3" s="102"/>
      <c r="L3" s="103" t="s">
        <v>7</v>
      </c>
      <c r="M3" s="89" t="s">
        <v>8</v>
      </c>
    </row>
    <row r="4" spans="1:13" ht="51.75" customHeight="1">
      <c r="A4" s="90"/>
      <c r="B4" s="90"/>
      <c r="C4" s="90"/>
      <c r="D4" s="90"/>
      <c r="E4" s="90"/>
      <c r="F4" s="90"/>
      <c r="G4" s="90"/>
      <c r="H4" s="49" t="s">
        <v>15</v>
      </c>
      <c r="I4" s="49" t="s">
        <v>13</v>
      </c>
      <c r="J4" s="49" t="s">
        <v>18</v>
      </c>
      <c r="K4" s="49" t="s">
        <v>14</v>
      </c>
      <c r="L4" s="90"/>
      <c r="M4" s="90"/>
    </row>
    <row r="5" spans="1:13" ht="19.5" customHeight="1">
      <c r="A5" s="40">
        <v>45809</v>
      </c>
      <c r="B5" s="91" t="s">
        <v>11</v>
      </c>
      <c r="C5" s="91" t="s">
        <v>12</v>
      </c>
      <c r="D5" s="41">
        <v>213.8</v>
      </c>
      <c r="E5" s="17">
        <v>210.52</v>
      </c>
      <c r="F5" s="41">
        <v>611.26099999999997</v>
      </c>
      <c r="G5" s="8">
        <v>15</v>
      </c>
      <c r="H5" s="42">
        <v>0</v>
      </c>
      <c r="I5" s="43">
        <v>0</v>
      </c>
      <c r="J5" s="43">
        <v>0</v>
      </c>
      <c r="K5" s="42">
        <v>15</v>
      </c>
      <c r="L5" s="42">
        <f>H5+I5+J5+K5</f>
        <v>15</v>
      </c>
      <c r="M5" s="44"/>
    </row>
    <row r="6" spans="1:13" ht="19.5" customHeight="1">
      <c r="A6" s="40">
        <v>45810</v>
      </c>
      <c r="B6" s="108"/>
      <c r="C6" s="108"/>
      <c r="D6" s="41">
        <v>213.8</v>
      </c>
      <c r="E6" s="17">
        <v>210.52</v>
      </c>
      <c r="F6" s="41">
        <v>611.26099999999997</v>
      </c>
      <c r="G6" s="8">
        <v>15</v>
      </c>
      <c r="H6" s="42">
        <v>0</v>
      </c>
      <c r="I6" s="43">
        <v>0</v>
      </c>
      <c r="J6" s="43">
        <v>0</v>
      </c>
      <c r="K6" s="42">
        <v>15</v>
      </c>
      <c r="L6" s="42">
        <f t="shared" ref="L6:L34" si="0">H6+I6+J6+K6</f>
        <v>15</v>
      </c>
      <c r="M6" s="44"/>
    </row>
    <row r="7" spans="1:13" ht="19.5" customHeight="1">
      <c r="A7" s="40">
        <v>45811</v>
      </c>
      <c r="B7" s="108"/>
      <c r="C7" s="108"/>
      <c r="D7" s="41">
        <v>213.8</v>
      </c>
      <c r="E7" s="17">
        <v>210.52</v>
      </c>
      <c r="F7" s="41">
        <v>611.26099999999997</v>
      </c>
      <c r="G7" s="8">
        <v>15</v>
      </c>
      <c r="H7" s="42">
        <v>0</v>
      </c>
      <c r="I7" s="43">
        <v>0</v>
      </c>
      <c r="J7" s="43">
        <v>0</v>
      </c>
      <c r="K7" s="42">
        <v>15</v>
      </c>
      <c r="L7" s="42">
        <f t="shared" si="0"/>
        <v>15</v>
      </c>
      <c r="M7" s="44"/>
    </row>
    <row r="8" spans="1:13" ht="19.5" customHeight="1">
      <c r="A8" s="40">
        <v>45812</v>
      </c>
      <c r="B8" s="108"/>
      <c r="C8" s="108"/>
      <c r="D8" s="41">
        <v>213.8</v>
      </c>
      <c r="E8" s="17">
        <v>210.52</v>
      </c>
      <c r="F8" s="41">
        <v>611.26099999999997</v>
      </c>
      <c r="G8" s="8">
        <v>15</v>
      </c>
      <c r="H8" s="42">
        <v>0</v>
      </c>
      <c r="I8" s="43">
        <v>0</v>
      </c>
      <c r="J8" s="43">
        <v>0</v>
      </c>
      <c r="K8" s="42">
        <v>15</v>
      </c>
      <c r="L8" s="42">
        <f t="shared" si="0"/>
        <v>15</v>
      </c>
      <c r="M8" s="44"/>
    </row>
    <row r="9" spans="1:13" ht="19.5" customHeight="1">
      <c r="A9" s="40">
        <v>45813</v>
      </c>
      <c r="B9" s="108"/>
      <c r="C9" s="108"/>
      <c r="D9" s="41">
        <v>213.8</v>
      </c>
      <c r="E9" s="17">
        <v>210.52</v>
      </c>
      <c r="F9" s="41">
        <v>611.26099999999997</v>
      </c>
      <c r="G9" s="8">
        <v>15</v>
      </c>
      <c r="H9" s="42">
        <v>0</v>
      </c>
      <c r="I9" s="43">
        <v>0</v>
      </c>
      <c r="J9" s="43">
        <v>0</v>
      </c>
      <c r="K9" s="42">
        <v>15</v>
      </c>
      <c r="L9" s="42">
        <f t="shared" si="0"/>
        <v>15</v>
      </c>
      <c r="M9" s="44"/>
    </row>
    <row r="10" spans="1:13" ht="19.5" customHeight="1">
      <c r="A10" s="40">
        <v>45814</v>
      </c>
      <c r="B10" s="108"/>
      <c r="C10" s="108"/>
      <c r="D10" s="41">
        <v>213.8</v>
      </c>
      <c r="E10" s="17">
        <v>210.52</v>
      </c>
      <c r="F10" s="41">
        <v>611.26099999999997</v>
      </c>
      <c r="G10" s="8">
        <v>15</v>
      </c>
      <c r="H10" s="42">
        <v>0</v>
      </c>
      <c r="I10" s="43">
        <v>0</v>
      </c>
      <c r="J10" s="43">
        <v>0</v>
      </c>
      <c r="K10" s="42">
        <v>15</v>
      </c>
      <c r="L10" s="42">
        <f t="shared" si="0"/>
        <v>15</v>
      </c>
      <c r="M10" s="44"/>
    </row>
    <row r="11" spans="1:13" ht="19.5" customHeight="1">
      <c r="A11" s="40">
        <v>45815</v>
      </c>
      <c r="B11" s="108"/>
      <c r="C11" s="108"/>
      <c r="D11" s="41">
        <v>213.8</v>
      </c>
      <c r="E11" s="17">
        <v>210.52</v>
      </c>
      <c r="F11" s="41">
        <v>611.26099999999997</v>
      </c>
      <c r="G11" s="8">
        <v>15</v>
      </c>
      <c r="H11" s="42">
        <v>0</v>
      </c>
      <c r="I11" s="43">
        <v>0</v>
      </c>
      <c r="J11" s="43">
        <v>0</v>
      </c>
      <c r="K11" s="42">
        <v>15</v>
      </c>
      <c r="L11" s="42">
        <f t="shared" si="0"/>
        <v>15</v>
      </c>
      <c r="M11" s="44"/>
    </row>
    <row r="12" spans="1:13" ht="19.5" customHeight="1">
      <c r="A12" s="40">
        <v>45816</v>
      </c>
      <c r="B12" s="108"/>
      <c r="C12" s="108"/>
      <c r="D12" s="41">
        <v>213.8</v>
      </c>
      <c r="E12" s="17">
        <v>210.52</v>
      </c>
      <c r="F12" s="41">
        <v>611.26099999999997</v>
      </c>
      <c r="G12" s="8">
        <v>15</v>
      </c>
      <c r="H12" s="42">
        <v>0</v>
      </c>
      <c r="I12" s="43">
        <v>0</v>
      </c>
      <c r="J12" s="43">
        <v>0</v>
      </c>
      <c r="K12" s="42">
        <v>15</v>
      </c>
      <c r="L12" s="42">
        <f t="shared" si="0"/>
        <v>15</v>
      </c>
      <c r="M12" s="44"/>
    </row>
    <row r="13" spans="1:13" ht="19.5" customHeight="1">
      <c r="A13" s="40">
        <v>45817</v>
      </c>
      <c r="B13" s="108"/>
      <c r="C13" s="108"/>
      <c r="D13" s="41">
        <v>213.8</v>
      </c>
      <c r="E13" s="17">
        <v>210.52</v>
      </c>
      <c r="F13" s="41">
        <v>611.26099999999997</v>
      </c>
      <c r="G13" s="8">
        <v>15</v>
      </c>
      <c r="H13" s="42">
        <v>0</v>
      </c>
      <c r="I13" s="43">
        <v>0</v>
      </c>
      <c r="J13" s="43">
        <v>0</v>
      </c>
      <c r="K13" s="42">
        <v>15</v>
      </c>
      <c r="L13" s="42">
        <f t="shared" si="0"/>
        <v>15</v>
      </c>
      <c r="M13" s="44"/>
    </row>
    <row r="14" spans="1:13" ht="19.5" customHeight="1">
      <c r="A14" s="40">
        <v>45818</v>
      </c>
      <c r="B14" s="108"/>
      <c r="C14" s="108"/>
      <c r="D14" s="41">
        <v>213.8</v>
      </c>
      <c r="E14" s="17">
        <v>210.59</v>
      </c>
      <c r="F14" s="41">
        <v>617.32600000000002</v>
      </c>
      <c r="G14" s="8">
        <v>85</v>
      </c>
      <c r="H14" s="42">
        <v>0</v>
      </c>
      <c r="I14" s="43">
        <v>0</v>
      </c>
      <c r="J14" s="43">
        <v>0</v>
      </c>
      <c r="K14" s="42">
        <v>15</v>
      </c>
      <c r="L14" s="42">
        <f t="shared" si="0"/>
        <v>15</v>
      </c>
      <c r="M14" s="44"/>
    </row>
    <row r="15" spans="1:13" ht="19.5" customHeight="1">
      <c r="A15" s="40">
        <v>45819</v>
      </c>
      <c r="B15" s="108"/>
      <c r="C15" s="108"/>
      <c r="D15" s="41">
        <v>213.8</v>
      </c>
      <c r="E15" s="17">
        <v>210.63</v>
      </c>
      <c r="F15" s="41">
        <v>620.79100000000005</v>
      </c>
      <c r="G15" s="8">
        <v>55</v>
      </c>
      <c r="H15" s="42">
        <v>0</v>
      </c>
      <c r="I15" s="43">
        <v>0</v>
      </c>
      <c r="J15" s="43">
        <v>0</v>
      </c>
      <c r="K15" s="42">
        <v>15</v>
      </c>
      <c r="L15" s="42">
        <f t="shared" si="0"/>
        <v>15</v>
      </c>
      <c r="M15" s="44"/>
    </row>
    <row r="16" spans="1:13" ht="19.5" customHeight="1">
      <c r="A16" s="40">
        <v>45820</v>
      </c>
      <c r="B16" s="108"/>
      <c r="C16" s="108"/>
      <c r="D16" s="41">
        <v>213.8</v>
      </c>
      <c r="E16" s="17">
        <v>210.63</v>
      </c>
      <c r="F16" s="41">
        <v>620.79100000000005</v>
      </c>
      <c r="G16" s="8">
        <v>15</v>
      </c>
      <c r="H16" s="42">
        <v>0</v>
      </c>
      <c r="I16" s="43">
        <v>0</v>
      </c>
      <c r="J16" s="43">
        <v>0</v>
      </c>
      <c r="K16" s="42">
        <v>15</v>
      </c>
      <c r="L16" s="42">
        <f t="shared" si="0"/>
        <v>15</v>
      </c>
      <c r="M16" s="44"/>
    </row>
    <row r="17" spans="1:14" ht="19.5" customHeight="1">
      <c r="A17" s="40">
        <v>45821</v>
      </c>
      <c r="B17" s="108"/>
      <c r="C17" s="108"/>
      <c r="D17" s="41">
        <v>213.8</v>
      </c>
      <c r="E17" s="17">
        <v>210.68</v>
      </c>
      <c r="F17" s="41">
        <v>625.12300000000005</v>
      </c>
      <c r="G17" s="8">
        <v>65</v>
      </c>
      <c r="H17" s="42">
        <v>0</v>
      </c>
      <c r="I17" s="43">
        <v>0</v>
      </c>
      <c r="J17" s="43">
        <v>0</v>
      </c>
      <c r="K17" s="42">
        <v>15</v>
      </c>
      <c r="L17" s="42">
        <f t="shared" si="0"/>
        <v>15</v>
      </c>
      <c r="M17" s="44"/>
    </row>
    <row r="18" spans="1:14" ht="19.5" customHeight="1">
      <c r="A18" s="40">
        <v>45822</v>
      </c>
      <c r="B18" s="108"/>
      <c r="C18" s="108"/>
      <c r="D18" s="41">
        <v>213.8</v>
      </c>
      <c r="E18" s="17">
        <v>210.7</v>
      </c>
      <c r="F18" s="41">
        <v>626.85500000000002</v>
      </c>
      <c r="G18" s="8">
        <v>35</v>
      </c>
      <c r="H18" s="42">
        <v>0</v>
      </c>
      <c r="I18" s="43">
        <v>0</v>
      </c>
      <c r="J18" s="43">
        <v>0</v>
      </c>
      <c r="K18" s="42">
        <v>15</v>
      </c>
      <c r="L18" s="42">
        <f t="shared" si="0"/>
        <v>15</v>
      </c>
      <c r="M18" s="44"/>
    </row>
    <row r="19" spans="1:14" ht="19.5" customHeight="1">
      <c r="A19" s="40">
        <v>45823</v>
      </c>
      <c r="B19" s="108"/>
      <c r="C19" s="108"/>
      <c r="D19" s="41">
        <v>213.8</v>
      </c>
      <c r="E19" s="17">
        <v>210.75</v>
      </c>
      <c r="F19" s="41">
        <v>631.18700000000001</v>
      </c>
      <c r="G19" s="8">
        <v>65</v>
      </c>
      <c r="H19" s="42">
        <v>0</v>
      </c>
      <c r="I19" s="43">
        <v>0</v>
      </c>
      <c r="J19" s="43">
        <v>0</v>
      </c>
      <c r="K19" s="42">
        <v>15</v>
      </c>
      <c r="L19" s="42">
        <f t="shared" si="0"/>
        <v>15</v>
      </c>
      <c r="M19" s="44"/>
    </row>
    <row r="20" spans="1:14" ht="19.5" customHeight="1">
      <c r="A20" s="40">
        <v>45824</v>
      </c>
      <c r="B20" s="108"/>
      <c r="C20" s="108"/>
      <c r="D20" s="41">
        <v>213.8</v>
      </c>
      <c r="E20" s="17">
        <v>210.8</v>
      </c>
      <c r="F20" s="41">
        <v>635.51900000000001</v>
      </c>
      <c r="G20" s="8">
        <v>65</v>
      </c>
      <c r="H20" s="42">
        <v>0</v>
      </c>
      <c r="I20" s="43">
        <v>0</v>
      </c>
      <c r="J20" s="43">
        <v>0</v>
      </c>
      <c r="K20" s="42">
        <v>15</v>
      </c>
      <c r="L20" s="42">
        <f t="shared" si="0"/>
        <v>15</v>
      </c>
      <c r="M20" s="44"/>
    </row>
    <row r="21" spans="1:14" ht="19.5" customHeight="1">
      <c r="A21" s="40">
        <v>45825</v>
      </c>
      <c r="B21" s="108"/>
      <c r="C21" s="108"/>
      <c r="D21" s="41">
        <v>213.8</v>
      </c>
      <c r="E21" s="17">
        <v>210.8</v>
      </c>
      <c r="F21" s="41">
        <v>635.51900000000001</v>
      </c>
      <c r="G21" s="8">
        <v>15</v>
      </c>
      <c r="H21" s="42">
        <v>0</v>
      </c>
      <c r="I21" s="43">
        <v>0</v>
      </c>
      <c r="J21" s="43">
        <v>0</v>
      </c>
      <c r="K21" s="42">
        <v>15</v>
      </c>
      <c r="L21" s="42">
        <f t="shared" si="0"/>
        <v>15</v>
      </c>
      <c r="M21" s="44"/>
    </row>
    <row r="22" spans="1:14" ht="19.5" customHeight="1">
      <c r="A22" s="40">
        <v>45826</v>
      </c>
      <c r="B22" s="108"/>
      <c r="C22" s="108"/>
      <c r="D22" s="41">
        <v>213.8</v>
      </c>
      <c r="E22" s="17">
        <v>210.8</v>
      </c>
      <c r="F22" s="41">
        <v>635.51900000000001</v>
      </c>
      <c r="G22" s="8">
        <v>15</v>
      </c>
      <c r="H22" s="42">
        <v>0</v>
      </c>
      <c r="I22" s="43">
        <v>0</v>
      </c>
      <c r="J22" s="43">
        <v>0</v>
      </c>
      <c r="K22" s="42">
        <v>15</v>
      </c>
      <c r="L22" s="42">
        <f t="shared" si="0"/>
        <v>15</v>
      </c>
      <c r="M22" s="44"/>
    </row>
    <row r="23" spans="1:14" ht="19.5" customHeight="1">
      <c r="A23" s="40">
        <v>45827</v>
      </c>
      <c r="B23" s="108"/>
      <c r="C23" s="108"/>
      <c r="D23" s="41">
        <v>213.8</v>
      </c>
      <c r="E23" s="17">
        <v>210.85</v>
      </c>
      <c r="F23" s="41">
        <v>641.24699999999996</v>
      </c>
      <c r="G23" s="8">
        <v>81</v>
      </c>
      <c r="H23" s="42">
        <v>0</v>
      </c>
      <c r="I23" s="43">
        <v>0</v>
      </c>
      <c r="J23" s="43">
        <v>0</v>
      </c>
      <c r="K23" s="42">
        <v>15</v>
      </c>
      <c r="L23" s="42">
        <f t="shared" si="0"/>
        <v>15</v>
      </c>
      <c r="M23" s="44"/>
    </row>
    <row r="24" spans="1:14" ht="19.5" customHeight="1">
      <c r="A24" s="40">
        <v>45828</v>
      </c>
      <c r="B24" s="108"/>
      <c r="C24" s="108"/>
      <c r="D24" s="41">
        <v>213.8</v>
      </c>
      <c r="E24" s="17">
        <v>210.85</v>
      </c>
      <c r="F24" s="41">
        <v>641.24699999999996</v>
      </c>
      <c r="G24" s="8">
        <v>15</v>
      </c>
      <c r="H24" s="42">
        <v>0</v>
      </c>
      <c r="I24" s="43">
        <v>0</v>
      </c>
      <c r="J24" s="43">
        <v>0</v>
      </c>
      <c r="K24" s="42">
        <v>15</v>
      </c>
      <c r="L24" s="42">
        <f t="shared" si="0"/>
        <v>15</v>
      </c>
      <c r="M24" s="44"/>
    </row>
    <row r="25" spans="1:14" ht="19.5" customHeight="1">
      <c r="A25" s="40">
        <v>45829</v>
      </c>
      <c r="B25" s="108"/>
      <c r="C25" s="108"/>
      <c r="D25" s="41">
        <v>213.8</v>
      </c>
      <c r="E25" s="17">
        <v>210.85</v>
      </c>
      <c r="F25" s="41">
        <v>641.24699999999996</v>
      </c>
      <c r="G25" s="8">
        <v>15</v>
      </c>
      <c r="H25" s="42">
        <v>0</v>
      </c>
      <c r="I25" s="43">
        <v>0</v>
      </c>
      <c r="J25" s="43">
        <v>0</v>
      </c>
      <c r="K25" s="42">
        <v>15</v>
      </c>
      <c r="L25" s="42">
        <f t="shared" si="0"/>
        <v>15</v>
      </c>
      <c r="M25" s="44"/>
    </row>
    <row r="26" spans="1:14" ht="19.5" customHeight="1">
      <c r="A26" s="40">
        <v>45830</v>
      </c>
      <c r="B26" s="108"/>
      <c r="C26" s="108"/>
      <c r="D26" s="41">
        <v>213.8</v>
      </c>
      <c r="E26" s="17">
        <v>210.85</v>
      </c>
      <c r="F26" s="41">
        <v>641.24699999999996</v>
      </c>
      <c r="G26" s="8">
        <v>15</v>
      </c>
      <c r="H26" s="42">
        <v>0</v>
      </c>
      <c r="I26" s="43">
        <v>0</v>
      </c>
      <c r="J26" s="43">
        <v>0</v>
      </c>
      <c r="K26" s="42">
        <v>15</v>
      </c>
      <c r="L26" s="42">
        <f t="shared" si="0"/>
        <v>15</v>
      </c>
      <c r="M26" s="44"/>
      <c r="N26" s="11"/>
    </row>
    <row r="27" spans="1:14" ht="19.5" customHeight="1">
      <c r="A27" s="40">
        <v>45831</v>
      </c>
      <c r="B27" s="108"/>
      <c r="C27" s="108"/>
      <c r="D27" s="41">
        <v>213.8</v>
      </c>
      <c r="E27" s="17">
        <v>210.85</v>
      </c>
      <c r="F27" s="41">
        <v>641.24699999999996</v>
      </c>
      <c r="G27" s="8">
        <v>15</v>
      </c>
      <c r="H27" s="42">
        <v>0</v>
      </c>
      <c r="I27" s="43">
        <v>0</v>
      </c>
      <c r="J27" s="43">
        <v>0</v>
      </c>
      <c r="K27" s="42">
        <v>15</v>
      </c>
      <c r="L27" s="42">
        <f t="shared" si="0"/>
        <v>15</v>
      </c>
      <c r="M27" s="44"/>
    </row>
    <row r="28" spans="1:14" ht="19.5" customHeight="1">
      <c r="A28" s="40">
        <v>45832</v>
      </c>
      <c r="B28" s="108"/>
      <c r="C28" s="108"/>
      <c r="D28" s="41">
        <v>213.8</v>
      </c>
      <c r="E28" s="17">
        <v>210.89</v>
      </c>
      <c r="F28" s="41">
        <v>645.82899999999995</v>
      </c>
      <c r="G28" s="8">
        <v>68</v>
      </c>
      <c r="H28" s="42">
        <v>0</v>
      </c>
      <c r="I28" s="43">
        <v>0</v>
      </c>
      <c r="J28" s="43">
        <v>0</v>
      </c>
      <c r="K28" s="42">
        <v>15</v>
      </c>
      <c r="L28" s="42">
        <f t="shared" si="0"/>
        <v>15</v>
      </c>
      <c r="M28" s="44"/>
    </row>
    <row r="29" spans="1:14" ht="19.5" customHeight="1">
      <c r="A29" s="40">
        <v>45833</v>
      </c>
      <c r="B29" s="108"/>
      <c r="C29" s="108"/>
      <c r="D29" s="41">
        <v>213.8</v>
      </c>
      <c r="E29" s="17">
        <v>210.89</v>
      </c>
      <c r="F29" s="41">
        <v>645.82899999999995</v>
      </c>
      <c r="G29" s="8">
        <v>15</v>
      </c>
      <c r="H29" s="42">
        <v>0</v>
      </c>
      <c r="I29" s="43">
        <v>0</v>
      </c>
      <c r="J29" s="43">
        <v>0</v>
      </c>
      <c r="K29" s="42">
        <v>15</v>
      </c>
      <c r="L29" s="42">
        <f t="shared" si="0"/>
        <v>15</v>
      </c>
      <c r="M29" s="44"/>
    </row>
    <row r="30" spans="1:14" ht="19.5" customHeight="1">
      <c r="A30" s="40">
        <v>45834</v>
      </c>
      <c r="B30" s="108"/>
      <c r="C30" s="108"/>
      <c r="D30" s="41">
        <v>213.8</v>
      </c>
      <c r="E30" s="17">
        <v>210.89</v>
      </c>
      <c r="F30" s="41">
        <v>645.82899999999995</v>
      </c>
      <c r="G30" s="8">
        <v>15</v>
      </c>
      <c r="H30" s="42">
        <v>0</v>
      </c>
      <c r="I30" s="43">
        <v>0</v>
      </c>
      <c r="J30" s="43">
        <v>0</v>
      </c>
      <c r="K30" s="42">
        <v>15</v>
      </c>
      <c r="L30" s="42">
        <f t="shared" si="0"/>
        <v>15</v>
      </c>
      <c r="M30" s="44"/>
    </row>
    <row r="31" spans="1:14" ht="21" customHeight="1">
      <c r="A31" s="40">
        <v>45835</v>
      </c>
      <c r="B31" s="108"/>
      <c r="C31" s="108"/>
      <c r="D31" s="41">
        <v>213.8</v>
      </c>
      <c r="E31" s="17">
        <v>210.92</v>
      </c>
      <c r="F31" s="41">
        <v>648.86599999999999</v>
      </c>
      <c r="G31" s="8">
        <v>50</v>
      </c>
      <c r="H31" s="42">
        <v>0</v>
      </c>
      <c r="I31" s="43">
        <v>0</v>
      </c>
      <c r="J31" s="43">
        <v>0</v>
      </c>
      <c r="K31" s="42">
        <v>15</v>
      </c>
      <c r="L31" s="42">
        <f t="shared" si="0"/>
        <v>15</v>
      </c>
      <c r="M31" s="44"/>
    </row>
    <row r="32" spans="1:14" ht="21" customHeight="1">
      <c r="A32" s="40">
        <v>45836</v>
      </c>
      <c r="B32" s="108"/>
      <c r="C32" s="108"/>
      <c r="D32" s="41">
        <v>213.8</v>
      </c>
      <c r="E32" s="17">
        <v>210.96</v>
      </c>
      <c r="F32" s="41">
        <v>653</v>
      </c>
      <c r="G32" s="8">
        <v>59</v>
      </c>
      <c r="H32" s="42">
        <v>0</v>
      </c>
      <c r="I32" s="43">
        <v>0</v>
      </c>
      <c r="J32" s="43">
        <v>0</v>
      </c>
      <c r="K32" s="42">
        <v>15</v>
      </c>
      <c r="L32" s="42">
        <f t="shared" si="0"/>
        <v>15</v>
      </c>
      <c r="M32" s="44"/>
    </row>
    <row r="33" spans="1:14" ht="21" customHeight="1">
      <c r="A33" s="40">
        <v>45837</v>
      </c>
      <c r="B33" s="108"/>
      <c r="C33" s="108"/>
      <c r="D33" s="41">
        <v>213.8</v>
      </c>
      <c r="E33" s="17">
        <v>210.98</v>
      </c>
      <c r="F33" s="41">
        <v>655</v>
      </c>
      <c r="G33" s="8">
        <v>33</v>
      </c>
      <c r="H33" s="42">
        <v>0</v>
      </c>
      <c r="I33" s="43">
        <v>0</v>
      </c>
      <c r="J33" s="43">
        <v>0</v>
      </c>
      <c r="K33" s="42">
        <v>15</v>
      </c>
      <c r="L33" s="42">
        <f t="shared" si="0"/>
        <v>15</v>
      </c>
      <c r="M33" s="44"/>
    </row>
    <row r="34" spans="1:14" ht="21" customHeight="1">
      <c r="A34" s="40">
        <v>45838</v>
      </c>
      <c r="B34" s="108"/>
      <c r="C34" s="108"/>
      <c r="D34" s="41">
        <v>213.8</v>
      </c>
      <c r="E34" s="17">
        <v>211</v>
      </c>
      <c r="F34" s="41">
        <v>656</v>
      </c>
      <c r="G34" s="8">
        <v>32</v>
      </c>
      <c r="H34" s="42">
        <v>0</v>
      </c>
      <c r="I34" s="43">
        <v>0</v>
      </c>
      <c r="J34" s="43">
        <v>0</v>
      </c>
      <c r="K34" s="42">
        <v>15</v>
      </c>
      <c r="L34" s="42">
        <f t="shared" si="0"/>
        <v>15</v>
      </c>
      <c r="M34" s="44"/>
    </row>
    <row r="35" spans="1:14" ht="49.5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12"/>
    </row>
    <row r="36" spans="1:14" ht="47.25" customHeight="1">
      <c r="A36" s="34"/>
      <c r="B36" s="35"/>
      <c r="C36" s="4"/>
      <c r="D36" s="4"/>
      <c r="E36" s="4"/>
      <c r="F36" s="4"/>
      <c r="G36" s="4"/>
      <c r="H36" s="4"/>
      <c r="I36" s="4"/>
      <c r="J36" s="4"/>
      <c r="K36" s="46"/>
      <c r="L36" s="46"/>
      <c r="M36" s="48"/>
    </row>
    <row r="37" spans="1:14" ht="15.75" customHeight="1">
      <c r="A37" s="85" t="s">
        <v>9</v>
      </c>
      <c r="B37" s="86"/>
      <c r="C37" s="86"/>
      <c r="D37" s="86"/>
      <c r="I37" s="85" t="s">
        <v>10</v>
      </c>
      <c r="J37" s="86"/>
      <c r="K37" s="86"/>
      <c r="L37" s="86"/>
      <c r="M37" s="48"/>
    </row>
    <row r="38" spans="1:14" ht="15.75" customHeight="1">
      <c r="A38" s="85" t="s">
        <v>16</v>
      </c>
      <c r="B38" s="86"/>
      <c r="C38" s="86"/>
      <c r="D38" s="86"/>
      <c r="I38" s="85" t="s">
        <v>16</v>
      </c>
      <c r="J38" s="86"/>
      <c r="K38" s="86"/>
      <c r="L38" s="86"/>
      <c r="M38" s="48"/>
    </row>
    <row r="39" spans="1:14" ht="15.75" customHeight="1">
      <c r="A39" s="87" t="s">
        <v>17</v>
      </c>
      <c r="B39" s="86"/>
      <c r="C39" s="86"/>
      <c r="D39" s="86"/>
      <c r="I39" s="87" t="s">
        <v>17</v>
      </c>
      <c r="J39" s="86"/>
      <c r="K39" s="86"/>
      <c r="L39" s="86"/>
      <c r="M39" s="48"/>
    </row>
    <row r="40" spans="1:14" ht="15.75" customHeight="1">
      <c r="M40" s="48"/>
    </row>
    <row r="41" spans="1:14" ht="15.75" customHeight="1">
      <c r="M41" s="48"/>
    </row>
    <row r="42" spans="1:14" ht="15.75" customHeight="1">
      <c r="M42" s="48"/>
    </row>
    <row r="43" spans="1:14" ht="15.75" customHeight="1">
      <c r="M43" s="48"/>
    </row>
    <row r="44" spans="1:14" ht="15.75" customHeight="1">
      <c r="M44" s="48"/>
    </row>
    <row r="45" spans="1:14" ht="15.75" customHeight="1">
      <c r="M45" s="48"/>
    </row>
    <row r="46" spans="1:14" ht="15.75" customHeight="1">
      <c r="M46" s="48"/>
    </row>
    <row r="47" spans="1:14" ht="15.75" customHeight="1">
      <c r="M47" s="48"/>
    </row>
    <row r="48" spans="1:14" ht="15.75" customHeight="1">
      <c r="M48" s="48"/>
    </row>
    <row r="49" spans="13:13" ht="15.75" customHeight="1">
      <c r="M49" s="48"/>
    </row>
    <row r="50" spans="13:13" ht="15.75" customHeight="1">
      <c r="M50" s="48"/>
    </row>
    <row r="51" spans="13:13" ht="15.75" customHeight="1">
      <c r="M51" s="48"/>
    </row>
    <row r="52" spans="13:13" ht="15.75" customHeight="1">
      <c r="M52" s="48"/>
    </row>
    <row r="53" spans="13:13" ht="15.75" customHeight="1">
      <c r="M53" s="48"/>
    </row>
    <row r="54" spans="13:13" ht="15.75" customHeight="1">
      <c r="M54" s="48"/>
    </row>
    <row r="55" spans="13:13" ht="15.75" customHeight="1">
      <c r="M55" s="48"/>
    </row>
    <row r="56" spans="13:13" ht="15.75" customHeight="1">
      <c r="M56" s="48"/>
    </row>
    <row r="57" spans="13:13" ht="15.75" customHeight="1">
      <c r="M57" s="48"/>
    </row>
    <row r="58" spans="13:13" ht="15.75" customHeight="1">
      <c r="M58" s="48"/>
    </row>
    <row r="59" spans="13:13" ht="15.75" customHeight="1">
      <c r="M59" s="48"/>
    </row>
    <row r="60" spans="13:13" ht="15.75" customHeight="1">
      <c r="M60" s="48"/>
    </row>
    <row r="61" spans="13:13" ht="15.75" customHeight="1">
      <c r="M61" s="48"/>
    </row>
    <row r="62" spans="13:13" ht="15.75" customHeight="1">
      <c r="M62" s="48"/>
    </row>
    <row r="63" spans="13:13" ht="15.75" customHeight="1">
      <c r="M63" s="48"/>
    </row>
    <row r="64" spans="13:13" ht="15.75" customHeight="1">
      <c r="M64" s="48"/>
    </row>
    <row r="65" spans="13:13" ht="15.75" customHeight="1">
      <c r="M65" s="48"/>
    </row>
    <row r="66" spans="13:13" ht="15.75" customHeight="1">
      <c r="M66" s="48"/>
    </row>
    <row r="67" spans="13:13" ht="15.75" customHeight="1">
      <c r="M67" s="48"/>
    </row>
    <row r="68" spans="13:13" ht="15.75" customHeight="1">
      <c r="M68" s="48"/>
    </row>
    <row r="69" spans="13:13" ht="15.75" customHeight="1">
      <c r="M69" s="48"/>
    </row>
    <row r="70" spans="13:13" ht="15.75" customHeight="1">
      <c r="M70" s="48"/>
    </row>
    <row r="71" spans="13:13" ht="15.75" customHeight="1">
      <c r="M71" s="48"/>
    </row>
    <row r="72" spans="13:13" ht="15.75" customHeight="1">
      <c r="M72" s="48"/>
    </row>
    <row r="73" spans="13:13" ht="15.75" customHeight="1">
      <c r="M73" s="48"/>
    </row>
    <row r="74" spans="13:13" ht="15.75" customHeight="1">
      <c r="M74" s="48"/>
    </row>
    <row r="75" spans="13:13" ht="15.75" customHeight="1">
      <c r="M75" s="48"/>
    </row>
    <row r="76" spans="13:13" ht="15.75" customHeight="1">
      <c r="M76" s="48"/>
    </row>
    <row r="77" spans="13:13" ht="15.75" customHeight="1">
      <c r="M77" s="48"/>
    </row>
    <row r="78" spans="13:13" ht="15.75" customHeight="1">
      <c r="M78" s="48"/>
    </row>
    <row r="79" spans="13:13" ht="15.75" customHeight="1">
      <c r="M79" s="48"/>
    </row>
    <row r="80" spans="13:13" ht="15.75" customHeight="1">
      <c r="M80" s="48"/>
    </row>
    <row r="81" spans="13:13" ht="15.75" customHeight="1">
      <c r="M81" s="48"/>
    </row>
    <row r="82" spans="13:13" ht="15.75" customHeight="1">
      <c r="M82" s="48"/>
    </row>
    <row r="83" spans="13:13" ht="15.75" customHeight="1">
      <c r="M83" s="48"/>
    </row>
    <row r="84" spans="13:13" ht="15.75" customHeight="1">
      <c r="M84" s="48"/>
    </row>
    <row r="85" spans="13:13" ht="15.75" customHeight="1">
      <c r="M85" s="48"/>
    </row>
    <row r="86" spans="13:13" ht="15.75" customHeight="1">
      <c r="M86" s="48"/>
    </row>
    <row r="87" spans="13:13" ht="15.75" customHeight="1">
      <c r="M87" s="48"/>
    </row>
    <row r="88" spans="13:13" ht="15.75" customHeight="1">
      <c r="M88" s="48"/>
    </row>
    <row r="89" spans="13:13" ht="15.75" customHeight="1">
      <c r="M89" s="48"/>
    </row>
    <row r="90" spans="13:13" ht="15.75" customHeight="1">
      <c r="M90" s="48"/>
    </row>
    <row r="91" spans="13:13" ht="15.75" customHeight="1">
      <c r="M91" s="48"/>
    </row>
    <row r="92" spans="13:13" ht="15.75" customHeight="1">
      <c r="M92" s="48"/>
    </row>
    <row r="93" spans="13:13" ht="15.75" customHeight="1">
      <c r="M93" s="48"/>
    </row>
    <row r="94" spans="13:13" ht="15.75" customHeight="1">
      <c r="M94" s="48"/>
    </row>
    <row r="95" spans="13:13" ht="15.75" customHeight="1">
      <c r="M95" s="48"/>
    </row>
    <row r="96" spans="13:13" ht="15.75" customHeight="1">
      <c r="M96" s="48"/>
    </row>
    <row r="97" spans="13:13" ht="15.75" customHeight="1">
      <c r="M97" s="48"/>
    </row>
    <row r="98" spans="13:13" ht="15.75" customHeight="1">
      <c r="M98" s="48"/>
    </row>
    <row r="99" spans="13:13" ht="15.75" customHeight="1">
      <c r="M99" s="48"/>
    </row>
    <row r="100" spans="13:13" ht="15.75" customHeight="1">
      <c r="M100" s="48"/>
    </row>
    <row r="101" spans="13:13" ht="15.75" customHeight="1">
      <c r="M101" s="48"/>
    </row>
  </sheetData>
  <mergeCells count="20">
    <mergeCell ref="A38:D38"/>
    <mergeCell ref="I38:L38"/>
    <mergeCell ref="A39:D39"/>
    <mergeCell ref="I39:L39"/>
    <mergeCell ref="M3:M4"/>
    <mergeCell ref="B5:B34"/>
    <mergeCell ref="C5:C34"/>
    <mergeCell ref="A35:M35"/>
    <mergeCell ref="A37:D37"/>
    <mergeCell ref="I37:L37"/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</mergeCells>
  <pageMargins left="0.7" right="0.7" top="0.75" bottom="0.75" header="0" footer="0"/>
  <pageSetup paperSize="9" scale="7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3"/>
  <sheetViews>
    <sheetView view="pageBreakPreview" topLeftCell="A14" zoomScale="60" workbookViewId="0">
      <selection activeCell="Q37" sqref="Q37"/>
    </sheetView>
  </sheetViews>
  <sheetFormatPr defaultColWidth="14.42578125" defaultRowHeight="15" customHeight="1"/>
  <cols>
    <col min="1" max="1" width="12.42578125" style="22" customWidth="1"/>
    <col min="2" max="2" width="6.28515625" style="22" customWidth="1"/>
    <col min="3" max="3" width="5.140625" style="22" customWidth="1"/>
    <col min="4" max="4" width="10" style="22" customWidth="1"/>
    <col min="5" max="6" width="8.7109375" style="22" customWidth="1"/>
    <col min="7" max="7" width="9.85546875" style="22" customWidth="1"/>
    <col min="8" max="8" width="8.7109375" style="22" customWidth="1"/>
    <col min="9" max="9" width="8.42578125" style="22" customWidth="1"/>
    <col min="10" max="10" width="8.7109375" style="22" customWidth="1"/>
    <col min="11" max="11" width="6.42578125" style="22" customWidth="1"/>
    <col min="12" max="12" width="8.5703125" style="22" customWidth="1"/>
    <col min="13" max="13" width="8.85546875" style="22" customWidth="1"/>
    <col min="14" max="16384" width="14.42578125" style="22"/>
  </cols>
  <sheetData>
    <row r="1" spans="1:13" ht="14.25" customHeight="1">
      <c r="A1" s="93" t="s">
        <v>25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5.75" customHeigh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ht="14.25" customHeight="1">
      <c r="A3" s="99" t="s">
        <v>0</v>
      </c>
      <c r="B3" s="100" t="s">
        <v>1</v>
      </c>
      <c r="C3" s="100" t="s">
        <v>2</v>
      </c>
      <c r="D3" s="99" t="s">
        <v>3</v>
      </c>
      <c r="E3" s="99" t="s">
        <v>4</v>
      </c>
      <c r="F3" s="99" t="s">
        <v>19</v>
      </c>
      <c r="G3" s="99" t="s">
        <v>5</v>
      </c>
      <c r="H3" s="101" t="s">
        <v>6</v>
      </c>
      <c r="I3" s="102"/>
      <c r="J3" s="102"/>
      <c r="K3" s="102"/>
      <c r="L3" s="103" t="s">
        <v>7</v>
      </c>
      <c r="M3" s="89" t="s">
        <v>8</v>
      </c>
    </row>
    <row r="4" spans="1:13" ht="51.75" customHeight="1">
      <c r="A4" s="113"/>
      <c r="B4" s="113"/>
      <c r="C4" s="113"/>
      <c r="D4" s="113"/>
      <c r="E4" s="113"/>
      <c r="F4" s="113"/>
      <c r="G4" s="113"/>
      <c r="H4" s="13" t="s">
        <v>15</v>
      </c>
      <c r="I4" s="13" t="s">
        <v>13</v>
      </c>
      <c r="J4" s="13" t="s">
        <v>18</v>
      </c>
      <c r="K4" s="13" t="s">
        <v>14</v>
      </c>
      <c r="L4" s="113"/>
      <c r="M4" s="113"/>
    </row>
    <row r="5" spans="1:13" ht="19.5" customHeight="1">
      <c r="A5" s="25">
        <v>45778</v>
      </c>
      <c r="B5" s="114" t="s">
        <v>11</v>
      </c>
      <c r="C5" s="114" t="s">
        <v>12</v>
      </c>
      <c r="D5" s="15">
        <v>213.8</v>
      </c>
      <c r="E5" s="17">
        <v>210.3</v>
      </c>
      <c r="F5" s="10">
        <v>592.202</v>
      </c>
      <c r="G5" s="8">
        <v>10</v>
      </c>
      <c r="H5" s="19">
        <v>0</v>
      </c>
      <c r="I5" s="20">
        <v>30</v>
      </c>
      <c r="J5" s="20">
        <v>0</v>
      </c>
      <c r="K5" s="19">
        <v>0</v>
      </c>
      <c r="L5" s="19">
        <v>30</v>
      </c>
      <c r="M5" s="28"/>
    </row>
    <row r="6" spans="1:13" ht="19.5" customHeight="1">
      <c r="A6" s="25">
        <v>45779</v>
      </c>
      <c r="B6" s="90"/>
      <c r="C6" s="90"/>
      <c r="D6" s="15">
        <v>213.8</v>
      </c>
      <c r="E6" s="17">
        <v>210.4</v>
      </c>
      <c r="F6" s="10">
        <v>600.86599999999999</v>
      </c>
      <c r="G6" s="8">
        <v>130</v>
      </c>
      <c r="H6" s="19">
        <v>0</v>
      </c>
      <c r="I6" s="20">
        <v>30</v>
      </c>
      <c r="J6" s="20">
        <v>0</v>
      </c>
      <c r="K6" s="19">
        <v>0</v>
      </c>
      <c r="L6" s="19">
        <v>30</v>
      </c>
      <c r="M6" s="28"/>
    </row>
    <row r="7" spans="1:13" ht="19.5" customHeight="1">
      <c r="A7" s="25">
        <v>45780</v>
      </c>
      <c r="B7" s="90"/>
      <c r="C7" s="90"/>
      <c r="D7" s="15">
        <v>213.8</v>
      </c>
      <c r="E7" s="17">
        <v>210.4</v>
      </c>
      <c r="F7" s="10">
        <v>600.86599999999999</v>
      </c>
      <c r="G7" s="8">
        <v>30</v>
      </c>
      <c r="H7" s="19">
        <v>0</v>
      </c>
      <c r="I7" s="20">
        <v>30</v>
      </c>
      <c r="J7" s="20">
        <v>0</v>
      </c>
      <c r="K7" s="19">
        <v>0</v>
      </c>
      <c r="L7" s="19">
        <v>30</v>
      </c>
      <c r="M7" s="28"/>
    </row>
    <row r="8" spans="1:13" ht="19.5" customHeight="1">
      <c r="A8" s="25">
        <v>45781</v>
      </c>
      <c r="B8" s="90"/>
      <c r="C8" s="90"/>
      <c r="D8" s="15">
        <v>213.8</v>
      </c>
      <c r="E8" s="17">
        <v>210.5</v>
      </c>
      <c r="F8" s="10">
        <v>600.529</v>
      </c>
      <c r="G8" s="8">
        <v>115</v>
      </c>
      <c r="H8" s="19">
        <v>0</v>
      </c>
      <c r="I8" s="19">
        <v>0</v>
      </c>
      <c r="J8" s="20">
        <v>0</v>
      </c>
      <c r="K8" s="19">
        <v>15</v>
      </c>
      <c r="L8" s="19">
        <v>15</v>
      </c>
      <c r="M8" s="28"/>
    </row>
    <row r="9" spans="1:13" ht="19.5" customHeight="1">
      <c r="A9" s="25">
        <v>45782</v>
      </c>
      <c r="B9" s="90"/>
      <c r="C9" s="90"/>
      <c r="D9" s="15">
        <v>213.8</v>
      </c>
      <c r="E9" s="17">
        <v>210.52</v>
      </c>
      <c r="F9" s="10">
        <v>611.26099999999997</v>
      </c>
      <c r="G9" s="8">
        <v>35</v>
      </c>
      <c r="H9" s="19">
        <v>0</v>
      </c>
      <c r="I9" s="19">
        <v>0</v>
      </c>
      <c r="J9" s="20">
        <v>0</v>
      </c>
      <c r="K9" s="19">
        <v>15</v>
      </c>
      <c r="L9" s="19">
        <v>15</v>
      </c>
      <c r="M9" s="28"/>
    </row>
    <row r="10" spans="1:13" ht="19.5" customHeight="1">
      <c r="A10" s="25">
        <v>45783</v>
      </c>
      <c r="B10" s="90"/>
      <c r="C10" s="90"/>
      <c r="D10" s="15">
        <v>213.8</v>
      </c>
      <c r="E10" s="17">
        <v>210.54</v>
      </c>
      <c r="F10" s="10">
        <v>612.99400000000003</v>
      </c>
      <c r="G10" s="8">
        <v>35</v>
      </c>
      <c r="H10" s="19">
        <v>0</v>
      </c>
      <c r="I10" s="19">
        <v>0</v>
      </c>
      <c r="J10" s="20">
        <v>0</v>
      </c>
      <c r="K10" s="19">
        <v>15</v>
      </c>
      <c r="L10" s="19">
        <v>15</v>
      </c>
      <c r="M10" s="28"/>
    </row>
    <row r="11" spans="1:13" ht="19.5" customHeight="1">
      <c r="A11" s="25">
        <v>45784</v>
      </c>
      <c r="B11" s="90"/>
      <c r="C11" s="90"/>
      <c r="D11" s="15">
        <v>213.8</v>
      </c>
      <c r="E11" s="17">
        <v>210.53</v>
      </c>
      <c r="F11" s="10">
        <v>612.12800000000004</v>
      </c>
      <c r="G11" s="8">
        <v>5</v>
      </c>
      <c r="H11" s="19">
        <v>0</v>
      </c>
      <c r="I11" s="19">
        <v>0</v>
      </c>
      <c r="J11" s="20">
        <v>0</v>
      </c>
      <c r="K11" s="19">
        <v>15</v>
      </c>
      <c r="L11" s="19">
        <v>15</v>
      </c>
      <c r="M11" s="28"/>
    </row>
    <row r="12" spans="1:13" ht="19.5" customHeight="1">
      <c r="A12" s="25">
        <v>45785</v>
      </c>
      <c r="B12" s="90"/>
      <c r="C12" s="90"/>
      <c r="D12" s="15">
        <v>213.8</v>
      </c>
      <c r="E12" s="17">
        <v>210.53</v>
      </c>
      <c r="F12" s="10">
        <v>612.12800000000004</v>
      </c>
      <c r="G12" s="8">
        <v>15</v>
      </c>
      <c r="H12" s="19">
        <v>0</v>
      </c>
      <c r="I12" s="19">
        <v>0</v>
      </c>
      <c r="J12" s="20">
        <v>0</v>
      </c>
      <c r="K12" s="19">
        <v>15</v>
      </c>
      <c r="L12" s="19">
        <f t="shared" ref="L12:L35" si="0">H12+I12+J12+K12</f>
        <v>15</v>
      </c>
      <c r="M12" s="28"/>
    </row>
    <row r="13" spans="1:13" ht="19.5" customHeight="1">
      <c r="A13" s="25">
        <v>45786</v>
      </c>
      <c r="B13" s="90"/>
      <c r="C13" s="90"/>
      <c r="D13" s="15">
        <v>213.8</v>
      </c>
      <c r="E13" s="18">
        <v>210.53</v>
      </c>
      <c r="F13" s="17">
        <v>612.12800000000004</v>
      </c>
      <c r="G13" s="8">
        <v>15</v>
      </c>
      <c r="H13" s="19">
        <v>0</v>
      </c>
      <c r="I13" s="19">
        <v>0</v>
      </c>
      <c r="J13" s="20">
        <v>0</v>
      </c>
      <c r="K13" s="19">
        <v>15</v>
      </c>
      <c r="L13" s="19">
        <f t="shared" si="0"/>
        <v>15</v>
      </c>
      <c r="M13" s="28"/>
    </row>
    <row r="14" spans="1:13" ht="19.5" customHeight="1">
      <c r="A14" s="25">
        <v>45787</v>
      </c>
      <c r="B14" s="90"/>
      <c r="C14" s="90"/>
      <c r="D14" s="15">
        <v>213.8</v>
      </c>
      <c r="E14" s="17">
        <v>210.53</v>
      </c>
      <c r="F14" s="10">
        <v>612.12800000000004</v>
      </c>
      <c r="G14" s="8">
        <v>15</v>
      </c>
      <c r="H14" s="19">
        <v>0</v>
      </c>
      <c r="I14" s="19">
        <v>0</v>
      </c>
      <c r="J14" s="20">
        <v>0</v>
      </c>
      <c r="K14" s="19">
        <v>15</v>
      </c>
      <c r="L14" s="19">
        <f t="shared" si="0"/>
        <v>15</v>
      </c>
      <c r="M14" s="28"/>
    </row>
    <row r="15" spans="1:13" ht="19.5" customHeight="1">
      <c r="A15" s="25">
        <v>45788</v>
      </c>
      <c r="B15" s="90"/>
      <c r="C15" s="90"/>
      <c r="D15" s="15">
        <v>213.8</v>
      </c>
      <c r="E15" s="17">
        <v>210.5</v>
      </c>
      <c r="F15" s="10">
        <v>609.529</v>
      </c>
      <c r="G15" s="8">
        <v>0</v>
      </c>
      <c r="H15" s="19">
        <v>0</v>
      </c>
      <c r="I15" s="20">
        <v>30</v>
      </c>
      <c r="J15" s="20">
        <v>0</v>
      </c>
      <c r="K15" s="19">
        <v>0</v>
      </c>
      <c r="L15" s="19">
        <f t="shared" si="0"/>
        <v>30</v>
      </c>
      <c r="M15" s="28"/>
    </row>
    <row r="16" spans="1:13" ht="19.5" customHeight="1">
      <c r="A16" s="25">
        <v>45789</v>
      </c>
      <c r="B16" s="90"/>
      <c r="C16" s="90"/>
      <c r="D16" s="15">
        <v>213.8</v>
      </c>
      <c r="E16" s="17">
        <v>210.5</v>
      </c>
      <c r="F16" s="10">
        <v>609.529</v>
      </c>
      <c r="G16" s="8">
        <v>30</v>
      </c>
      <c r="H16" s="19">
        <v>0</v>
      </c>
      <c r="I16" s="20">
        <v>30</v>
      </c>
      <c r="J16" s="20">
        <v>0</v>
      </c>
      <c r="K16" s="19">
        <v>0</v>
      </c>
      <c r="L16" s="19">
        <v>0</v>
      </c>
      <c r="M16" s="28"/>
    </row>
    <row r="17" spans="1:14" ht="19.5" customHeight="1">
      <c r="A17" s="25">
        <v>45790</v>
      </c>
      <c r="B17" s="90"/>
      <c r="C17" s="90"/>
      <c r="D17" s="15">
        <v>213.8</v>
      </c>
      <c r="E17" s="17">
        <v>210.47</v>
      </c>
      <c r="F17" s="10">
        <v>606.92999999999995</v>
      </c>
      <c r="G17" s="8">
        <v>0</v>
      </c>
      <c r="H17" s="19">
        <v>0</v>
      </c>
      <c r="I17" s="20">
        <v>30</v>
      </c>
      <c r="J17" s="20">
        <v>0</v>
      </c>
      <c r="K17" s="19">
        <v>0</v>
      </c>
      <c r="L17" s="19">
        <v>30</v>
      </c>
      <c r="M17" s="28"/>
    </row>
    <row r="18" spans="1:14" ht="19.5" customHeight="1">
      <c r="A18" s="25">
        <v>45791</v>
      </c>
      <c r="B18" s="90"/>
      <c r="C18" s="90"/>
      <c r="D18" s="15">
        <v>213.8</v>
      </c>
      <c r="E18" s="17">
        <v>210.44</v>
      </c>
      <c r="F18" s="10">
        <v>604.33100000000002</v>
      </c>
      <c r="G18" s="8">
        <v>0</v>
      </c>
      <c r="H18" s="19">
        <v>0</v>
      </c>
      <c r="I18" s="20">
        <v>30</v>
      </c>
      <c r="J18" s="20">
        <v>0</v>
      </c>
      <c r="K18" s="19">
        <v>0</v>
      </c>
      <c r="L18" s="19">
        <v>30</v>
      </c>
      <c r="M18" s="28"/>
    </row>
    <row r="19" spans="1:14" ht="19.5" customHeight="1">
      <c r="A19" s="25">
        <v>45792</v>
      </c>
      <c r="B19" s="90"/>
      <c r="C19" s="90"/>
      <c r="D19" s="15">
        <v>213.8</v>
      </c>
      <c r="E19" s="17">
        <v>210.41</v>
      </c>
      <c r="F19" s="10">
        <v>601.73199999999997</v>
      </c>
      <c r="G19" s="8">
        <v>0</v>
      </c>
      <c r="H19" s="19">
        <v>0</v>
      </c>
      <c r="I19" s="20">
        <v>30</v>
      </c>
      <c r="J19" s="20">
        <v>0</v>
      </c>
      <c r="K19" s="19">
        <v>0</v>
      </c>
      <c r="L19" s="19">
        <v>30</v>
      </c>
      <c r="M19" s="28"/>
    </row>
    <row r="20" spans="1:14" ht="19.5" customHeight="1">
      <c r="A20" s="25">
        <v>45793</v>
      </c>
      <c r="B20" s="90"/>
      <c r="C20" s="90"/>
      <c r="D20" s="15">
        <v>213.8</v>
      </c>
      <c r="E20" s="17">
        <v>210.44</v>
      </c>
      <c r="F20" s="10">
        <v>604.33100000000002</v>
      </c>
      <c r="G20" s="8">
        <v>60</v>
      </c>
      <c r="H20" s="19">
        <v>0</v>
      </c>
      <c r="I20" s="20">
        <v>30</v>
      </c>
      <c r="J20" s="20">
        <v>0</v>
      </c>
      <c r="K20" s="19">
        <v>0</v>
      </c>
      <c r="L20" s="19">
        <f t="shared" si="0"/>
        <v>30</v>
      </c>
      <c r="M20" s="28"/>
    </row>
    <row r="21" spans="1:14" ht="19.5" customHeight="1">
      <c r="A21" s="25">
        <v>45794</v>
      </c>
      <c r="B21" s="90"/>
      <c r="C21" s="90"/>
      <c r="D21" s="15">
        <v>213.8</v>
      </c>
      <c r="E21" s="17">
        <v>210.41</v>
      </c>
      <c r="F21" s="10">
        <v>601.73199999999997</v>
      </c>
      <c r="G21" s="8">
        <v>0</v>
      </c>
      <c r="H21" s="19">
        <v>0</v>
      </c>
      <c r="I21" s="20">
        <v>30</v>
      </c>
      <c r="J21" s="20">
        <v>0</v>
      </c>
      <c r="K21" s="19">
        <v>0</v>
      </c>
      <c r="L21" s="19">
        <f t="shared" si="0"/>
        <v>30</v>
      </c>
      <c r="M21" s="28"/>
    </row>
    <row r="22" spans="1:14" ht="19.5" customHeight="1">
      <c r="A22" s="25">
        <v>45795</v>
      </c>
      <c r="B22" s="90"/>
      <c r="C22" s="90"/>
      <c r="D22" s="15">
        <v>213.8</v>
      </c>
      <c r="E22" s="17">
        <v>210.38</v>
      </c>
      <c r="F22" s="10">
        <v>599.13300000000004</v>
      </c>
      <c r="G22" s="8">
        <v>0</v>
      </c>
      <c r="H22" s="19">
        <v>0</v>
      </c>
      <c r="I22" s="20">
        <v>30</v>
      </c>
      <c r="J22" s="20">
        <v>0</v>
      </c>
      <c r="K22" s="19">
        <v>0</v>
      </c>
      <c r="L22" s="19">
        <f t="shared" si="0"/>
        <v>30</v>
      </c>
      <c r="M22" s="28"/>
    </row>
    <row r="23" spans="1:14" ht="19.5" customHeight="1">
      <c r="A23" s="25">
        <v>45796</v>
      </c>
      <c r="B23" s="90"/>
      <c r="C23" s="90"/>
      <c r="D23" s="15">
        <v>213.8</v>
      </c>
      <c r="E23" s="17">
        <v>210.35</v>
      </c>
      <c r="F23" s="10">
        <v>596.53399999999999</v>
      </c>
      <c r="G23" s="8">
        <v>0</v>
      </c>
      <c r="H23" s="19">
        <v>0</v>
      </c>
      <c r="I23" s="20">
        <v>30</v>
      </c>
      <c r="J23" s="20">
        <v>0</v>
      </c>
      <c r="K23" s="19">
        <v>0</v>
      </c>
      <c r="L23" s="19">
        <f t="shared" si="0"/>
        <v>30</v>
      </c>
      <c r="M23" s="28"/>
    </row>
    <row r="24" spans="1:14" ht="19.5" customHeight="1">
      <c r="A24" s="25">
        <v>45797</v>
      </c>
      <c r="B24" s="90"/>
      <c r="C24" s="90"/>
      <c r="D24" s="15">
        <v>213.8</v>
      </c>
      <c r="E24" s="17">
        <v>210.32</v>
      </c>
      <c r="F24" s="10">
        <v>593.93499999999995</v>
      </c>
      <c r="G24" s="8">
        <v>0</v>
      </c>
      <c r="H24" s="19">
        <v>0</v>
      </c>
      <c r="I24" s="20">
        <v>30</v>
      </c>
      <c r="J24" s="20">
        <v>0</v>
      </c>
      <c r="K24" s="19">
        <v>0</v>
      </c>
      <c r="L24" s="19">
        <f t="shared" si="0"/>
        <v>30</v>
      </c>
      <c r="M24" s="28"/>
    </row>
    <row r="25" spans="1:14" ht="19.5" customHeight="1">
      <c r="A25" s="25">
        <v>45798</v>
      </c>
      <c r="B25" s="90"/>
      <c r="C25" s="90"/>
      <c r="D25" s="15">
        <v>213.8</v>
      </c>
      <c r="E25" s="17">
        <v>210.3</v>
      </c>
      <c r="F25" s="10">
        <v>592.20899999999995</v>
      </c>
      <c r="G25" s="8">
        <v>10</v>
      </c>
      <c r="H25" s="19">
        <v>0</v>
      </c>
      <c r="I25" s="20">
        <v>30</v>
      </c>
      <c r="J25" s="20">
        <v>0</v>
      </c>
      <c r="K25" s="19">
        <v>0</v>
      </c>
      <c r="L25" s="19">
        <f t="shared" si="0"/>
        <v>30</v>
      </c>
      <c r="M25" s="28"/>
    </row>
    <row r="26" spans="1:14" ht="19.5" customHeight="1">
      <c r="A26" s="25">
        <v>45799</v>
      </c>
      <c r="B26" s="90"/>
      <c r="C26" s="90"/>
      <c r="D26" s="15">
        <v>213.8</v>
      </c>
      <c r="E26" s="17">
        <v>210.31</v>
      </c>
      <c r="F26" s="10">
        <v>593.06899999999996</v>
      </c>
      <c r="G26" s="8">
        <v>40</v>
      </c>
      <c r="H26" s="19">
        <v>0</v>
      </c>
      <c r="I26" s="20">
        <v>30</v>
      </c>
      <c r="J26" s="20">
        <v>0</v>
      </c>
      <c r="K26" s="19">
        <v>0</v>
      </c>
      <c r="L26" s="19">
        <f t="shared" si="0"/>
        <v>30</v>
      </c>
      <c r="M26" s="28"/>
      <c r="N26" s="11"/>
    </row>
    <row r="27" spans="1:14" ht="19.5" customHeight="1">
      <c r="A27" s="25">
        <v>45800</v>
      </c>
      <c r="B27" s="90"/>
      <c r="C27" s="90"/>
      <c r="D27" s="15">
        <v>213.8</v>
      </c>
      <c r="E27" s="17">
        <v>210.31</v>
      </c>
      <c r="F27" s="10">
        <v>593.06899999999996</v>
      </c>
      <c r="G27" s="8">
        <v>15</v>
      </c>
      <c r="H27" s="19">
        <v>0</v>
      </c>
      <c r="I27" s="20">
        <v>0</v>
      </c>
      <c r="J27" s="20">
        <v>0</v>
      </c>
      <c r="K27" s="19">
        <v>15</v>
      </c>
      <c r="L27" s="19">
        <f t="shared" si="0"/>
        <v>15</v>
      </c>
      <c r="M27" s="28"/>
    </row>
    <row r="28" spans="1:14" ht="19.5" customHeight="1">
      <c r="A28" s="25">
        <v>45801</v>
      </c>
      <c r="B28" s="90"/>
      <c r="C28" s="90"/>
      <c r="D28" s="15">
        <v>213.8</v>
      </c>
      <c r="E28" s="17">
        <v>210.31</v>
      </c>
      <c r="F28" s="10">
        <v>593.06899999999996</v>
      </c>
      <c r="G28" s="8">
        <v>15</v>
      </c>
      <c r="H28" s="19">
        <v>0</v>
      </c>
      <c r="I28" s="20">
        <v>0</v>
      </c>
      <c r="J28" s="20">
        <v>0</v>
      </c>
      <c r="K28" s="19">
        <v>15</v>
      </c>
      <c r="L28" s="19">
        <f t="shared" si="0"/>
        <v>15</v>
      </c>
      <c r="M28" s="28"/>
    </row>
    <row r="29" spans="1:14" ht="19.5" customHeight="1">
      <c r="A29" s="25">
        <v>45802</v>
      </c>
      <c r="B29" s="90"/>
      <c r="C29" s="90"/>
      <c r="D29" s="15">
        <v>213.8</v>
      </c>
      <c r="E29" s="17">
        <v>210.31</v>
      </c>
      <c r="F29" s="10">
        <v>593.06899999999996</v>
      </c>
      <c r="G29" s="8">
        <v>15</v>
      </c>
      <c r="H29" s="19">
        <v>0</v>
      </c>
      <c r="I29" s="20">
        <v>0</v>
      </c>
      <c r="J29" s="20">
        <v>0</v>
      </c>
      <c r="K29" s="19">
        <v>15</v>
      </c>
      <c r="L29" s="19">
        <f t="shared" si="0"/>
        <v>15</v>
      </c>
      <c r="M29" s="28"/>
    </row>
    <row r="30" spans="1:14" ht="19.5" customHeight="1">
      <c r="A30" s="25">
        <v>45803</v>
      </c>
      <c r="B30" s="90"/>
      <c r="C30" s="90"/>
      <c r="D30" s="15">
        <v>213.8</v>
      </c>
      <c r="E30" s="17">
        <v>210.31</v>
      </c>
      <c r="F30" s="10">
        <v>594.80100000000004</v>
      </c>
      <c r="G30" s="8">
        <v>35</v>
      </c>
      <c r="H30" s="19">
        <v>0</v>
      </c>
      <c r="I30" s="20">
        <v>0</v>
      </c>
      <c r="J30" s="20">
        <v>0</v>
      </c>
      <c r="K30" s="19">
        <v>15</v>
      </c>
      <c r="L30" s="19">
        <f t="shared" si="0"/>
        <v>15</v>
      </c>
      <c r="M30" s="28"/>
    </row>
    <row r="31" spans="1:14" ht="21" customHeight="1">
      <c r="A31" s="25">
        <v>45804</v>
      </c>
      <c r="B31" s="90"/>
      <c r="C31" s="90"/>
      <c r="D31" s="15">
        <v>213.8</v>
      </c>
      <c r="E31" s="17">
        <v>210.36</v>
      </c>
      <c r="F31" s="10">
        <v>597.4</v>
      </c>
      <c r="G31" s="8">
        <v>45</v>
      </c>
      <c r="H31" s="19">
        <v>0</v>
      </c>
      <c r="I31" s="20">
        <v>0</v>
      </c>
      <c r="J31" s="20">
        <v>0</v>
      </c>
      <c r="K31" s="19">
        <v>15</v>
      </c>
      <c r="L31" s="19">
        <f t="shared" si="0"/>
        <v>15</v>
      </c>
      <c r="M31" s="28"/>
    </row>
    <row r="32" spans="1:14" ht="21" customHeight="1">
      <c r="A32" s="25">
        <v>45805</v>
      </c>
      <c r="B32" s="90"/>
      <c r="C32" s="90"/>
      <c r="D32" s="15">
        <v>213.8</v>
      </c>
      <c r="E32" s="17">
        <v>210.43</v>
      </c>
      <c r="F32" s="10">
        <v>603.46500000000003</v>
      </c>
      <c r="G32" s="8">
        <v>85</v>
      </c>
      <c r="H32" s="19">
        <v>0</v>
      </c>
      <c r="I32" s="20">
        <v>0</v>
      </c>
      <c r="J32" s="20">
        <v>0</v>
      </c>
      <c r="K32" s="19">
        <v>15</v>
      </c>
      <c r="L32" s="19">
        <f t="shared" si="0"/>
        <v>15</v>
      </c>
      <c r="M32" s="28"/>
    </row>
    <row r="33" spans="1:14" ht="21" customHeight="1">
      <c r="A33" s="25">
        <v>45806</v>
      </c>
      <c r="B33" s="90"/>
      <c r="C33" s="90"/>
      <c r="D33" s="15">
        <v>213.8</v>
      </c>
      <c r="E33" s="17">
        <v>210.48</v>
      </c>
      <c r="F33" s="10">
        <v>607.79600000000005</v>
      </c>
      <c r="G33" s="8">
        <v>65</v>
      </c>
      <c r="H33" s="19">
        <v>0</v>
      </c>
      <c r="I33" s="20">
        <v>0</v>
      </c>
      <c r="J33" s="20">
        <v>0</v>
      </c>
      <c r="K33" s="19">
        <v>15</v>
      </c>
      <c r="L33" s="19">
        <f t="shared" si="0"/>
        <v>15</v>
      </c>
      <c r="M33" s="28"/>
    </row>
    <row r="34" spans="1:14" ht="21" customHeight="1">
      <c r="A34" s="25">
        <v>45807</v>
      </c>
      <c r="B34" s="90"/>
      <c r="C34" s="90"/>
      <c r="D34" s="15">
        <v>213.8</v>
      </c>
      <c r="E34" s="17">
        <v>210.5</v>
      </c>
      <c r="F34" s="10">
        <v>609.529</v>
      </c>
      <c r="G34" s="8">
        <v>35</v>
      </c>
      <c r="H34" s="19">
        <v>0</v>
      </c>
      <c r="I34" s="20">
        <v>0</v>
      </c>
      <c r="J34" s="20">
        <v>0</v>
      </c>
      <c r="K34" s="19">
        <v>15</v>
      </c>
      <c r="L34" s="19">
        <f t="shared" si="0"/>
        <v>15</v>
      </c>
      <c r="M34" s="28"/>
    </row>
    <row r="35" spans="1:14" ht="21" customHeight="1">
      <c r="A35" s="25">
        <v>45808</v>
      </c>
      <c r="B35" s="115"/>
      <c r="C35" s="115"/>
      <c r="D35" s="16">
        <v>213.8</v>
      </c>
      <c r="E35" s="17">
        <v>210.52</v>
      </c>
      <c r="F35" s="10">
        <v>611.26099999999997</v>
      </c>
      <c r="G35" s="8">
        <v>35</v>
      </c>
      <c r="H35" s="19">
        <v>0</v>
      </c>
      <c r="I35" s="20">
        <v>0</v>
      </c>
      <c r="J35" s="20">
        <v>0</v>
      </c>
      <c r="K35" s="19">
        <v>15</v>
      </c>
      <c r="L35" s="19">
        <f t="shared" si="0"/>
        <v>15</v>
      </c>
      <c r="M35" s="28"/>
    </row>
    <row r="36" spans="1:14" ht="49.5" customHeight="1">
      <c r="A36" s="92" t="s">
        <v>26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12"/>
    </row>
    <row r="37" spans="1:14" ht="49.5" customHeight="1">
      <c r="A37" s="116" t="s">
        <v>27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2"/>
    </row>
    <row r="38" spans="1:14" ht="47.25" customHeight="1">
      <c r="A38" s="34"/>
      <c r="B38" s="35"/>
      <c r="C38" s="4"/>
      <c r="D38" s="4"/>
      <c r="E38" s="4"/>
      <c r="F38" s="4"/>
      <c r="G38" s="4"/>
      <c r="H38" s="4"/>
      <c r="I38" s="4"/>
      <c r="J38" s="4"/>
      <c r="K38" s="36"/>
      <c r="L38" s="36"/>
      <c r="M38" s="37"/>
    </row>
    <row r="39" spans="1:14" ht="15.75" customHeight="1">
      <c r="A39" s="85" t="s">
        <v>9</v>
      </c>
      <c r="B39" s="86"/>
      <c r="C39" s="86"/>
      <c r="D39" s="86"/>
      <c r="I39" s="85" t="s">
        <v>10</v>
      </c>
      <c r="J39" s="86"/>
      <c r="K39" s="86"/>
      <c r="L39" s="86"/>
      <c r="M39" s="37"/>
    </row>
    <row r="40" spans="1:14" ht="15.75" customHeight="1">
      <c r="A40" s="85" t="s">
        <v>16</v>
      </c>
      <c r="B40" s="86"/>
      <c r="C40" s="86"/>
      <c r="D40" s="86"/>
      <c r="I40" s="85" t="s">
        <v>16</v>
      </c>
      <c r="J40" s="86"/>
      <c r="K40" s="86"/>
      <c r="L40" s="86"/>
      <c r="M40" s="37"/>
    </row>
    <row r="41" spans="1:14" ht="15.75" customHeight="1">
      <c r="A41" s="87" t="s">
        <v>17</v>
      </c>
      <c r="B41" s="86"/>
      <c r="C41" s="86"/>
      <c r="D41" s="86"/>
      <c r="I41" s="87" t="s">
        <v>17</v>
      </c>
      <c r="J41" s="86"/>
      <c r="K41" s="86"/>
      <c r="L41" s="86"/>
      <c r="M41" s="37"/>
    </row>
    <row r="42" spans="1:14" ht="15.75" customHeight="1">
      <c r="M42" s="37"/>
    </row>
    <row r="43" spans="1:14" ht="15.75" customHeight="1">
      <c r="M43" s="37"/>
    </row>
    <row r="44" spans="1:14" ht="15.75" customHeight="1">
      <c r="M44" s="37"/>
    </row>
    <row r="45" spans="1:14" ht="15.75" customHeight="1">
      <c r="M45" s="37"/>
    </row>
    <row r="46" spans="1:14" ht="15.75" customHeight="1">
      <c r="M46" s="37"/>
    </row>
    <row r="47" spans="1:14" ht="15.75" customHeight="1">
      <c r="M47" s="37"/>
    </row>
    <row r="48" spans="1:14" ht="15.75" customHeight="1">
      <c r="M48" s="37"/>
    </row>
    <row r="49" spans="13:13" ht="15.75" customHeight="1">
      <c r="M49" s="37"/>
    </row>
    <row r="50" spans="13:13" ht="15.75" customHeight="1">
      <c r="M50" s="37"/>
    </row>
    <row r="51" spans="13:13" ht="15.75" customHeight="1">
      <c r="M51" s="37"/>
    </row>
    <row r="52" spans="13:13" ht="15.75" customHeight="1">
      <c r="M52" s="37"/>
    </row>
    <row r="53" spans="13:13" ht="15.75" customHeight="1">
      <c r="M53" s="37"/>
    </row>
    <row r="54" spans="13:13" ht="15.75" customHeight="1">
      <c r="M54" s="37"/>
    </row>
    <row r="55" spans="13:13" ht="15.75" customHeight="1">
      <c r="M55" s="37"/>
    </row>
    <row r="56" spans="13:13" ht="15.75" customHeight="1">
      <c r="M56" s="37"/>
    </row>
    <row r="57" spans="13:13" ht="15.75" customHeight="1">
      <c r="M57" s="37"/>
    </row>
    <row r="58" spans="13:13" ht="15.75" customHeight="1">
      <c r="M58" s="37"/>
    </row>
    <row r="59" spans="13:13" ht="15.75" customHeight="1">
      <c r="M59" s="37"/>
    </row>
    <row r="60" spans="13:13" ht="15.75" customHeight="1">
      <c r="M60" s="37"/>
    </row>
    <row r="61" spans="13:13" ht="15.75" customHeight="1">
      <c r="M61" s="37"/>
    </row>
    <row r="62" spans="13:13" ht="15.75" customHeight="1">
      <c r="M62" s="37"/>
    </row>
    <row r="63" spans="13:13" ht="15.75" customHeight="1">
      <c r="M63" s="37"/>
    </row>
    <row r="64" spans="13:13" ht="15.75" customHeight="1">
      <c r="M64" s="37"/>
    </row>
    <row r="65" spans="13:13" ht="15.75" customHeight="1">
      <c r="M65" s="37"/>
    </row>
    <row r="66" spans="13:13" ht="15.75" customHeight="1">
      <c r="M66" s="37"/>
    </row>
    <row r="67" spans="13:13" ht="15.75" customHeight="1">
      <c r="M67" s="37"/>
    </row>
    <row r="68" spans="13:13" ht="15.75" customHeight="1">
      <c r="M68" s="37"/>
    </row>
    <row r="69" spans="13:13" ht="15.75" customHeight="1">
      <c r="M69" s="37"/>
    </row>
    <row r="70" spans="13:13" ht="15.75" customHeight="1">
      <c r="M70" s="37"/>
    </row>
    <row r="71" spans="13:13" ht="15.75" customHeight="1">
      <c r="M71" s="37"/>
    </row>
    <row r="72" spans="13:13" ht="15.75" customHeight="1">
      <c r="M72" s="37"/>
    </row>
    <row r="73" spans="13:13" ht="15.75" customHeight="1">
      <c r="M73" s="37"/>
    </row>
    <row r="74" spans="13:13" ht="15.75" customHeight="1">
      <c r="M74" s="37"/>
    </row>
    <row r="75" spans="13:13" ht="15.75" customHeight="1">
      <c r="M75" s="37"/>
    </row>
    <row r="76" spans="13:13" ht="15.75" customHeight="1">
      <c r="M76" s="37"/>
    </row>
    <row r="77" spans="13:13" ht="15.75" customHeight="1">
      <c r="M77" s="37"/>
    </row>
    <row r="78" spans="13:13" ht="15.75" customHeight="1">
      <c r="M78" s="37"/>
    </row>
    <row r="79" spans="13:13" ht="15.75" customHeight="1">
      <c r="M79" s="37"/>
    </row>
    <row r="80" spans="13:13" ht="15.75" customHeight="1">
      <c r="M80" s="37"/>
    </row>
    <row r="81" spans="13:13" ht="15.75" customHeight="1">
      <c r="M81" s="37"/>
    </row>
    <row r="82" spans="13:13" ht="15.75" customHeight="1">
      <c r="M82" s="37"/>
    </row>
    <row r="83" spans="13:13" ht="15.75" customHeight="1">
      <c r="M83" s="37"/>
    </row>
    <row r="84" spans="13:13" ht="15.75" customHeight="1">
      <c r="M84" s="37"/>
    </row>
    <row r="85" spans="13:13" ht="15.75" customHeight="1">
      <c r="M85" s="37"/>
    </row>
    <row r="86" spans="13:13" ht="15.75" customHeight="1">
      <c r="M86" s="37"/>
    </row>
    <row r="87" spans="13:13" ht="15.75" customHeight="1">
      <c r="M87" s="37"/>
    </row>
    <row r="88" spans="13:13" ht="15.75" customHeight="1">
      <c r="M88" s="37"/>
    </row>
    <row r="89" spans="13:13" ht="15.75" customHeight="1">
      <c r="M89" s="37"/>
    </row>
    <row r="90" spans="13:13" ht="15.75" customHeight="1">
      <c r="M90" s="37"/>
    </row>
    <row r="91" spans="13:13" ht="15.75" customHeight="1">
      <c r="M91" s="37"/>
    </row>
    <row r="92" spans="13:13" ht="15.75" customHeight="1">
      <c r="M92" s="37"/>
    </row>
    <row r="93" spans="13:13" ht="15.75" customHeight="1">
      <c r="M93" s="37"/>
    </row>
    <row r="94" spans="13:13" ht="15.75" customHeight="1">
      <c r="M94" s="37"/>
    </row>
    <row r="95" spans="13:13" ht="15.75" customHeight="1">
      <c r="M95" s="37"/>
    </row>
    <row r="96" spans="13:13" ht="15.75" customHeight="1">
      <c r="M96" s="37"/>
    </row>
    <row r="97" spans="13:13" ht="15.75" customHeight="1">
      <c r="M97" s="37"/>
    </row>
    <row r="98" spans="13:13" ht="15.75" customHeight="1">
      <c r="M98" s="37"/>
    </row>
    <row r="99" spans="13:13" ht="15.75" customHeight="1">
      <c r="M99" s="37"/>
    </row>
    <row r="100" spans="13:13" ht="15.75" customHeight="1">
      <c r="M100" s="37"/>
    </row>
    <row r="101" spans="13:13" ht="15.75" customHeight="1">
      <c r="M101" s="37"/>
    </row>
    <row r="102" spans="13:13" ht="15.75" customHeight="1">
      <c r="M102" s="37"/>
    </row>
    <row r="103" spans="13:13" ht="15.75" customHeight="1">
      <c r="M103" s="37"/>
    </row>
  </sheetData>
  <mergeCells count="21">
    <mergeCell ref="A40:D40"/>
    <mergeCell ref="I40:L40"/>
    <mergeCell ref="A41:D41"/>
    <mergeCell ref="I41:L41"/>
    <mergeCell ref="M3:M4"/>
    <mergeCell ref="B5:B35"/>
    <mergeCell ref="C5:C35"/>
    <mergeCell ref="A36:M36"/>
    <mergeCell ref="A37:M37"/>
    <mergeCell ref="A39:D39"/>
    <mergeCell ref="I39:L39"/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</mergeCells>
  <pageMargins left="0.7" right="0.7" top="0.75" bottom="0.75" header="0" footer="0"/>
  <pageSetup paperSize="9" scale="7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1"/>
  <sheetViews>
    <sheetView view="pageBreakPreview" topLeftCell="A19" zoomScale="60" workbookViewId="0">
      <selection activeCell="C48" sqref="C48"/>
    </sheetView>
  </sheetViews>
  <sheetFormatPr defaultColWidth="14.42578125" defaultRowHeight="15" customHeight="1"/>
  <cols>
    <col min="1" max="1" width="12.42578125" style="22" customWidth="1"/>
    <col min="2" max="2" width="6.28515625" style="22" customWidth="1"/>
    <col min="3" max="3" width="5.140625" style="22" customWidth="1"/>
    <col min="4" max="4" width="10" style="22" customWidth="1"/>
    <col min="5" max="6" width="8.7109375" style="22" customWidth="1"/>
    <col min="7" max="7" width="9.85546875" style="22" customWidth="1"/>
    <col min="8" max="8" width="8.7109375" style="22" customWidth="1"/>
    <col min="9" max="9" width="8.42578125" style="22" customWidth="1"/>
    <col min="10" max="10" width="8.7109375" style="22" customWidth="1"/>
    <col min="11" max="11" width="6.42578125" style="22" customWidth="1"/>
    <col min="12" max="12" width="8.5703125" style="22" customWidth="1"/>
    <col min="13" max="13" width="8.85546875" style="22" customWidth="1"/>
    <col min="14" max="16384" width="14.42578125" style="22"/>
  </cols>
  <sheetData>
    <row r="1" spans="1:13" ht="14.25" customHeight="1">
      <c r="A1" s="93" t="s">
        <v>24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5.75" customHeigh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ht="14.25" customHeight="1">
      <c r="A3" s="99" t="s">
        <v>0</v>
      </c>
      <c r="B3" s="100" t="s">
        <v>1</v>
      </c>
      <c r="C3" s="100" t="s">
        <v>2</v>
      </c>
      <c r="D3" s="99" t="s">
        <v>3</v>
      </c>
      <c r="E3" s="99" t="s">
        <v>4</v>
      </c>
      <c r="F3" s="99" t="s">
        <v>19</v>
      </c>
      <c r="G3" s="99" t="s">
        <v>5</v>
      </c>
      <c r="H3" s="101" t="s">
        <v>6</v>
      </c>
      <c r="I3" s="102"/>
      <c r="J3" s="102"/>
      <c r="K3" s="102"/>
      <c r="L3" s="103" t="s">
        <v>7</v>
      </c>
      <c r="M3" s="89" t="s">
        <v>8</v>
      </c>
    </row>
    <row r="4" spans="1:13" ht="51.75" customHeight="1">
      <c r="A4" s="90"/>
      <c r="B4" s="90"/>
      <c r="C4" s="90"/>
      <c r="D4" s="90"/>
      <c r="E4" s="90"/>
      <c r="F4" s="90"/>
      <c r="G4" s="90"/>
      <c r="H4" s="21" t="s">
        <v>15</v>
      </c>
      <c r="I4" s="21" t="s">
        <v>13</v>
      </c>
      <c r="J4" s="21" t="s">
        <v>18</v>
      </c>
      <c r="K4" s="21" t="s">
        <v>14</v>
      </c>
      <c r="L4" s="90"/>
      <c r="M4" s="90"/>
    </row>
    <row r="5" spans="1:13" ht="19.5" customHeight="1">
      <c r="A5" s="40">
        <v>45748</v>
      </c>
      <c r="B5" s="91" t="s">
        <v>11</v>
      </c>
      <c r="C5" s="91" t="s">
        <v>12</v>
      </c>
      <c r="D5" s="41">
        <v>213.8</v>
      </c>
      <c r="E5" s="17">
        <v>210.75</v>
      </c>
      <c r="F5" s="41">
        <v>631.18700000000001</v>
      </c>
      <c r="G5" s="8">
        <v>25</v>
      </c>
      <c r="H5" s="42">
        <v>0</v>
      </c>
      <c r="I5" s="43">
        <v>45</v>
      </c>
      <c r="J5" s="43">
        <v>0</v>
      </c>
      <c r="K5" s="42">
        <v>0</v>
      </c>
      <c r="L5" s="42">
        <f>H5+I5+J5+K5</f>
        <v>45</v>
      </c>
      <c r="M5" s="44"/>
    </row>
    <row r="6" spans="1:13" ht="19.5" customHeight="1">
      <c r="A6" s="40">
        <v>45749</v>
      </c>
      <c r="B6" s="108"/>
      <c r="C6" s="108"/>
      <c r="D6" s="41">
        <v>213.8</v>
      </c>
      <c r="E6" s="17">
        <v>210.72</v>
      </c>
      <c r="F6" s="41">
        <v>628.58799999999997</v>
      </c>
      <c r="G6" s="8">
        <v>15</v>
      </c>
      <c r="H6" s="42">
        <v>0</v>
      </c>
      <c r="I6" s="43">
        <v>45</v>
      </c>
      <c r="J6" s="43">
        <v>0</v>
      </c>
      <c r="K6" s="42">
        <v>0</v>
      </c>
      <c r="L6" s="42">
        <f t="shared" ref="L6:L34" si="0">H6+I6+J6+K6</f>
        <v>45</v>
      </c>
      <c r="M6" s="44"/>
    </row>
    <row r="7" spans="1:13" ht="19.5" customHeight="1">
      <c r="A7" s="40">
        <v>45750</v>
      </c>
      <c r="B7" s="108"/>
      <c r="C7" s="108"/>
      <c r="D7" s="41">
        <v>213.8</v>
      </c>
      <c r="E7" s="17">
        <v>210.71</v>
      </c>
      <c r="F7" s="41">
        <v>627.72199999999998</v>
      </c>
      <c r="G7" s="8">
        <v>35</v>
      </c>
      <c r="H7" s="42">
        <v>0</v>
      </c>
      <c r="I7" s="43">
        <v>45</v>
      </c>
      <c r="J7" s="43">
        <v>0</v>
      </c>
      <c r="K7" s="42">
        <v>0</v>
      </c>
      <c r="L7" s="42">
        <f t="shared" si="0"/>
        <v>45</v>
      </c>
      <c r="M7" s="44"/>
    </row>
    <row r="8" spans="1:13" ht="19.5" customHeight="1">
      <c r="A8" s="40">
        <v>45751</v>
      </c>
      <c r="B8" s="108"/>
      <c r="C8" s="108"/>
      <c r="D8" s="41">
        <v>213.8</v>
      </c>
      <c r="E8" s="17">
        <v>210.7</v>
      </c>
      <c r="F8" s="41">
        <v>626.85500000000002</v>
      </c>
      <c r="G8" s="8">
        <v>35</v>
      </c>
      <c r="H8" s="42">
        <v>0</v>
      </c>
      <c r="I8" s="43">
        <v>45</v>
      </c>
      <c r="J8" s="43">
        <v>0</v>
      </c>
      <c r="K8" s="42">
        <v>0</v>
      </c>
      <c r="L8" s="42">
        <f t="shared" si="0"/>
        <v>45</v>
      </c>
      <c r="M8" s="44"/>
    </row>
    <row r="9" spans="1:13" ht="19.5" customHeight="1">
      <c r="A9" s="40">
        <v>45752</v>
      </c>
      <c r="B9" s="108"/>
      <c r="C9" s="108"/>
      <c r="D9" s="41">
        <v>213.8</v>
      </c>
      <c r="E9" s="17">
        <v>210.69</v>
      </c>
      <c r="F9" s="41">
        <v>625.98900000000003</v>
      </c>
      <c r="G9" s="8">
        <v>19</v>
      </c>
      <c r="H9" s="42">
        <v>0</v>
      </c>
      <c r="I9" s="43">
        <v>30</v>
      </c>
      <c r="J9" s="43">
        <v>0</v>
      </c>
      <c r="K9" s="42">
        <v>0</v>
      </c>
      <c r="L9" s="42">
        <f t="shared" si="0"/>
        <v>30</v>
      </c>
      <c r="M9" s="44"/>
    </row>
    <row r="10" spans="1:13" ht="19.5" customHeight="1">
      <c r="A10" s="40">
        <v>45753</v>
      </c>
      <c r="B10" s="108"/>
      <c r="C10" s="108"/>
      <c r="D10" s="41">
        <v>213.8</v>
      </c>
      <c r="E10" s="17">
        <v>210.69</v>
      </c>
      <c r="F10" s="41">
        <v>625.98900000000003</v>
      </c>
      <c r="G10" s="8">
        <v>30</v>
      </c>
      <c r="H10" s="42">
        <v>0</v>
      </c>
      <c r="I10" s="43">
        <v>30</v>
      </c>
      <c r="J10" s="43">
        <v>0</v>
      </c>
      <c r="K10" s="42">
        <v>0</v>
      </c>
      <c r="L10" s="42">
        <f t="shared" si="0"/>
        <v>30</v>
      </c>
      <c r="M10" s="44"/>
    </row>
    <row r="11" spans="1:13" ht="19.5" customHeight="1">
      <c r="A11" s="40">
        <v>45754</v>
      </c>
      <c r="B11" s="108"/>
      <c r="C11" s="108"/>
      <c r="D11" s="41">
        <v>213.8</v>
      </c>
      <c r="E11" s="17">
        <v>210.66</v>
      </c>
      <c r="F11" s="41">
        <v>623.39</v>
      </c>
      <c r="G11" s="8">
        <v>0</v>
      </c>
      <c r="H11" s="42">
        <v>0</v>
      </c>
      <c r="I11" s="43">
        <v>30</v>
      </c>
      <c r="J11" s="43">
        <v>0</v>
      </c>
      <c r="K11" s="42">
        <v>0</v>
      </c>
      <c r="L11" s="42">
        <f t="shared" si="0"/>
        <v>30</v>
      </c>
      <c r="M11" s="44"/>
    </row>
    <row r="12" spans="1:13" ht="19.5" customHeight="1">
      <c r="A12" s="40">
        <v>45755</v>
      </c>
      <c r="B12" s="108"/>
      <c r="C12" s="108"/>
      <c r="D12" s="41">
        <v>213.8</v>
      </c>
      <c r="E12" s="17">
        <v>210.63</v>
      </c>
      <c r="F12" s="41">
        <v>620.79</v>
      </c>
      <c r="G12" s="8">
        <v>0</v>
      </c>
      <c r="H12" s="42">
        <v>0</v>
      </c>
      <c r="I12" s="43">
        <v>30</v>
      </c>
      <c r="J12" s="43">
        <v>0</v>
      </c>
      <c r="K12" s="42">
        <v>0</v>
      </c>
      <c r="L12" s="42">
        <f t="shared" si="0"/>
        <v>30</v>
      </c>
      <c r="M12" s="44"/>
    </row>
    <row r="13" spans="1:13" ht="19.5" customHeight="1">
      <c r="A13" s="40">
        <v>45756</v>
      </c>
      <c r="B13" s="108"/>
      <c r="C13" s="108"/>
      <c r="D13" s="41">
        <v>213.8</v>
      </c>
      <c r="E13" s="45">
        <v>210.63</v>
      </c>
      <c r="F13" s="17">
        <v>320.79000000000002</v>
      </c>
      <c r="G13" s="8">
        <v>30</v>
      </c>
      <c r="H13" s="42">
        <v>0</v>
      </c>
      <c r="I13" s="43">
        <v>30</v>
      </c>
      <c r="J13" s="43">
        <v>0</v>
      </c>
      <c r="K13" s="42">
        <v>0</v>
      </c>
      <c r="L13" s="42">
        <f t="shared" si="0"/>
        <v>30</v>
      </c>
      <c r="M13" s="44"/>
    </row>
    <row r="14" spans="1:13" ht="19.5" customHeight="1">
      <c r="A14" s="40">
        <v>45757</v>
      </c>
      <c r="B14" s="108"/>
      <c r="C14" s="108"/>
      <c r="D14" s="41">
        <v>213.8</v>
      </c>
      <c r="E14" s="17">
        <v>210.6</v>
      </c>
      <c r="F14" s="41">
        <v>618.19200000000001</v>
      </c>
      <c r="G14" s="8">
        <v>0</v>
      </c>
      <c r="H14" s="42">
        <v>0</v>
      </c>
      <c r="I14" s="43">
        <v>30</v>
      </c>
      <c r="J14" s="43">
        <v>0</v>
      </c>
      <c r="K14" s="42">
        <v>0</v>
      </c>
      <c r="L14" s="42">
        <f t="shared" si="0"/>
        <v>30</v>
      </c>
      <c r="M14" s="44"/>
    </row>
    <row r="15" spans="1:13" ht="19.5" customHeight="1">
      <c r="A15" s="40">
        <v>45758</v>
      </c>
      <c r="B15" s="108"/>
      <c r="C15" s="108"/>
      <c r="D15" s="41">
        <v>213.8</v>
      </c>
      <c r="E15" s="17">
        <v>210.6</v>
      </c>
      <c r="F15" s="41">
        <v>618.19200000000001</v>
      </c>
      <c r="G15" s="8">
        <v>30</v>
      </c>
      <c r="H15" s="42">
        <v>0</v>
      </c>
      <c r="I15" s="43">
        <v>30</v>
      </c>
      <c r="J15" s="43">
        <v>0</v>
      </c>
      <c r="K15" s="42">
        <v>0</v>
      </c>
      <c r="L15" s="42">
        <f t="shared" si="0"/>
        <v>30</v>
      </c>
      <c r="M15" s="44"/>
    </row>
    <row r="16" spans="1:13" ht="19.5" customHeight="1">
      <c r="A16" s="40">
        <v>45759</v>
      </c>
      <c r="B16" s="108"/>
      <c r="C16" s="108"/>
      <c r="D16" s="41">
        <v>213.8</v>
      </c>
      <c r="E16" s="17">
        <v>210.58</v>
      </c>
      <c r="F16" s="41">
        <v>616.45899999999995</v>
      </c>
      <c r="G16" s="8">
        <v>0</v>
      </c>
      <c r="H16" s="42">
        <v>0</v>
      </c>
      <c r="I16" s="43">
        <v>30</v>
      </c>
      <c r="J16" s="43">
        <v>0</v>
      </c>
      <c r="K16" s="42">
        <v>0</v>
      </c>
      <c r="L16" s="42">
        <f t="shared" si="0"/>
        <v>30</v>
      </c>
      <c r="M16" s="44"/>
    </row>
    <row r="17" spans="1:14" ht="19.5" customHeight="1">
      <c r="A17" s="40">
        <v>45760</v>
      </c>
      <c r="B17" s="108"/>
      <c r="C17" s="108"/>
      <c r="D17" s="41">
        <v>213.8</v>
      </c>
      <c r="E17" s="17">
        <v>210.55</v>
      </c>
      <c r="F17" s="41">
        <v>613.86</v>
      </c>
      <c r="G17" s="8">
        <v>15</v>
      </c>
      <c r="H17" s="42">
        <v>0</v>
      </c>
      <c r="I17" s="43">
        <v>30</v>
      </c>
      <c r="J17" s="43">
        <v>0</v>
      </c>
      <c r="K17" s="42">
        <v>0</v>
      </c>
      <c r="L17" s="42">
        <f t="shared" si="0"/>
        <v>30</v>
      </c>
      <c r="M17" s="44"/>
    </row>
    <row r="18" spans="1:14" ht="19.5" customHeight="1">
      <c r="A18" s="40">
        <v>45761</v>
      </c>
      <c r="B18" s="108"/>
      <c r="C18" s="108"/>
      <c r="D18" s="41">
        <v>213.8</v>
      </c>
      <c r="E18" s="17">
        <v>210.53</v>
      </c>
      <c r="F18" s="41">
        <v>612.12800000000004</v>
      </c>
      <c r="G18" s="8">
        <v>25</v>
      </c>
      <c r="H18" s="42">
        <v>0</v>
      </c>
      <c r="I18" s="43">
        <v>45</v>
      </c>
      <c r="J18" s="43">
        <v>0</v>
      </c>
      <c r="K18" s="42">
        <v>0</v>
      </c>
      <c r="L18" s="42">
        <f t="shared" si="0"/>
        <v>45</v>
      </c>
      <c r="M18" s="44"/>
    </row>
    <row r="19" spans="1:14" ht="19.5" customHeight="1">
      <c r="A19" s="40">
        <v>45762</v>
      </c>
      <c r="B19" s="108"/>
      <c r="C19" s="108"/>
      <c r="D19" s="41">
        <v>213.8</v>
      </c>
      <c r="E19" s="17">
        <v>210.5</v>
      </c>
      <c r="F19" s="41">
        <v>609.15899999999999</v>
      </c>
      <c r="G19" s="8">
        <v>15</v>
      </c>
      <c r="H19" s="42">
        <v>0</v>
      </c>
      <c r="I19" s="43">
        <v>45</v>
      </c>
      <c r="J19" s="43">
        <v>0</v>
      </c>
      <c r="K19" s="42">
        <v>0</v>
      </c>
      <c r="L19" s="42">
        <f t="shared" si="0"/>
        <v>45</v>
      </c>
      <c r="M19" s="44"/>
    </row>
    <row r="20" spans="1:14" ht="19.5" customHeight="1">
      <c r="A20" s="40">
        <v>45763</v>
      </c>
      <c r="B20" s="108"/>
      <c r="C20" s="108"/>
      <c r="D20" s="41">
        <v>213.8</v>
      </c>
      <c r="E20" s="17">
        <v>210.48</v>
      </c>
      <c r="F20" s="41">
        <v>607.79600000000005</v>
      </c>
      <c r="G20" s="8">
        <v>25</v>
      </c>
      <c r="H20" s="42">
        <v>0</v>
      </c>
      <c r="I20" s="43">
        <v>45</v>
      </c>
      <c r="J20" s="43">
        <v>0</v>
      </c>
      <c r="K20" s="42">
        <v>0</v>
      </c>
      <c r="L20" s="42">
        <f t="shared" si="0"/>
        <v>45</v>
      </c>
      <c r="M20" s="44"/>
    </row>
    <row r="21" spans="1:14" ht="19.5" customHeight="1">
      <c r="A21" s="40">
        <v>45764</v>
      </c>
      <c r="B21" s="108"/>
      <c r="C21" s="108"/>
      <c r="D21" s="41">
        <v>213.8</v>
      </c>
      <c r="E21" s="17">
        <v>210.45</v>
      </c>
      <c r="F21" s="41">
        <v>605.197</v>
      </c>
      <c r="G21" s="8">
        <v>15</v>
      </c>
      <c r="H21" s="42">
        <v>0</v>
      </c>
      <c r="I21" s="43">
        <v>45</v>
      </c>
      <c r="J21" s="43">
        <v>0</v>
      </c>
      <c r="K21" s="42">
        <v>0</v>
      </c>
      <c r="L21" s="42">
        <f t="shared" si="0"/>
        <v>45</v>
      </c>
      <c r="M21" s="44"/>
    </row>
    <row r="22" spans="1:14" ht="19.5" customHeight="1">
      <c r="A22" s="40">
        <v>45765</v>
      </c>
      <c r="B22" s="108"/>
      <c r="C22" s="108"/>
      <c r="D22" s="41">
        <v>213.8</v>
      </c>
      <c r="E22" s="17">
        <v>210.47</v>
      </c>
      <c r="F22" s="41">
        <v>606.92999999999995</v>
      </c>
      <c r="G22" s="8">
        <v>65</v>
      </c>
      <c r="H22" s="42">
        <v>0</v>
      </c>
      <c r="I22" s="43">
        <v>45</v>
      </c>
      <c r="J22" s="43">
        <v>0</v>
      </c>
      <c r="K22" s="42">
        <v>0</v>
      </c>
      <c r="L22" s="42">
        <f t="shared" si="0"/>
        <v>45</v>
      </c>
      <c r="M22" s="44"/>
    </row>
    <row r="23" spans="1:14" ht="19.5" customHeight="1">
      <c r="A23" s="40">
        <v>45766</v>
      </c>
      <c r="B23" s="108"/>
      <c r="C23" s="108"/>
      <c r="D23" s="41">
        <v>213.8</v>
      </c>
      <c r="E23" s="17">
        <v>210.5</v>
      </c>
      <c r="F23" s="41">
        <v>609.529</v>
      </c>
      <c r="G23" s="8">
        <v>75</v>
      </c>
      <c r="H23" s="42">
        <v>0</v>
      </c>
      <c r="I23" s="43">
        <v>45</v>
      </c>
      <c r="J23" s="43">
        <v>0</v>
      </c>
      <c r="K23" s="42">
        <v>0</v>
      </c>
      <c r="L23" s="42">
        <f t="shared" si="0"/>
        <v>45</v>
      </c>
      <c r="M23" s="44"/>
    </row>
    <row r="24" spans="1:14" ht="19.5" customHeight="1">
      <c r="A24" s="40">
        <v>45767</v>
      </c>
      <c r="B24" s="108"/>
      <c r="C24" s="108"/>
      <c r="D24" s="41">
        <v>213.8</v>
      </c>
      <c r="E24" s="17">
        <v>210.5</v>
      </c>
      <c r="F24" s="41">
        <v>609.529</v>
      </c>
      <c r="G24" s="8">
        <v>45</v>
      </c>
      <c r="H24" s="42">
        <v>0</v>
      </c>
      <c r="I24" s="43">
        <v>45</v>
      </c>
      <c r="J24" s="43">
        <v>0</v>
      </c>
      <c r="K24" s="42">
        <v>0</v>
      </c>
      <c r="L24" s="42">
        <f t="shared" si="0"/>
        <v>45</v>
      </c>
      <c r="M24" s="44"/>
    </row>
    <row r="25" spans="1:14" ht="19.5" customHeight="1">
      <c r="A25" s="40">
        <v>45768</v>
      </c>
      <c r="B25" s="108"/>
      <c r="C25" s="108"/>
      <c r="D25" s="41">
        <v>213.8</v>
      </c>
      <c r="E25" s="17">
        <v>210.5</v>
      </c>
      <c r="F25" s="41">
        <v>609.529</v>
      </c>
      <c r="G25" s="8">
        <v>45</v>
      </c>
      <c r="H25" s="42">
        <v>0</v>
      </c>
      <c r="I25" s="43">
        <v>45</v>
      </c>
      <c r="J25" s="43">
        <v>0</v>
      </c>
      <c r="K25" s="42">
        <v>0</v>
      </c>
      <c r="L25" s="42">
        <f t="shared" si="0"/>
        <v>45</v>
      </c>
      <c r="M25" s="44"/>
    </row>
    <row r="26" spans="1:14" ht="19.5" customHeight="1">
      <c r="A26" s="40">
        <v>45769</v>
      </c>
      <c r="B26" s="108"/>
      <c r="C26" s="108"/>
      <c r="D26" s="41">
        <v>213.8</v>
      </c>
      <c r="E26" s="17">
        <v>210.47</v>
      </c>
      <c r="F26" s="41">
        <v>606.92999999999995</v>
      </c>
      <c r="G26" s="8">
        <v>14</v>
      </c>
      <c r="H26" s="42">
        <v>0</v>
      </c>
      <c r="I26" s="43">
        <v>45</v>
      </c>
      <c r="J26" s="43">
        <v>0</v>
      </c>
      <c r="K26" s="42">
        <v>0</v>
      </c>
      <c r="L26" s="42">
        <f t="shared" si="0"/>
        <v>45</v>
      </c>
      <c r="M26" s="44"/>
      <c r="N26" s="11"/>
    </row>
    <row r="27" spans="1:14" ht="19.5" customHeight="1">
      <c r="A27" s="40">
        <v>45770</v>
      </c>
      <c r="B27" s="108"/>
      <c r="C27" s="108"/>
      <c r="D27" s="41">
        <v>213.8</v>
      </c>
      <c r="E27" s="17">
        <v>210.43</v>
      </c>
      <c r="F27" s="41">
        <v>603.45600000000002</v>
      </c>
      <c r="G27" s="8">
        <v>5</v>
      </c>
      <c r="H27" s="42">
        <v>0</v>
      </c>
      <c r="I27" s="43">
        <v>45</v>
      </c>
      <c r="J27" s="43">
        <v>0</v>
      </c>
      <c r="K27" s="42">
        <v>0</v>
      </c>
      <c r="L27" s="42">
        <f t="shared" si="0"/>
        <v>45</v>
      </c>
      <c r="M27" s="44"/>
    </row>
    <row r="28" spans="1:14" ht="19.5" customHeight="1">
      <c r="A28" s="40">
        <v>45771</v>
      </c>
      <c r="B28" s="108"/>
      <c r="C28" s="108"/>
      <c r="D28" s="41">
        <v>213.8</v>
      </c>
      <c r="E28" s="17">
        <v>10.38</v>
      </c>
      <c r="F28" s="41">
        <v>599.13300000000004</v>
      </c>
      <c r="G28" s="8">
        <v>0</v>
      </c>
      <c r="H28" s="42">
        <v>0</v>
      </c>
      <c r="I28" s="43">
        <v>45</v>
      </c>
      <c r="J28" s="43">
        <v>0</v>
      </c>
      <c r="K28" s="42">
        <v>0</v>
      </c>
      <c r="L28" s="42">
        <f t="shared" si="0"/>
        <v>45</v>
      </c>
      <c r="M28" s="44"/>
    </row>
    <row r="29" spans="1:14" ht="19.5" customHeight="1">
      <c r="A29" s="40">
        <v>45772</v>
      </c>
      <c r="B29" s="108"/>
      <c r="C29" s="108"/>
      <c r="D29" s="41">
        <v>213.8</v>
      </c>
      <c r="E29" s="17">
        <v>210.36</v>
      </c>
      <c r="F29" s="41">
        <v>597.4</v>
      </c>
      <c r="G29" s="8">
        <v>9</v>
      </c>
      <c r="H29" s="42">
        <v>0</v>
      </c>
      <c r="I29" s="43">
        <v>30</v>
      </c>
      <c r="J29" s="43">
        <v>0</v>
      </c>
      <c r="K29" s="42">
        <v>0</v>
      </c>
      <c r="L29" s="42">
        <f t="shared" si="0"/>
        <v>30</v>
      </c>
      <c r="M29" s="44"/>
    </row>
    <row r="30" spans="1:14" ht="19.5" customHeight="1">
      <c r="A30" s="40">
        <v>45773</v>
      </c>
      <c r="B30" s="108"/>
      <c r="C30" s="108"/>
      <c r="D30" s="41">
        <v>213.8</v>
      </c>
      <c r="E30" s="17">
        <v>210.34</v>
      </c>
      <c r="F30" s="41">
        <v>595.66800000000001</v>
      </c>
      <c r="G30" s="8">
        <v>10</v>
      </c>
      <c r="H30" s="42">
        <v>0</v>
      </c>
      <c r="I30" s="43">
        <v>30</v>
      </c>
      <c r="J30" s="43">
        <v>0</v>
      </c>
      <c r="K30" s="42">
        <v>0</v>
      </c>
      <c r="L30" s="42">
        <f t="shared" si="0"/>
        <v>30</v>
      </c>
      <c r="M30" s="44"/>
    </row>
    <row r="31" spans="1:14" ht="21" customHeight="1">
      <c r="A31" s="40">
        <v>45774</v>
      </c>
      <c r="B31" s="108"/>
      <c r="C31" s="108"/>
      <c r="D31" s="41">
        <v>213.8</v>
      </c>
      <c r="E31" s="17">
        <v>210.33</v>
      </c>
      <c r="F31" s="41">
        <v>594.80100000000004</v>
      </c>
      <c r="G31" s="8">
        <v>20</v>
      </c>
      <c r="H31" s="42">
        <v>0</v>
      </c>
      <c r="I31" s="43">
        <v>30</v>
      </c>
      <c r="J31" s="43">
        <v>0</v>
      </c>
      <c r="K31" s="42">
        <v>0</v>
      </c>
      <c r="L31" s="42">
        <f t="shared" si="0"/>
        <v>30</v>
      </c>
      <c r="M31" s="44"/>
    </row>
    <row r="32" spans="1:14" ht="21" customHeight="1">
      <c r="A32" s="40">
        <v>45775</v>
      </c>
      <c r="B32" s="108"/>
      <c r="C32" s="108"/>
      <c r="D32" s="41">
        <v>213.8</v>
      </c>
      <c r="E32" s="17">
        <v>210.32</v>
      </c>
      <c r="F32" s="41">
        <v>593.93499999999995</v>
      </c>
      <c r="G32" s="8">
        <v>20</v>
      </c>
      <c r="H32" s="42">
        <v>0</v>
      </c>
      <c r="I32" s="43">
        <v>30</v>
      </c>
      <c r="J32" s="43">
        <v>0</v>
      </c>
      <c r="K32" s="42">
        <v>0</v>
      </c>
      <c r="L32" s="42">
        <f t="shared" si="0"/>
        <v>30</v>
      </c>
      <c r="M32" s="44"/>
    </row>
    <row r="33" spans="1:14" ht="21" customHeight="1">
      <c r="A33" s="40">
        <v>45776</v>
      </c>
      <c r="B33" s="108"/>
      <c r="C33" s="108"/>
      <c r="D33" s="41">
        <v>213.8</v>
      </c>
      <c r="E33" s="17">
        <v>210.32</v>
      </c>
      <c r="F33" s="41">
        <v>593.93499999999995</v>
      </c>
      <c r="G33" s="8">
        <v>30</v>
      </c>
      <c r="H33" s="42">
        <v>0</v>
      </c>
      <c r="I33" s="43">
        <v>30</v>
      </c>
      <c r="J33" s="43">
        <v>0</v>
      </c>
      <c r="K33" s="42">
        <v>0</v>
      </c>
      <c r="L33" s="42">
        <f t="shared" si="0"/>
        <v>30</v>
      </c>
      <c r="M33" s="44"/>
    </row>
    <row r="34" spans="1:14" ht="21" customHeight="1">
      <c r="A34" s="40">
        <v>45777</v>
      </c>
      <c r="B34" s="108"/>
      <c r="C34" s="108"/>
      <c r="D34" s="41">
        <v>213.8</v>
      </c>
      <c r="E34" s="17">
        <v>210.32</v>
      </c>
      <c r="F34" s="41">
        <v>593.93499999999995</v>
      </c>
      <c r="G34" s="8">
        <v>30</v>
      </c>
      <c r="H34" s="42">
        <v>0</v>
      </c>
      <c r="I34" s="43">
        <v>30</v>
      </c>
      <c r="J34" s="43">
        <v>0</v>
      </c>
      <c r="K34" s="42">
        <v>0</v>
      </c>
      <c r="L34" s="42">
        <f t="shared" si="0"/>
        <v>30</v>
      </c>
      <c r="M34" s="44"/>
    </row>
    <row r="35" spans="1:14" ht="49.5" customHeight="1">
      <c r="A35" s="92" t="s">
        <v>21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12"/>
    </row>
    <row r="36" spans="1:14" ht="47.25" customHeight="1">
      <c r="A36" s="34"/>
      <c r="B36" s="35"/>
      <c r="C36" s="4"/>
      <c r="D36" s="4"/>
      <c r="E36" s="4"/>
      <c r="F36" s="4"/>
      <c r="G36" s="4"/>
      <c r="H36" s="4"/>
      <c r="I36" s="4"/>
      <c r="J36" s="4"/>
      <c r="K36" s="36"/>
      <c r="L36" s="36"/>
      <c r="M36" s="37"/>
    </row>
    <row r="37" spans="1:14" ht="15.75" customHeight="1">
      <c r="A37" s="85" t="s">
        <v>9</v>
      </c>
      <c r="B37" s="86"/>
      <c r="C37" s="86"/>
      <c r="D37" s="86"/>
      <c r="I37" s="85" t="s">
        <v>10</v>
      </c>
      <c r="J37" s="86"/>
      <c r="K37" s="86"/>
      <c r="L37" s="86"/>
      <c r="M37" s="37"/>
    </row>
    <row r="38" spans="1:14" ht="15.75" customHeight="1">
      <c r="A38" s="85" t="s">
        <v>16</v>
      </c>
      <c r="B38" s="86"/>
      <c r="C38" s="86"/>
      <c r="D38" s="86"/>
      <c r="I38" s="85" t="s">
        <v>16</v>
      </c>
      <c r="J38" s="86"/>
      <c r="K38" s="86"/>
      <c r="L38" s="86"/>
      <c r="M38" s="37"/>
    </row>
    <row r="39" spans="1:14" ht="15.75" customHeight="1">
      <c r="A39" s="87" t="s">
        <v>17</v>
      </c>
      <c r="B39" s="86"/>
      <c r="C39" s="86"/>
      <c r="D39" s="86"/>
      <c r="I39" s="87" t="s">
        <v>17</v>
      </c>
      <c r="J39" s="86"/>
      <c r="K39" s="86"/>
      <c r="L39" s="86"/>
      <c r="M39" s="37"/>
    </row>
    <row r="40" spans="1:14" ht="15.75" customHeight="1">
      <c r="M40" s="37"/>
    </row>
    <row r="41" spans="1:14" ht="15.75" customHeight="1">
      <c r="M41" s="37"/>
    </row>
    <row r="42" spans="1:14" ht="15.75" customHeight="1">
      <c r="M42" s="37"/>
    </row>
    <row r="43" spans="1:14" ht="15.75" customHeight="1">
      <c r="M43" s="37"/>
    </row>
    <row r="44" spans="1:14" ht="15.75" customHeight="1">
      <c r="M44" s="37"/>
    </row>
    <row r="45" spans="1:14" ht="15.75" customHeight="1">
      <c r="M45" s="37"/>
    </row>
    <row r="46" spans="1:14" ht="15.75" customHeight="1">
      <c r="M46" s="37"/>
    </row>
    <row r="47" spans="1:14" ht="15.75" customHeight="1">
      <c r="M47" s="37"/>
    </row>
    <row r="48" spans="1:14" ht="15.75" customHeight="1">
      <c r="M48" s="37"/>
    </row>
    <row r="49" spans="13:13" ht="15.75" customHeight="1">
      <c r="M49" s="37"/>
    </row>
    <row r="50" spans="13:13" ht="15.75" customHeight="1">
      <c r="M50" s="37"/>
    </row>
    <row r="51" spans="13:13" ht="15.75" customHeight="1">
      <c r="M51" s="37"/>
    </row>
    <row r="52" spans="13:13" ht="15.75" customHeight="1">
      <c r="M52" s="37"/>
    </row>
    <row r="53" spans="13:13" ht="15.75" customHeight="1">
      <c r="M53" s="37"/>
    </row>
    <row r="54" spans="13:13" ht="15.75" customHeight="1">
      <c r="M54" s="37"/>
    </row>
    <row r="55" spans="13:13" ht="15.75" customHeight="1">
      <c r="M55" s="37"/>
    </row>
    <row r="56" spans="13:13" ht="15.75" customHeight="1">
      <c r="M56" s="37"/>
    </row>
    <row r="57" spans="13:13" ht="15.75" customHeight="1">
      <c r="M57" s="37"/>
    </row>
    <row r="58" spans="13:13" ht="15.75" customHeight="1">
      <c r="M58" s="37"/>
    </row>
    <row r="59" spans="13:13" ht="15.75" customHeight="1">
      <c r="M59" s="37"/>
    </row>
    <row r="60" spans="13:13" ht="15.75" customHeight="1">
      <c r="M60" s="37"/>
    </row>
    <row r="61" spans="13:13" ht="15.75" customHeight="1">
      <c r="M61" s="37"/>
    </row>
    <row r="62" spans="13:13" ht="15.75" customHeight="1">
      <c r="M62" s="37"/>
    </row>
    <row r="63" spans="13:13" ht="15.75" customHeight="1">
      <c r="M63" s="37"/>
    </row>
    <row r="64" spans="13:13" ht="15.75" customHeight="1">
      <c r="M64" s="37"/>
    </row>
    <row r="65" spans="13:13" ht="15.75" customHeight="1">
      <c r="M65" s="37"/>
    </row>
    <row r="66" spans="13:13" ht="15.75" customHeight="1">
      <c r="M66" s="37"/>
    </row>
    <row r="67" spans="13:13" ht="15.75" customHeight="1">
      <c r="M67" s="37"/>
    </row>
    <row r="68" spans="13:13" ht="15.75" customHeight="1">
      <c r="M68" s="37"/>
    </row>
    <row r="69" spans="13:13" ht="15.75" customHeight="1">
      <c r="M69" s="37"/>
    </row>
    <row r="70" spans="13:13" ht="15.75" customHeight="1">
      <c r="M70" s="37"/>
    </row>
    <row r="71" spans="13:13" ht="15.75" customHeight="1">
      <c r="M71" s="37"/>
    </row>
    <row r="72" spans="13:13" ht="15.75" customHeight="1">
      <c r="M72" s="37"/>
    </row>
    <row r="73" spans="13:13" ht="15.75" customHeight="1">
      <c r="M73" s="37"/>
    </row>
    <row r="74" spans="13:13" ht="15.75" customHeight="1">
      <c r="M74" s="37"/>
    </row>
    <row r="75" spans="13:13" ht="15.75" customHeight="1">
      <c r="M75" s="37"/>
    </row>
    <row r="76" spans="13:13" ht="15.75" customHeight="1">
      <c r="M76" s="37"/>
    </row>
    <row r="77" spans="13:13" ht="15.75" customHeight="1">
      <c r="M77" s="37"/>
    </row>
    <row r="78" spans="13:13" ht="15.75" customHeight="1">
      <c r="M78" s="37"/>
    </row>
    <row r="79" spans="13:13" ht="15.75" customHeight="1">
      <c r="M79" s="37"/>
    </row>
    <row r="80" spans="13:13" ht="15.75" customHeight="1">
      <c r="M80" s="37"/>
    </row>
    <row r="81" spans="13:13" ht="15.75" customHeight="1">
      <c r="M81" s="37"/>
    </row>
    <row r="82" spans="13:13" ht="15.75" customHeight="1">
      <c r="M82" s="37"/>
    </row>
    <row r="83" spans="13:13" ht="15.75" customHeight="1">
      <c r="M83" s="37"/>
    </row>
    <row r="84" spans="13:13" ht="15.75" customHeight="1">
      <c r="M84" s="37"/>
    </row>
    <row r="85" spans="13:13" ht="15.75" customHeight="1">
      <c r="M85" s="37"/>
    </row>
    <row r="86" spans="13:13" ht="15.75" customHeight="1">
      <c r="M86" s="37"/>
    </row>
    <row r="87" spans="13:13" ht="15.75" customHeight="1">
      <c r="M87" s="37"/>
    </row>
    <row r="88" spans="13:13" ht="15.75" customHeight="1">
      <c r="M88" s="37"/>
    </row>
    <row r="89" spans="13:13" ht="15.75" customHeight="1">
      <c r="M89" s="37"/>
    </row>
    <row r="90" spans="13:13" ht="15.75" customHeight="1">
      <c r="M90" s="37"/>
    </row>
    <row r="91" spans="13:13" ht="15.75" customHeight="1">
      <c r="M91" s="37"/>
    </row>
    <row r="92" spans="13:13" ht="15.75" customHeight="1">
      <c r="M92" s="37"/>
    </row>
    <row r="93" spans="13:13" ht="15.75" customHeight="1">
      <c r="M93" s="37"/>
    </row>
    <row r="94" spans="13:13" ht="15.75" customHeight="1">
      <c r="M94" s="37"/>
    </row>
    <row r="95" spans="13:13" ht="15.75" customHeight="1">
      <c r="M95" s="37"/>
    </row>
    <row r="96" spans="13:13" ht="15.75" customHeight="1">
      <c r="M96" s="37"/>
    </row>
    <row r="97" spans="13:13" ht="15.75" customHeight="1">
      <c r="M97" s="37"/>
    </row>
    <row r="98" spans="13:13" ht="15.75" customHeight="1">
      <c r="M98" s="37"/>
    </row>
    <row r="99" spans="13:13" ht="15.75" customHeight="1">
      <c r="M99" s="37"/>
    </row>
    <row r="100" spans="13:13" ht="15.75" customHeight="1">
      <c r="M100" s="37"/>
    </row>
    <row r="101" spans="13:13" ht="15.75" customHeight="1">
      <c r="M101" s="37"/>
    </row>
  </sheetData>
  <mergeCells count="20">
    <mergeCell ref="A38:D38"/>
    <mergeCell ref="I38:L38"/>
    <mergeCell ref="A39:D39"/>
    <mergeCell ref="I39:L39"/>
    <mergeCell ref="M3:M4"/>
    <mergeCell ref="B5:B34"/>
    <mergeCell ref="C5:C34"/>
    <mergeCell ref="A35:M35"/>
    <mergeCell ref="A37:D37"/>
    <mergeCell ref="I37:L37"/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</mergeCells>
  <pageMargins left="0.7" right="0.7" top="0.75" bottom="0.75" header="0" footer="0"/>
  <pageSetup paperSize="9" scale="7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2"/>
  <sheetViews>
    <sheetView topLeftCell="A28" workbookViewId="0">
      <selection activeCell="G34" sqref="G34"/>
    </sheetView>
  </sheetViews>
  <sheetFormatPr defaultColWidth="14.42578125" defaultRowHeight="15" customHeight="1"/>
  <cols>
    <col min="1" max="1" width="12.42578125" style="22" customWidth="1"/>
    <col min="2" max="2" width="6.28515625" style="22" customWidth="1"/>
    <col min="3" max="3" width="5.140625" style="22" customWidth="1"/>
    <col min="4" max="4" width="10" style="22" customWidth="1"/>
    <col min="5" max="6" width="8.7109375" style="22" customWidth="1"/>
    <col min="7" max="7" width="9.85546875" style="22" customWidth="1"/>
    <col min="8" max="8" width="8.7109375" style="22" customWidth="1"/>
    <col min="9" max="9" width="8.42578125" style="22" customWidth="1"/>
    <col min="10" max="10" width="8.7109375" style="22" customWidth="1"/>
    <col min="11" max="11" width="6.42578125" style="22" customWidth="1"/>
    <col min="12" max="12" width="8.5703125" style="22" customWidth="1"/>
    <col min="13" max="13" width="8.85546875" style="22" customWidth="1"/>
    <col min="14" max="16384" width="14.42578125" style="22"/>
  </cols>
  <sheetData>
    <row r="1" spans="1:13" ht="14.25" customHeight="1">
      <c r="A1" s="93" t="s">
        <v>23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5.75" customHeigh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ht="14.25" customHeight="1">
      <c r="A3" s="99" t="s">
        <v>0</v>
      </c>
      <c r="B3" s="100" t="s">
        <v>1</v>
      </c>
      <c r="C3" s="100" t="s">
        <v>2</v>
      </c>
      <c r="D3" s="99" t="s">
        <v>3</v>
      </c>
      <c r="E3" s="99" t="s">
        <v>4</v>
      </c>
      <c r="F3" s="99" t="s">
        <v>19</v>
      </c>
      <c r="G3" s="99" t="s">
        <v>5</v>
      </c>
      <c r="H3" s="101" t="s">
        <v>6</v>
      </c>
      <c r="I3" s="102"/>
      <c r="J3" s="102"/>
      <c r="K3" s="102"/>
      <c r="L3" s="103" t="s">
        <v>7</v>
      </c>
      <c r="M3" s="89" t="s">
        <v>8</v>
      </c>
    </row>
    <row r="4" spans="1:13" ht="51.75" customHeight="1">
      <c r="A4" s="113"/>
      <c r="B4" s="113"/>
      <c r="C4" s="113"/>
      <c r="D4" s="113"/>
      <c r="E4" s="113"/>
      <c r="F4" s="113"/>
      <c r="G4" s="113"/>
      <c r="H4" s="13" t="s">
        <v>15</v>
      </c>
      <c r="I4" s="13" t="s">
        <v>13</v>
      </c>
      <c r="J4" s="13" t="s">
        <v>18</v>
      </c>
      <c r="K4" s="13" t="s">
        <v>14</v>
      </c>
      <c r="L4" s="113"/>
      <c r="M4" s="113"/>
    </row>
    <row r="5" spans="1:13" ht="19.5" customHeight="1">
      <c r="A5" s="25">
        <v>45717</v>
      </c>
      <c r="B5" s="114" t="s">
        <v>11</v>
      </c>
      <c r="C5" s="114" t="s">
        <v>12</v>
      </c>
      <c r="D5" s="15">
        <v>213.8</v>
      </c>
      <c r="E5" s="17">
        <v>211.54</v>
      </c>
      <c r="F5" s="10">
        <v>712.89099999999996</v>
      </c>
      <c r="G5" s="8">
        <v>12</v>
      </c>
      <c r="H5" s="19">
        <v>0</v>
      </c>
      <c r="I5" s="20">
        <v>30</v>
      </c>
      <c r="J5" s="20">
        <v>30</v>
      </c>
      <c r="K5" s="19">
        <v>0</v>
      </c>
      <c r="L5" s="19">
        <f>H5+I5+J5+K5</f>
        <v>60</v>
      </c>
      <c r="M5" s="28"/>
    </row>
    <row r="6" spans="1:13" ht="19.5" customHeight="1">
      <c r="A6" s="25">
        <v>45718</v>
      </c>
      <c r="B6" s="90"/>
      <c r="C6" s="90"/>
      <c r="D6" s="15">
        <v>213.8</v>
      </c>
      <c r="E6" s="17">
        <v>211.49</v>
      </c>
      <c r="F6" s="10">
        <v>707.66300000000001</v>
      </c>
      <c r="G6" s="8">
        <v>0</v>
      </c>
      <c r="H6" s="19">
        <v>0</v>
      </c>
      <c r="I6" s="20">
        <v>30</v>
      </c>
      <c r="J6" s="20">
        <v>30</v>
      </c>
      <c r="K6" s="19">
        <v>0</v>
      </c>
      <c r="L6" s="19">
        <f t="shared" ref="L6:L35" si="0">H6+I6+J6+K6</f>
        <v>60</v>
      </c>
      <c r="M6" s="28"/>
    </row>
    <row r="7" spans="1:13" ht="19.5" customHeight="1">
      <c r="A7" s="25">
        <v>45719</v>
      </c>
      <c r="B7" s="90"/>
      <c r="C7" s="90"/>
      <c r="D7" s="15">
        <v>213.8</v>
      </c>
      <c r="E7" s="17">
        <v>211.46</v>
      </c>
      <c r="F7" s="10">
        <v>704.52599999999995</v>
      </c>
      <c r="G7" s="8">
        <v>24</v>
      </c>
      <c r="H7" s="19">
        <v>0</v>
      </c>
      <c r="I7" s="20">
        <v>30</v>
      </c>
      <c r="J7" s="20">
        <v>30</v>
      </c>
      <c r="K7" s="19">
        <v>0</v>
      </c>
      <c r="L7" s="19">
        <f t="shared" si="0"/>
        <v>60</v>
      </c>
      <c r="M7" s="28"/>
    </row>
    <row r="8" spans="1:13" ht="19.5" customHeight="1">
      <c r="A8" s="25">
        <v>45720</v>
      </c>
      <c r="B8" s="90"/>
      <c r="C8" s="90"/>
      <c r="D8" s="15">
        <v>213.8</v>
      </c>
      <c r="E8" s="17">
        <v>211.42</v>
      </c>
      <c r="F8" s="10">
        <v>700.33399999999995</v>
      </c>
      <c r="G8" s="8">
        <v>0</v>
      </c>
      <c r="H8" s="19">
        <v>0</v>
      </c>
      <c r="I8" s="20">
        <v>30</v>
      </c>
      <c r="J8" s="20">
        <v>30</v>
      </c>
      <c r="K8" s="19">
        <v>0</v>
      </c>
      <c r="L8" s="19">
        <f t="shared" si="0"/>
        <v>60</v>
      </c>
      <c r="M8" s="28"/>
    </row>
    <row r="9" spans="1:13" ht="19.5" customHeight="1">
      <c r="A9" s="25">
        <v>45721</v>
      </c>
      <c r="B9" s="90"/>
      <c r="C9" s="90"/>
      <c r="D9" s="15">
        <v>213.8</v>
      </c>
      <c r="E9" s="17">
        <v>211.41</v>
      </c>
      <c r="F9" s="10">
        <v>699.29899999999998</v>
      </c>
      <c r="G9" s="8">
        <v>18</v>
      </c>
      <c r="H9" s="19">
        <v>0</v>
      </c>
      <c r="I9" s="20">
        <v>30</v>
      </c>
      <c r="J9" s="20">
        <v>0</v>
      </c>
      <c r="K9" s="19">
        <v>0</v>
      </c>
      <c r="L9" s="19">
        <f t="shared" si="0"/>
        <v>30</v>
      </c>
      <c r="M9" s="28"/>
    </row>
    <row r="10" spans="1:13" ht="19.5" customHeight="1">
      <c r="A10" s="25">
        <v>45722</v>
      </c>
      <c r="B10" s="90"/>
      <c r="C10" s="90"/>
      <c r="D10" s="15">
        <v>213.8</v>
      </c>
      <c r="E10" s="17">
        <v>211.38</v>
      </c>
      <c r="F10" s="10">
        <v>696.16200000000003</v>
      </c>
      <c r="G10" s="8">
        <v>0</v>
      </c>
      <c r="H10" s="19">
        <v>0</v>
      </c>
      <c r="I10" s="20">
        <v>30</v>
      </c>
      <c r="J10" s="20">
        <v>0</v>
      </c>
      <c r="K10" s="19">
        <v>0</v>
      </c>
      <c r="L10" s="19">
        <f t="shared" si="0"/>
        <v>30</v>
      </c>
      <c r="M10" s="28"/>
    </row>
    <row r="11" spans="1:13" ht="19.5" customHeight="1">
      <c r="A11" s="25">
        <v>45723</v>
      </c>
      <c r="B11" s="90"/>
      <c r="C11" s="90"/>
      <c r="D11" s="15">
        <v>213.8</v>
      </c>
      <c r="E11" s="17">
        <v>211.35</v>
      </c>
      <c r="F11" s="10">
        <v>693.02499999999998</v>
      </c>
      <c r="G11" s="8">
        <v>0</v>
      </c>
      <c r="H11" s="19">
        <v>0</v>
      </c>
      <c r="I11" s="20">
        <v>30</v>
      </c>
      <c r="J11" s="20">
        <v>0</v>
      </c>
      <c r="K11" s="19">
        <v>0</v>
      </c>
      <c r="L11" s="19">
        <f t="shared" si="0"/>
        <v>30</v>
      </c>
      <c r="M11" s="28"/>
    </row>
    <row r="12" spans="1:13" ht="19.5" customHeight="1">
      <c r="A12" s="25">
        <v>45724</v>
      </c>
      <c r="B12" s="90"/>
      <c r="C12" s="90"/>
      <c r="D12" s="15">
        <v>213.8</v>
      </c>
      <c r="E12" s="17">
        <v>211.32</v>
      </c>
      <c r="F12" s="10">
        <v>689.88800000000003</v>
      </c>
      <c r="G12" s="8">
        <v>0</v>
      </c>
      <c r="H12" s="19">
        <v>0</v>
      </c>
      <c r="I12" s="20">
        <v>30</v>
      </c>
      <c r="J12" s="20">
        <v>0</v>
      </c>
      <c r="K12" s="19">
        <v>0</v>
      </c>
      <c r="L12" s="19">
        <f t="shared" si="0"/>
        <v>30</v>
      </c>
      <c r="M12" s="28"/>
    </row>
    <row r="13" spans="1:13" ht="19.5" customHeight="1">
      <c r="A13" s="25">
        <v>45725</v>
      </c>
      <c r="B13" s="90"/>
      <c r="C13" s="90"/>
      <c r="D13" s="15">
        <v>213.8</v>
      </c>
      <c r="E13" s="18">
        <v>211.3</v>
      </c>
      <c r="F13" s="17">
        <v>687.79700000000003</v>
      </c>
      <c r="G13" s="8">
        <v>6</v>
      </c>
      <c r="H13" s="19">
        <v>0</v>
      </c>
      <c r="I13" s="20">
        <v>30</v>
      </c>
      <c r="J13" s="20">
        <v>0</v>
      </c>
      <c r="K13" s="19">
        <v>0</v>
      </c>
      <c r="L13" s="19">
        <f t="shared" si="0"/>
        <v>30</v>
      </c>
      <c r="M13" s="28"/>
    </row>
    <row r="14" spans="1:13" ht="19.5" customHeight="1">
      <c r="A14" s="25">
        <v>45726</v>
      </c>
      <c r="B14" s="90"/>
      <c r="C14" s="90"/>
      <c r="D14" s="15">
        <v>213.8</v>
      </c>
      <c r="E14" s="17">
        <v>211.3</v>
      </c>
      <c r="F14" s="10">
        <v>687.79700000000003</v>
      </c>
      <c r="G14" s="8">
        <v>30</v>
      </c>
      <c r="H14" s="19">
        <v>0</v>
      </c>
      <c r="I14" s="20">
        <v>30</v>
      </c>
      <c r="J14" s="20">
        <v>0</v>
      </c>
      <c r="K14" s="19">
        <v>0</v>
      </c>
      <c r="L14" s="19">
        <f t="shared" si="0"/>
        <v>30</v>
      </c>
      <c r="M14" s="28"/>
    </row>
    <row r="15" spans="1:13" ht="19.5" customHeight="1">
      <c r="A15" s="25">
        <v>45727</v>
      </c>
      <c r="B15" s="90"/>
      <c r="C15" s="90"/>
      <c r="D15" s="15">
        <v>213.8</v>
      </c>
      <c r="E15" s="17">
        <v>211.25</v>
      </c>
      <c r="F15" s="10">
        <v>682.56899999999996</v>
      </c>
      <c r="G15" s="8">
        <v>0</v>
      </c>
      <c r="H15" s="19">
        <v>0</v>
      </c>
      <c r="I15" s="20">
        <v>30</v>
      </c>
      <c r="J15" s="20">
        <v>30</v>
      </c>
      <c r="K15" s="19">
        <v>0</v>
      </c>
      <c r="L15" s="19">
        <f t="shared" si="0"/>
        <v>60</v>
      </c>
      <c r="M15" s="28"/>
    </row>
    <row r="16" spans="1:13" ht="19.5" customHeight="1">
      <c r="A16" s="25">
        <v>45728</v>
      </c>
      <c r="B16" s="90"/>
      <c r="C16" s="90"/>
      <c r="D16" s="15">
        <v>213.8</v>
      </c>
      <c r="E16" s="17">
        <v>211.21</v>
      </c>
      <c r="F16" s="10">
        <v>678.38699999999994</v>
      </c>
      <c r="G16" s="8">
        <v>12</v>
      </c>
      <c r="H16" s="19">
        <v>0</v>
      </c>
      <c r="I16" s="20">
        <v>30</v>
      </c>
      <c r="J16" s="20">
        <v>30</v>
      </c>
      <c r="K16" s="19">
        <v>0</v>
      </c>
      <c r="L16" s="19">
        <f t="shared" si="0"/>
        <v>60</v>
      </c>
      <c r="M16" s="28"/>
    </row>
    <row r="17" spans="1:14" ht="19.5" customHeight="1">
      <c r="A17" s="25">
        <v>45729</v>
      </c>
      <c r="B17" s="90"/>
      <c r="C17" s="90"/>
      <c r="D17" s="15">
        <v>213.8</v>
      </c>
      <c r="E17" s="17">
        <v>211.16</v>
      </c>
      <c r="F17" s="10">
        <v>673.15899999999999</v>
      </c>
      <c r="G17" s="8">
        <v>0</v>
      </c>
      <c r="H17" s="19">
        <v>0</v>
      </c>
      <c r="I17" s="20">
        <v>30</v>
      </c>
      <c r="J17" s="20">
        <v>30</v>
      </c>
      <c r="K17" s="19">
        <v>0</v>
      </c>
      <c r="L17" s="19">
        <f t="shared" si="0"/>
        <v>60</v>
      </c>
      <c r="M17" s="28"/>
    </row>
    <row r="18" spans="1:14" ht="19.5" customHeight="1">
      <c r="A18" s="25">
        <v>45730</v>
      </c>
      <c r="B18" s="90"/>
      <c r="C18" s="90"/>
      <c r="D18" s="15">
        <v>213.8</v>
      </c>
      <c r="E18" s="17">
        <v>211.12</v>
      </c>
      <c r="F18" s="10">
        <v>668.97699999999998</v>
      </c>
      <c r="G18" s="8">
        <v>12</v>
      </c>
      <c r="H18" s="19">
        <v>0</v>
      </c>
      <c r="I18" s="20">
        <v>30</v>
      </c>
      <c r="J18" s="20">
        <v>30</v>
      </c>
      <c r="K18" s="19">
        <v>0</v>
      </c>
      <c r="L18" s="19">
        <f t="shared" si="0"/>
        <v>60</v>
      </c>
      <c r="M18" s="28"/>
    </row>
    <row r="19" spans="1:14" ht="19.5" customHeight="1">
      <c r="A19" s="25">
        <v>45731</v>
      </c>
      <c r="B19" s="90"/>
      <c r="C19" s="90"/>
      <c r="D19" s="15">
        <v>213.8</v>
      </c>
      <c r="E19" s="17">
        <v>211.1</v>
      </c>
      <c r="F19" s="10">
        <v>666.88599999999997</v>
      </c>
      <c r="G19" s="8">
        <v>5</v>
      </c>
      <c r="H19" s="19">
        <v>0</v>
      </c>
      <c r="I19" s="20">
        <v>30</v>
      </c>
      <c r="J19" s="20">
        <v>0</v>
      </c>
      <c r="K19" s="19">
        <v>0</v>
      </c>
      <c r="L19" s="19">
        <f t="shared" si="0"/>
        <v>30</v>
      </c>
      <c r="M19" s="28"/>
    </row>
    <row r="20" spans="1:14" ht="19.5" customHeight="1">
      <c r="A20" s="25">
        <v>45732</v>
      </c>
      <c r="B20" s="90"/>
      <c r="C20" s="90"/>
      <c r="D20" s="15">
        <v>213.8</v>
      </c>
      <c r="E20" s="17">
        <v>211.07</v>
      </c>
      <c r="F20" s="10">
        <v>663.79399999999998</v>
      </c>
      <c r="G20" s="8">
        <v>0</v>
      </c>
      <c r="H20" s="19">
        <v>0</v>
      </c>
      <c r="I20" s="20">
        <v>30</v>
      </c>
      <c r="J20" s="20">
        <v>0</v>
      </c>
      <c r="K20" s="19">
        <v>0</v>
      </c>
      <c r="L20" s="19">
        <f t="shared" si="0"/>
        <v>30</v>
      </c>
      <c r="M20" s="28"/>
    </row>
    <row r="21" spans="1:14" ht="19.5" customHeight="1">
      <c r="A21" s="25">
        <v>45733</v>
      </c>
      <c r="B21" s="90"/>
      <c r="C21" s="90"/>
      <c r="D21" s="15">
        <v>213.8</v>
      </c>
      <c r="E21" s="17">
        <v>211.07</v>
      </c>
      <c r="F21" s="10">
        <v>663.79399999999998</v>
      </c>
      <c r="G21" s="8">
        <v>30</v>
      </c>
      <c r="H21" s="19">
        <v>0</v>
      </c>
      <c r="I21" s="20">
        <v>30</v>
      </c>
      <c r="J21" s="20">
        <v>0</v>
      </c>
      <c r="K21" s="19">
        <v>0</v>
      </c>
      <c r="L21" s="19">
        <f t="shared" si="0"/>
        <v>30</v>
      </c>
      <c r="M21" s="28"/>
    </row>
    <row r="22" spans="1:14" ht="19.5" customHeight="1">
      <c r="A22" s="25">
        <v>45734</v>
      </c>
      <c r="B22" s="90"/>
      <c r="C22" s="90"/>
      <c r="D22" s="15">
        <v>213.8</v>
      </c>
      <c r="E22" s="17">
        <v>211.05</v>
      </c>
      <c r="F22" s="10">
        <v>661.65800000000002</v>
      </c>
      <c r="G22" s="8">
        <v>5</v>
      </c>
      <c r="H22" s="19">
        <v>0</v>
      </c>
      <c r="I22" s="20">
        <v>30</v>
      </c>
      <c r="J22" s="20">
        <v>0</v>
      </c>
      <c r="K22" s="19">
        <v>0</v>
      </c>
      <c r="L22" s="19">
        <f t="shared" si="0"/>
        <v>30</v>
      </c>
      <c r="M22" s="28"/>
    </row>
    <row r="23" spans="1:14" ht="19.5" customHeight="1">
      <c r="A23" s="25">
        <v>45735</v>
      </c>
      <c r="B23" s="90"/>
      <c r="C23" s="90"/>
      <c r="D23" s="15">
        <v>213.8</v>
      </c>
      <c r="E23" s="17">
        <v>211.02</v>
      </c>
      <c r="F23" s="10">
        <v>658.52099999999996</v>
      </c>
      <c r="G23" s="8">
        <v>0</v>
      </c>
      <c r="H23" s="19">
        <v>0</v>
      </c>
      <c r="I23" s="20">
        <v>30</v>
      </c>
      <c r="J23" s="20">
        <v>0</v>
      </c>
      <c r="K23" s="19">
        <v>0</v>
      </c>
      <c r="L23" s="19">
        <f t="shared" si="0"/>
        <v>30</v>
      </c>
      <c r="M23" s="28"/>
    </row>
    <row r="24" spans="1:14" ht="19.5" customHeight="1">
      <c r="A24" s="25">
        <v>45736</v>
      </c>
      <c r="B24" s="90"/>
      <c r="C24" s="90"/>
      <c r="D24" s="15">
        <v>213.8</v>
      </c>
      <c r="E24" s="17">
        <v>211.02</v>
      </c>
      <c r="F24" s="10">
        <v>658.52099999999996</v>
      </c>
      <c r="G24" s="8">
        <v>30</v>
      </c>
      <c r="H24" s="19">
        <v>0</v>
      </c>
      <c r="I24" s="20">
        <v>30</v>
      </c>
      <c r="J24" s="20">
        <v>0</v>
      </c>
      <c r="K24" s="19">
        <v>0</v>
      </c>
      <c r="L24" s="19">
        <f t="shared" si="0"/>
        <v>30</v>
      </c>
      <c r="M24" s="28"/>
    </row>
    <row r="25" spans="1:14" ht="19.5" customHeight="1">
      <c r="A25" s="25">
        <v>45737</v>
      </c>
      <c r="B25" s="90"/>
      <c r="C25" s="90"/>
      <c r="D25" s="15">
        <v>213.8</v>
      </c>
      <c r="E25" s="17">
        <v>210.98</v>
      </c>
      <c r="F25" s="10">
        <v>654.53899999999999</v>
      </c>
      <c r="G25" s="8">
        <v>0</v>
      </c>
      <c r="H25" s="19">
        <v>0</v>
      </c>
      <c r="I25" s="20">
        <v>30</v>
      </c>
      <c r="J25" s="20">
        <v>0</v>
      </c>
      <c r="K25" s="19">
        <v>0</v>
      </c>
      <c r="L25" s="19">
        <f t="shared" si="0"/>
        <v>30</v>
      </c>
      <c r="M25" s="28"/>
    </row>
    <row r="26" spans="1:14" ht="19.5" customHeight="1">
      <c r="A26" s="25">
        <v>45738</v>
      </c>
      <c r="B26" s="90"/>
      <c r="C26" s="90"/>
      <c r="D26" s="15">
        <v>213.8</v>
      </c>
      <c r="E26" s="17">
        <v>210.94</v>
      </c>
      <c r="F26" s="10">
        <v>650.75699999999995</v>
      </c>
      <c r="G26" s="8">
        <v>2</v>
      </c>
      <c r="H26" s="19">
        <v>0</v>
      </c>
      <c r="I26" s="20">
        <v>45</v>
      </c>
      <c r="J26" s="20">
        <v>0</v>
      </c>
      <c r="K26" s="19">
        <v>0</v>
      </c>
      <c r="L26" s="19">
        <f t="shared" si="0"/>
        <v>45</v>
      </c>
      <c r="M26" s="28"/>
      <c r="N26" s="11"/>
    </row>
    <row r="27" spans="1:14" ht="19.5" customHeight="1">
      <c r="A27" s="25">
        <v>45739</v>
      </c>
      <c r="B27" s="90"/>
      <c r="C27" s="90"/>
      <c r="D27" s="15">
        <v>213.8</v>
      </c>
      <c r="E27" s="17">
        <v>210.91</v>
      </c>
      <c r="F27" s="10">
        <v>647.91999999999996</v>
      </c>
      <c r="G27" s="8">
        <v>12</v>
      </c>
      <c r="H27" s="19">
        <v>0</v>
      </c>
      <c r="I27" s="20">
        <v>45</v>
      </c>
      <c r="J27" s="20">
        <v>0</v>
      </c>
      <c r="K27" s="19">
        <v>0</v>
      </c>
      <c r="L27" s="19">
        <f t="shared" si="0"/>
        <v>45</v>
      </c>
      <c r="M27" s="28"/>
    </row>
    <row r="28" spans="1:14" ht="19.5" customHeight="1">
      <c r="A28" s="25">
        <v>45740</v>
      </c>
      <c r="B28" s="90"/>
      <c r="C28" s="90"/>
      <c r="D28" s="15">
        <v>213.8</v>
      </c>
      <c r="E28" s="17">
        <v>210.91</v>
      </c>
      <c r="F28" s="10">
        <v>647.91999999999996</v>
      </c>
      <c r="G28" s="8">
        <v>45</v>
      </c>
      <c r="H28" s="19">
        <v>0</v>
      </c>
      <c r="I28" s="20">
        <v>45</v>
      </c>
      <c r="J28" s="20">
        <v>0</v>
      </c>
      <c r="K28" s="19">
        <v>0</v>
      </c>
      <c r="L28" s="19">
        <f t="shared" si="0"/>
        <v>45</v>
      </c>
      <c r="M28" s="28"/>
    </row>
    <row r="29" spans="1:14" ht="19.5" customHeight="1">
      <c r="A29" s="25">
        <v>45741</v>
      </c>
      <c r="B29" s="90"/>
      <c r="C29" s="90"/>
      <c r="D29" s="15">
        <v>213.8</v>
      </c>
      <c r="E29" s="17">
        <v>210.87</v>
      </c>
      <c r="F29" s="10">
        <v>643.53800000000001</v>
      </c>
      <c r="G29" s="8">
        <v>0</v>
      </c>
      <c r="H29" s="19">
        <v>0</v>
      </c>
      <c r="I29" s="20">
        <v>45</v>
      </c>
      <c r="J29" s="20">
        <v>0</v>
      </c>
      <c r="K29" s="19">
        <v>0</v>
      </c>
      <c r="L29" s="19">
        <f t="shared" si="0"/>
        <v>45</v>
      </c>
      <c r="M29" s="28"/>
    </row>
    <row r="30" spans="1:14" ht="19.5" customHeight="1">
      <c r="A30" s="25">
        <v>45742</v>
      </c>
      <c r="B30" s="90"/>
      <c r="C30" s="90"/>
      <c r="D30" s="15">
        <v>213.8</v>
      </c>
      <c r="E30" s="17">
        <v>210.87</v>
      </c>
      <c r="F30" s="10">
        <v>643.53800000000001</v>
      </c>
      <c r="G30" s="8">
        <v>45</v>
      </c>
      <c r="H30" s="19">
        <v>0</v>
      </c>
      <c r="I30" s="20">
        <v>45</v>
      </c>
      <c r="J30" s="20">
        <v>0</v>
      </c>
      <c r="K30" s="19">
        <v>0</v>
      </c>
      <c r="L30" s="19">
        <f t="shared" si="0"/>
        <v>45</v>
      </c>
      <c r="M30" s="28"/>
    </row>
    <row r="31" spans="1:14" ht="21" customHeight="1">
      <c r="A31" s="25">
        <v>45743</v>
      </c>
      <c r="B31" s="90"/>
      <c r="C31" s="90"/>
      <c r="D31" s="15">
        <v>213.8</v>
      </c>
      <c r="E31" s="17">
        <v>210.85</v>
      </c>
      <c r="F31" s="10">
        <v>641.24699999999996</v>
      </c>
      <c r="G31" s="8">
        <v>18</v>
      </c>
      <c r="H31" s="19">
        <v>0</v>
      </c>
      <c r="I31" s="20">
        <v>45</v>
      </c>
      <c r="J31" s="20">
        <v>0</v>
      </c>
      <c r="K31" s="19">
        <v>0</v>
      </c>
      <c r="L31" s="19">
        <f t="shared" si="0"/>
        <v>45</v>
      </c>
      <c r="M31" s="28"/>
    </row>
    <row r="32" spans="1:14" ht="21" customHeight="1">
      <c r="A32" s="25">
        <v>45744</v>
      </c>
      <c r="B32" s="90"/>
      <c r="C32" s="90"/>
      <c r="D32" s="15">
        <v>213.8</v>
      </c>
      <c r="E32" s="17">
        <v>210.81</v>
      </c>
      <c r="F32" s="10">
        <v>636.66399999999999</v>
      </c>
      <c r="G32" s="8">
        <v>0</v>
      </c>
      <c r="H32" s="19">
        <v>0</v>
      </c>
      <c r="I32" s="20">
        <v>45</v>
      </c>
      <c r="J32" s="20">
        <v>0</v>
      </c>
      <c r="K32" s="19">
        <v>0</v>
      </c>
      <c r="L32" s="19">
        <f t="shared" si="0"/>
        <v>45</v>
      </c>
      <c r="M32" s="28"/>
    </row>
    <row r="33" spans="1:14" ht="21" customHeight="1">
      <c r="A33" s="25">
        <v>45745</v>
      </c>
      <c r="B33" s="90"/>
      <c r="C33" s="90"/>
      <c r="D33" s="15">
        <v>213.8</v>
      </c>
      <c r="E33" s="17">
        <v>210.8</v>
      </c>
      <c r="F33" s="10">
        <v>635.51900000000001</v>
      </c>
      <c r="G33" s="8">
        <v>31</v>
      </c>
      <c r="H33" s="19">
        <v>0</v>
      </c>
      <c r="I33" s="20">
        <v>45</v>
      </c>
      <c r="J33" s="20">
        <v>0</v>
      </c>
      <c r="K33" s="19">
        <v>0</v>
      </c>
      <c r="L33" s="19">
        <f t="shared" si="0"/>
        <v>45</v>
      </c>
      <c r="M33" s="28"/>
    </row>
    <row r="34" spans="1:14" ht="21" customHeight="1">
      <c r="A34" s="25">
        <v>45746</v>
      </c>
      <c r="B34" s="90"/>
      <c r="C34" s="90"/>
      <c r="D34" s="15">
        <v>213.8</v>
      </c>
      <c r="E34" s="17">
        <v>210.77</v>
      </c>
      <c r="F34" s="10">
        <v>632.91999999999996</v>
      </c>
      <c r="G34" s="8">
        <v>15</v>
      </c>
      <c r="H34" s="19">
        <v>0</v>
      </c>
      <c r="I34" s="20">
        <v>45</v>
      </c>
      <c r="J34" s="20">
        <v>0</v>
      </c>
      <c r="K34" s="19">
        <v>0</v>
      </c>
      <c r="L34" s="19">
        <f t="shared" si="0"/>
        <v>45</v>
      </c>
      <c r="M34" s="28"/>
    </row>
    <row r="35" spans="1:14" ht="21" customHeight="1">
      <c r="A35" s="25">
        <v>45747</v>
      </c>
      <c r="B35" s="115"/>
      <c r="C35" s="115"/>
      <c r="D35" s="16">
        <v>213.8</v>
      </c>
      <c r="E35" s="17">
        <v>210.77</v>
      </c>
      <c r="F35" s="10">
        <v>632.91999999999996</v>
      </c>
      <c r="G35" s="8">
        <v>45</v>
      </c>
      <c r="H35" s="19">
        <v>0</v>
      </c>
      <c r="I35" s="20">
        <v>45</v>
      </c>
      <c r="J35" s="20">
        <v>0</v>
      </c>
      <c r="K35" s="19">
        <v>0</v>
      </c>
      <c r="L35" s="19">
        <f t="shared" si="0"/>
        <v>45</v>
      </c>
      <c r="M35" s="28"/>
    </row>
    <row r="36" spans="1:14" ht="49.5" customHeight="1">
      <c r="A36" s="92" t="s">
        <v>21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12"/>
    </row>
    <row r="37" spans="1:14" ht="47.25" customHeight="1">
      <c r="A37" s="34"/>
      <c r="B37" s="35"/>
      <c r="C37" s="4"/>
      <c r="D37" s="4"/>
      <c r="E37" s="4"/>
      <c r="F37" s="4"/>
      <c r="G37" s="4"/>
      <c r="H37" s="4"/>
      <c r="I37" s="4"/>
      <c r="J37" s="4"/>
      <c r="K37" s="36"/>
      <c r="L37" s="36"/>
      <c r="M37" s="37"/>
    </row>
    <row r="38" spans="1:14" ht="15.75" customHeight="1">
      <c r="A38" s="85" t="s">
        <v>9</v>
      </c>
      <c r="B38" s="86"/>
      <c r="C38" s="86"/>
      <c r="D38" s="86"/>
      <c r="I38" s="85" t="s">
        <v>10</v>
      </c>
      <c r="J38" s="86"/>
      <c r="K38" s="86"/>
      <c r="L38" s="86"/>
      <c r="M38" s="37"/>
    </row>
    <row r="39" spans="1:14" ht="15.75" customHeight="1">
      <c r="A39" s="85" t="s">
        <v>16</v>
      </c>
      <c r="B39" s="86"/>
      <c r="C39" s="86"/>
      <c r="D39" s="86"/>
      <c r="I39" s="85" t="s">
        <v>16</v>
      </c>
      <c r="J39" s="86"/>
      <c r="K39" s="86"/>
      <c r="L39" s="86"/>
      <c r="M39" s="37"/>
    </row>
    <row r="40" spans="1:14" ht="15.75" customHeight="1">
      <c r="A40" s="87" t="s">
        <v>17</v>
      </c>
      <c r="B40" s="86"/>
      <c r="C40" s="86"/>
      <c r="D40" s="86"/>
      <c r="I40" s="87" t="s">
        <v>17</v>
      </c>
      <c r="J40" s="86"/>
      <c r="K40" s="86"/>
      <c r="L40" s="86"/>
      <c r="M40" s="37"/>
    </row>
    <row r="41" spans="1:14" ht="15.75" customHeight="1">
      <c r="M41" s="37"/>
    </row>
    <row r="42" spans="1:14" ht="15.75" customHeight="1">
      <c r="M42" s="37"/>
    </row>
    <row r="43" spans="1:14" ht="15.75" customHeight="1">
      <c r="M43" s="37"/>
    </row>
    <row r="44" spans="1:14" ht="15.75" customHeight="1">
      <c r="M44" s="37"/>
    </row>
    <row r="45" spans="1:14" ht="15.75" customHeight="1">
      <c r="M45" s="37"/>
    </row>
    <row r="46" spans="1:14" ht="15.75" customHeight="1">
      <c r="M46" s="37"/>
    </row>
    <row r="47" spans="1:14" ht="15.75" customHeight="1">
      <c r="M47" s="37"/>
    </row>
    <row r="48" spans="1:14" ht="15.75" customHeight="1">
      <c r="M48" s="37"/>
    </row>
    <row r="49" spans="13:13" ht="15.75" customHeight="1">
      <c r="M49" s="37"/>
    </row>
    <row r="50" spans="13:13" ht="15.75" customHeight="1">
      <c r="M50" s="37"/>
    </row>
    <row r="51" spans="13:13" ht="15.75" customHeight="1">
      <c r="M51" s="37"/>
    </row>
    <row r="52" spans="13:13" ht="15.75" customHeight="1">
      <c r="M52" s="37"/>
    </row>
    <row r="53" spans="13:13" ht="15.75" customHeight="1">
      <c r="M53" s="37"/>
    </row>
    <row r="54" spans="13:13" ht="15.75" customHeight="1">
      <c r="M54" s="37"/>
    </row>
    <row r="55" spans="13:13" ht="15.75" customHeight="1">
      <c r="M55" s="37"/>
    </row>
    <row r="56" spans="13:13" ht="15.75" customHeight="1">
      <c r="M56" s="37"/>
    </row>
    <row r="57" spans="13:13" ht="15.75" customHeight="1">
      <c r="M57" s="37"/>
    </row>
    <row r="58" spans="13:13" ht="15.75" customHeight="1">
      <c r="M58" s="37"/>
    </row>
    <row r="59" spans="13:13" ht="15.75" customHeight="1">
      <c r="M59" s="37"/>
    </row>
    <row r="60" spans="13:13" ht="15.75" customHeight="1">
      <c r="M60" s="37"/>
    </row>
    <row r="61" spans="13:13" ht="15.75" customHeight="1">
      <c r="M61" s="37"/>
    </row>
    <row r="62" spans="13:13" ht="15.75" customHeight="1">
      <c r="M62" s="37"/>
    </row>
    <row r="63" spans="13:13" ht="15.75" customHeight="1">
      <c r="M63" s="37"/>
    </row>
    <row r="64" spans="13:13" ht="15.75" customHeight="1">
      <c r="M64" s="37"/>
    </row>
    <row r="65" spans="13:13" ht="15.75" customHeight="1">
      <c r="M65" s="37"/>
    </row>
    <row r="66" spans="13:13" ht="15.75" customHeight="1">
      <c r="M66" s="37"/>
    </row>
    <row r="67" spans="13:13" ht="15.75" customHeight="1">
      <c r="M67" s="37"/>
    </row>
    <row r="68" spans="13:13" ht="15.75" customHeight="1">
      <c r="M68" s="37"/>
    </row>
    <row r="69" spans="13:13" ht="15.75" customHeight="1">
      <c r="M69" s="37"/>
    </row>
    <row r="70" spans="13:13" ht="15.75" customHeight="1">
      <c r="M70" s="37"/>
    </row>
    <row r="71" spans="13:13" ht="15.75" customHeight="1">
      <c r="M71" s="37"/>
    </row>
    <row r="72" spans="13:13" ht="15.75" customHeight="1">
      <c r="M72" s="37"/>
    </row>
    <row r="73" spans="13:13" ht="15.75" customHeight="1">
      <c r="M73" s="37"/>
    </row>
    <row r="74" spans="13:13" ht="15.75" customHeight="1">
      <c r="M74" s="37"/>
    </row>
    <row r="75" spans="13:13" ht="15.75" customHeight="1">
      <c r="M75" s="37"/>
    </row>
    <row r="76" spans="13:13" ht="15.75" customHeight="1">
      <c r="M76" s="37"/>
    </row>
    <row r="77" spans="13:13" ht="15.75" customHeight="1">
      <c r="M77" s="37"/>
    </row>
    <row r="78" spans="13:13" ht="15.75" customHeight="1">
      <c r="M78" s="37"/>
    </row>
    <row r="79" spans="13:13" ht="15.75" customHeight="1">
      <c r="M79" s="37"/>
    </row>
    <row r="80" spans="13:13" ht="15.75" customHeight="1">
      <c r="M80" s="37"/>
    </row>
    <row r="81" spans="13:13" ht="15.75" customHeight="1">
      <c r="M81" s="37"/>
    </row>
    <row r="82" spans="13:13" ht="15.75" customHeight="1">
      <c r="M82" s="37"/>
    </row>
    <row r="83" spans="13:13" ht="15.75" customHeight="1">
      <c r="M83" s="37"/>
    </row>
    <row r="84" spans="13:13" ht="15.75" customHeight="1">
      <c r="M84" s="37"/>
    </row>
    <row r="85" spans="13:13" ht="15.75" customHeight="1">
      <c r="M85" s="37"/>
    </row>
    <row r="86" spans="13:13" ht="15.75" customHeight="1">
      <c r="M86" s="37"/>
    </row>
    <row r="87" spans="13:13" ht="15.75" customHeight="1">
      <c r="M87" s="37"/>
    </row>
    <row r="88" spans="13:13" ht="15.75" customHeight="1">
      <c r="M88" s="37"/>
    </row>
    <row r="89" spans="13:13" ht="15.75" customHeight="1">
      <c r="M89" s="37"/>
    </row>
    <row r="90" spans="13:13" ht="15.75" customHeight="1">
      <c r="M90" s="37"/>
    </row>
    <row r="91" spans="13:13" ht="15.75" customHeight="1">
      <c r="M91" s="37"/>
    </row>
    <row r="92" spans="13:13" ht="15.75" customHeight="1">
      <c r="M92" s="37"/>
    </row>
    <row r="93" spans="13:13" ht="15.75" customHeight="1">
      <c r="M93" s="37"/>
    </row>
    <row r="94" spans="13:13" ht="15.75" customHeight="1">
      <c r="M94" s="37"/>
    </row>
    <row r="95" spans="13:13" ht="15.75" customHeight="1">
      <c r="M95" s="37"/>
    </row>
    <row r="96" spans="13:13" ht="15.75" customHeight="1">
      <c r="M96" s="37"/>
    </row>
    <row r="97" spans="13:13" ht="15.75" customHeight="1">
      <c r="M97" s="37"/>
    </row>
    <row r="98" spans="13:13" ht="15.75" customHeight="1">
      <c r="M98" s="37"/>
    </row>
    <row r="99" spans="13:13" ht="15.75" customHeight="1">
      <c r="M99" s="37"/>
    </row>
    <row r="100" spans="13:13" ht="15.75" customHeight="1">
      <c r="M100" s="37"/>
    </row>
    <row r="101" spans="13:13" ht="15.75" customHeight="1">
      <c r="M101" s="37"/>
    </row>
    <row r="102" spans="13:13" ht="15.75" customHeight="1">
      <c r="M102" s="37"/>
    </row>
  </sheetData>
  <mergeCells count="20">
    <mergeCell ref="A39:D39"/>
    <mergeCell ref="I39:L39"/>
    <mergeCell ref="A40:D40"/>
    <mergeCell ref="I40:L40"/>
    <mergeCell ref="M3:M4"/>
    <mergeCell ref="B5:B35"/>
    <mergeCell ref="C5:C35"/>
    <mergeCell ref="A36:M36"/>
    <mergeCell ref="A38:D38"/>
    <mergeCell ref="I38:L38"/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</mergeCells>
  <pageMargins left="0.7" right="0.7" top="0.75" bottom="0.75" header="0" footer="0"/>
  <pageSetup paperSize="9" scale="7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9"/>
  <sheetViews>
    <sheetView view="pageBreakPreview" topLeftCell="A24" zoomScale="60" workbookViewId="0">
      <selection activeCell="Q8" sqref="Q8"/>
    </sheetView>
  </sheetViews>
  <sheetFormatPr defaultColWidth="14.42578125" defaultRowHeight="15" customHeight="1"/>
  <cols>
    <col min="1" max="1" width="12.42578125" style="22" customWidth="1"/>
    <col min="2" max="2" width="6.28515625" style="22" customWidth="1"/>
    <col min="3" max="3" width="5.140625" style="22" customWidth="1"/>
    <col min="4" max="4" width="10" style="22" customWidth="1"/>
    <col min="5" max="6" width="8.7109375" style="22" customWidth="1"/>
    <col min="7" max="7" width="9.85546875" style="22" customWidth="1"/>
    <col min="8" max="8" width="8.7109375" style="22" customWidth="1"/>
    <col min="9" max="9" width="8.42578125" style="22" customWidth="1"/>
    <col min="10" max="10" width="8.7109375" style="22" customWidth="1"/>
    <col min="11" max="11" width="6.42578125" style="22" customWidth="1"/>
    <col min="12" max="12" width="8.5703125" style="22" customWidth="1"/>
    <col min="13" max="13" width="8.85546875" style="22" customWidth="1"/>
    <col min="14" max="16384" width="14.42578125" style="22"/>
  </cols>
  <sheetData>
    <row r="1" spans="1:13" ht="14.25" customHeight="1">
      <c r="A1" s="93" t="s">
        <v>22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5.75" customHeigh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ht="14.25" customHeight="1">
      <c r="A3" s="99" t="s">
        <v>0</v>
      </c>
      <c r="B3" s="100" t="s">
        <v>1</v>
      </c>
      <c r="C3" s="100" t="s">
        <v>2</v>
      </c>
      <c r="D3" s="99" t="s">
        <v>3</v>
      </c>
      <c r="E3" s="99" t="s">
        <v>4</v>
      </c>
      <c r="F3" s="99" t="s">
        <v>19</v>
      </c>
      <c r="G3" s="99" t="s">
        <v>5</v>
      </c>
      <c r="H3" s="101" t="s">
        <v>6</v>
      </c>
      <c r="I3" s="102"/>
      <c r="J3" s="102"/>
      <c r="K3" s="102"/>
      <c r="L3" s="103" t="s">
        <v>7</v>
      </c>
      <c r="M3" s="89" t="s">
        <v>8</v>
      </c>
    </row>
    <row r="4" spans="1:13" ht="51.75" customHeight="1">
      <c r="A4" s="113"/>
      <c r="B4" s="113"/>
      <c r="C4" s="113"/>
      <c r="D4" s="113"/>
      <c r="E4" s="113"/>
      <c r="F4" s="113"/>
      <c r="G4" s="113"/>
      <c r="H4" s="13" t="s">
        <v>15</v>
      </c>
      <c r="I4" s="13" t="s">
        <v>13</v>
      </c>
      <c r="J4" s="13" t="s">
        <v>18</v>
      </c>
      <c r="K4" s="13" t="s">
        <v>14</v>
      </c>
      <c r="L4" s="113"/>
      <c r="M4" s="113"/>
    </row>
    <row r="5" spans="1:13" ht="19.5" customHeight="1">
      <c r="A5" s="25">
        <v>45689</v>
      </c>
      <c r="B5" s="114" t="s">
        <v>11</v>
      </c>
      <c r="C5" s="114" t="s">
        <v>12</v>
      </c>
      <c r="D5" s="15">
        <v>213.8</v>
      </c>
      <c r="E5" s="26">
        <v>212.32</v>
      </c>
      <c r="F5" s="10">
        <v>794.44600000000003</v>
      </c>
      <c r="G5" s="27">
        <v>48</v>
      </c>
      <c r="H5" s="19">
        <v>0</v>
      </c>
      <c r="I5" s="20">
        <v>60</v>
      </c>
      <c r="J5" s="20">
        <v>0</v>
      </c>
      <c r="K5" s="19">
        <v>0</v>
      </c>
      <c r="L5" s="19">
        <f>K5+J5+I5+H5</f>
        <v>60</v>
      </c>
      <c r="M5" s="28"/>
    </row>
    <row r="6" spans="1:13" ht="19.5" customHeight="1">
      <c r="A6" s="25">
        <v>45690</v>
      </c>
      <c r="B6" s="90"/>
      <c r="C6" s="90"/>
      <c r="D6" s="15">
        <v>213.8</v>
      </c>
      <c r="E6" s="17">
        <v>212.3</v>
      </c>
      <c r="F6" s="10">
        <v>792.35400000000004</v>
      </c>
      <c r="G6" s="8">
        <v>36</v>
      </c>
      <c r="H6" s="19">
        <v>0</v>
      </c>
      <c r="I6" s="20">
        <v>60</v>
      </c>
      <c r="J6" s="20">
        <v>0</v>
      </c>
      <c r="K6" s="19">
        <v>0</v>
      </c>
      <c r="L6" s="19">
        <f t="shared" ref="L6:L32" si="0">K6+J6+I6+H6</f>
        <v>60</v>
      </c>
      <c r="M6" s="28"/>
    </row>
    <row r="7" spans="1:13" ht="19.5" customHeight="1">
      <c r="A7" s="25">
        <v>45691</v>
      </c>
      <c r="B7" s="90"/>
      <c r="C7" s="90"/>
      <c r="D7" s="15">
        <v>213.8</v>
      </c>
      <c r="E7" s="17">
        <v>212.3</v>
      </c>
      <c r="F7" s="10">
        <v>792.35400000000004</v>
      </c>
      <c r="G7" s="8">
        <v>60</v>
      </c>
      <c r="H7" s="19">
        <v>0</v>
      </c>
      <c r="I7" s="20">
        <v>60</v>
      </c>
      <c r="J7" s="20">
        <v>0</v>
      </c>
      <c r="K7" s="19">
        <v>0</v>
      </c>
      <c r="L7" s="19">
        <f t="shared" si="0"/>
        <v>60</v>
      </c>
      <c r="M7" s="28"/>
    </row>
    <row r="8" spans="1:13" ht="19.5" customHeight="1">
      <c r="A8" s="25">
        <v>45692</v>
      </c>
      <c r="B8" s="90"/>
      <c r="C8" s="90"/>
      <c r="D8" s="15">
        <v>213.8</v>
      </c>
      <c r="E8" s="17">
        <v>212.26</v>
      </c>
      <c r="F8" s="10">
        <v>788.17200000000003</v>
      </c>
      <c r="G8" s="8">
        <v>13</v>
      </c>
      <c r="H8" s="19">
        <v>0</v>
      </c>
      <c r="I8" s="20">
        <v>60</v>
      </c>
      <c r="J8" s="20">
        <v>0</v>
      </c>
      <c r="K8" s="19">
        <v>0</v>
      </c>
      <c r="L8" s="19">
        <f t="shared" si="0"/>
        <v>60</v>
      </c>
      <c r="M8" s="28"/>
    </row>
    <row r="9" spans="1:13" ht="19.5" customHeight="1">
      <c r="A9" s="25">
        <v>45693</v>
      </c>
      <c r="B9" s="90"/>
      <c r="C9" s="90"/>
      <c r="D9" s="15">
        <v>213.8</v>
      </c>
      <c r="E9" s="17">
        <v>212.25</v>
      </c>
      <c r="F9" s="10">
        <v>787.12599999999998</v>
      </c>
      <c r="G9" s="8">
        <v>48</v>
      </c>
      <c r="H9" s="19">
        <v>0</v>
      </c>
      <c r="I9" s="20">
        <v>60</v>
      </c>
      <c r="J9" s="20">
        <v>0</v>
      </c>
      <c r="K9" s="19">
        <v>0</v>
      </c>
      <c r="L9" s="19">
        <f t="shared" si="0"/>
        <v>60</v>
      </c>
      <c r="M9" s="28"/>
    </row>
    <row r="10" spans="1:13" ht="19.5" customHeight="1">
      <c r="A10" s="25">
        <v>45694</v>
      </c>
      <c r="B10" s="90"/>
      <c r="C10" s="90"/>
      <c r="D10" s="15">
        <v>213.8</v>
      </c>
      <c r="E10" s="17">
        <v>212.21</v>
      </c>
      <c r="F10" s="10">
        <v>782.94399999999996</v>
      </c>
      <c r="G10" s="8">
        <v>12</v>
      </c>
      <c r="H10" s="19">
        <v>0</v>
      </c>
      <c r="I10" s="20">
        <v>60</v>
      </c>
      <c r="J10" s="20">
        <v>0</v>
      </c>
      <c r="K10" s="19">
        <v>0</v>
      </c>
      <c r="L10" s="19">
        <f t="shared" si="0"/>
        <v>60</v>
      </c>
      <c r="M10" s="28"/>
    </row>
    <row r="11" spans="1:13" ht="19.5" customHeight="1">
      <c r="A11" s="25">
        <v>45695</v>
      </c>
      <c r="B11" s="90"/>
      <c r="C11" s="90"/>
      <c r="D11" s="15">
        <v>213.8</v>
      </c>
      <c r="E11" s="17">
        <v>212.19</v>
      </c>
      <c r="F11" s="10">
        <v>780.85299999999995</v>
      </c>
      <c r="G11" s="8">
        <v>36</v>
      </c>
      <c r="H11" s="19">
        <v>0</v>
      </c>
      <c r="I11" s="20">
        <v>60</v>
      </c>
      <c r="J11" s="20">
        <v>0</v>
      </c>
      <c r="K11" s="19">
        <v>0</v>
      </c>
      <c r="L11" s="19">
        <f t="shared" si="0"/>
        <v>60</v>
      </c>
      <c r="M11" s="28"/>
    </row>
    <row r="12" spans="1:13" ht="19.5" customHeight="1">
      <c r="A12" s="25">
        <v>45696</v>
      </c>
      <c r="B12" s="90"/>
      <c r="C12" s="90"/>
      <c r="D12" s="15">
        <v>213.8</v>
      </c>
      <c r="E12" s="17">
        <v>212.13</v>
      </c>
      <c r="F12" s="10">
        <v>774.58</v>
      </c>
      <c r="G12" s="8">
        <v>7</v>
      </c>
      <c r="H12" s="19">
        <v>0</v>
      </c>
      <c r="I12" s="20">
        <v>30</v>
      </c>
      <c r="J12" s="20">
        <v>50</v>
      </c>
      <c r="K12" s="19">
        <v>0</v>
      </c>
      <c r="L12" s="19">
        <f t="shared" si="0"/>
        <v>80</v>
      </c>
      <c r="M12" s="28"/>
    </row>
    <row r="13" spans="1:13" ht="19.5" customHeight="1">
      <c r="A13" s="25">
        <v>45697</v>
      </c>
      <c r="B13" s="90"/>
      <c r="C13" s="90"/>
      <c r="D13" s="15">
        <v>213.8</v>
      </c>
      <c r="E13" s="18">
        <v>212.07</v>
      </c>
      <c r="F13" s="17">
        <v>768.30600000000004</v>
      </c>
      <c r="G13" s="8">
        <v>7</v>
      </c>
      <c r="H13" s="19">
        <v>0</v>
      </c>
      <c r="I13" s="20">
        <v>30</v>
      </c>
      <c r="J13" s="20">
        <v>50</v>
      </c>
      <c r="K13" s="19">
        <v>0</v>
      </c>
      <c r="L13" s="19">
        <f t="shared" si="0"/>
        <v>80</v>
      </c>
      <c r="M13" s="28"/>
    </row>
    <row r="14" spans="1:13" ht="19.5" customHeight="1">
      <c r="A14" s="25">
        <v>45698</v>
      </c>
      <c r="B14" s="90"/>
      <c r="C14" s="90"/>
      <c r="D14" s="15">
        <v>213.8</v>
      </c>
      <c r="E14" s="17">
        <v>212.02</v>
      </c>
      <c r="F14" s="10">
        <v>763.07799999999997</v>
      </c>
      <c r="G14" s="8">
        <v>19</v>
      </c>
      <c r="H14" s="19">
        <v>0</v>
      </c>
      <c r="I14" s="20">
        <v>30</v>
      </c>
      <c r="J14" s="20">
        <v>50</v>
      </c>
      <c r="K14" s="19">
        <v>0</v>
      </c>
      <c r="L14" s="19">
        <f t="shared" si="0"/>
        <v>80</v>
      </c>
      <c r="M14" s="28"/>
    </row>
    <row r="15" spans="1:13" ht="19.5" customHeight="1">
      <c r="A15" s="25">
        <v>45699</v>
      </c>
      <c r="B15" s="90"/>
      <c r="C15" s="90"/>
      <c r="D15" s="15">
        <v>213.8</v>
      </c>
      <c r="E15" s="17">
        <v>211.98</v>
      </c>
      <c r="F15" s="10">
        <v>758.89599999999996</v>
      </c>
      <c r="G15" s="8">
        <v>32</v>
      </c>
      <c r="H15" s="19">
        <v>0</v>
      </c>
      <c r="I15" s="20">
        <v>30</v>
      </c>
      <c r="J15" s="20">
        <v>50</v>
      </c>
      <c r="K15" s="19">
        <v>0</v>
      </c>
      <c r="L15" s="19">
        <f t="shared" si="0"/>
        <v>80</v>
      </c>
      <c r="M15" s="28"/>
    </row>
    <row r="16" spans="1:13" ht="19.5" customHeight="1">
      <c r="A16" s="25">
        <v>45700</v>
      </c>
      <c r="B16" s="90"/>
      <c r="C16" s="90"/>
      <c r="D16" s="15">
        <v>213.8</v>
      </c>
      <c r="E16" s="17">
        <v>211.93</v>
      </c>
      <c r="F16" s="10">
        <v>753.66800000000001</v>
      </c>
      <c r="G16" s="8">
        <v>19</v>
      </c>
      <c r="H16" s="19">
        <v>0</v>
      </c>
      <c r="I16" s="20">
        <v>30</v>
      </c>
      <c r="J16" s="20">
        <v>50</v>
      </c>
      <c r="K16" s="19">
        <v>0</v>
      </c>
      <c r="L16" s="19">
        <f t="shared" si="0"/>
        <v>80</v>
      </c>
      <c r="M16" s="28"/>
    </row>
    <row r="17" spans="1:14" ht="19.5" customHeight="1">
      <c r="A17" s="25">
        <v>45701</v>
      </c>
      <c r="B17" s="90"/>
      <c r="C17" s="90"/>
      <c r="D17" s="15">
        <v>213.8</v>
      </c>
      <c r="E17" s="17">
        <v>211.92</v>
      </c>
      <c r="F17" s="10">
        <v>752.62300000000005</v>
      </c>
      <c r="G17" s="8">
        <v>17</v>
      </c>
      <c r="H17" s="19">
        <v>0</v>
      </c>
      <c r="I17" s="20">
        <v>30</v>
      </c>
      <c r="J17" s="20">
        <v>0</v>
      </c>
      <c r="K17" s="19">
        <v>0</v>
      </c>
      <c r="L17" s="19">
        <f t="shared" si="0"/>
        <v>30</v>
      </c>
      <c r="M17" s="28"/>
    </row>
    <row r="18" spans="1:14" ht="19.5" customHeight="1">
      <c r="A18" s="25">
        <v>45702</v>
      </c>
      <c r="B18" s="90"/>
      <c r="C18" s="90"/>
      <c r="D18" s="15">
        <v>213.8</v>
      </c>
      <c r="E18" s="17">
        <v>211.92</v>
      </c>
      <c r="F18" s="10">
        <v>752.62300000000005</v>
      </c>
      <c r="G18" s="8">
        <v>30</v>
      </c>
      <c r="H18" s="19">
        <v>0</v>
      </c>
      <c r="I18" s="20">
        <v>30</v>
      </c>
      <c r="J18" s="20">
        <v>0</v>
      </c>
      <c r="K18" s="19">
        <v>0</v>
      </c>
      <c r="L18" s="19">
        <f t="shared" si="0"/>
        <v>30</v>
      </c>
      <c r="M18" s="28"/>
    </row>
    <row r="19" spans="1:14" ht="19.5" customHeight="1">
      <c r="A19" s="25">
        <v>45703</v>
      </c>
      <c r="B19" s="90"/>
      <c r="C19" s="90"/>
      <c r="D19" s="15">
        <v>213.8</v>
      </c>
      <c r="E19" s="17">
        <v>211.92</v>
      </c>
      <c r="F19" s="10">
        <v>752.62300000000005</v>
      </c>
      <c r="G19" s="8">
        <v>30</v>
      </c>
      <c r="H19" s="19">
        <v>0</v>
      </c>
      <c r="I19" s="20">
        <v>30</v>
      </c>
      <c r="J19" s="20">
        <v>0</v>
      </c>
      <c r="K19" s="19">
        <v>0</v>
      </c>
      <c r="L19" s="19">
        <f t="shared" si="0"/>
        <v>30</v>
      </c>
      <c r="M19" s="28"/>
    </row>
    <row r="20" spans="1:14" ht="19.5" customHeight="1">
      <c r="A20" s="25">
        <v>45704</v>
      </c>
      <c r="B20" s="90"/>
      <c r="C20" s="90"/>
      <c r="D20" s="15">
        <v>213.8</v>
      </c>
      <c r="E20" s="17">
        <v>211.9</v>
      </c>
      <c r="F20" s="10">
        <v>750.53200000000004</v>
      </c>
      <c r="G20" s="8">
        <v>5</v>
      </c>
      <c r="H20" s="19">
        <v>0</v>
      </c>
      <c r="I20" s="20">
        <v>30</v>
      </c>
      <c r="J20" s="20">
        <v>0</v>
      </c>
      <c r="K20" s="19">
        <v>0</v>
      </c>
      <c r="L20" s="19">
        <f t="shared" si="0"/>
        <v>30</v>
      </c>
      <c r="M20" s="28"/>
    </row>
    <row r="21" spans="1:14" ht="19.5" customHeight="1">
      <c r="A21" s="25">
        <v>45705</v>
      </c>
      <c r="B21" s="90"/>
      <c r="C21" s="90"/>
      <c r="D21" s="15">
        <v>213.8</v>
      </c>
      <c r="E21" s="17">
        <v>211.87</v>
      </c>
      <c r="F21" s="10">
        <v>747.39499999999998</v>
      </c>
      <c r="G21" s="8">
        <v>0</v>
      </c>
      <c r="H21" s="19">
        <v>0</v>
      </c>
      <c r="I21" s="20">
        <v>30</v>
      </c>
      <c r="J21" s="20">
        <v>0</v>
      </c>
      <c r="K21" s="19">
        <v>0</v>
      </c>
      <c r="L21" s="19">
        <f t="shared" si="0"/>
        <v>30</v>
      </c>
      <c r="M21" s="28"/>
    </row>
    <row r="22" spans="1:14" ht="19.5" customHeight="1">
      <c r="A22" s="25">
        <v>45706</v>
      </c>
      <c r="B22" s="90"/>
      <c r="C22" s="90"/>
      <c r="D22" s="15">
        <v>213.8</v>
      </c>
      <c r="E22" s="17">
        <v>211.83</v>
      </c>
      <c r="F22" s="10">
        <v>743.21299999999997</v>
      </c>
      <c r="G22" s="8">
        <v>7</v>
      </c>
      <c r="H22" s="19">
        <v>0</v>
      </c>
      <c r="I22" s="20">
        <v>30</v>
      </c>
      <c r="J22" s="20">
        <v>0</v>
      </c>
      <c r="K22" s="19">
        <v>0</v>
      </c>
      <c r="L22" s="19">
        <f t="shared" si="0"/>
        <v>30</v>
      </c>
      <c r="M22" s="28"/>
    </row>
    <row r="23" spans="1:14" ht="19.5" customHeight="1">
      <c r="A23" s="25">
        <v>45707</v>
      </c>
      <c r="B23" s="90"/>
      <c r="C23" s="90"/>
      <c r="D23" s="15">
        <v>213.8</v>
      </c>
      <c r="E23" s="17">
        <v>211.8</v>
      </c>
      <c r="F23" s="10">
        <v>740.07600000000002</v>
      </c>
      <c r="G23" s="8">
        <v>18</v>
      </c>
      <c r="H23" s="19">
        <v>0</v>
      </c>
      <c r="I23" s="20">
        <v>30</v>
      </c>
      <c r="J23" s="20">
        <v>25</v>
      </c>
      <c r="K23" s="19">
        <v>0</v>
      </c>
      <c r="L23" s="19">
        <f t="shared" si="0"/>
        <v>55</v>
      </c>
      <c r="M23" s="28"/>
    </row>
    <row r="24" spans="1:14" ht="19.5" customHeight="1">
      <c r="A24" s="25">
        <v>45708</v>
      </c>
      <c r="B24" s="90"/>
      <c r="C24" s="90"/>
      <c r="D24" s="15">
        <v>213.8</v>
      </c>
      <c r="E24" s="17">
        <v>211.76</v>
      </c>
      <c r="F24" s="10">
        <v>735.89400000000001</v>
      </c>
      <c r="G24" s="8">
        <v>7</v>
      </c>
      <c r="H24" s="19">
        <v>0</v>
      </c>
      <c r="I24" s="20">
        <v>30</v>
      </c>
      <c r="J24" s="20">
        <v>25</v>
      </c>
      <c r="K24" s="19">
        <v>0</v>
      </c>
      <c r="L24" s="19">
        <f t="shared" si="0"/>
        <v>55</v>
      </c>
      <c r="M24" s="28"/>
    </row>
    <row r="25" spans="1:14" ht="19.5" customHeight="1">
      <c r="A25" s="25">
        <v>45709</v>
      </c>
      <c r="B25" s="90"/>
      <c r="C25" s="90"/>
      <c r="D25" s="15">
        <v>213.8</v>
      </c>
      <c r="E25" s="17">
        <v>211.73</v>
      </c>
      <c r="F25" s="10">
        <v>732.75699999999995</v>
      </c>
      <c r="G25" s="8">
        <v>18</v>
      </c>
      <c r="H25" s="19">
        <v>0</v>
      </c>
      <c r="I25" s="20">
        <v>30</v>
      </c>
      <c r="J25" s="20">
        <v>25</v>
      </c>
      <c r="K25" s="19">
        <v>0</v>
      </c>
      <c r="L25" s="19">
        <f t="shared" si="0"/>
        <v>55</v>
      </c>
      <c r="M25" s="28"/>
    </row>
    <row r="26" spans="1:14" ht="19.5" customHeight="1">
      <c r="A26" s="25">
        <v>45710</v>
      </c>
      <c r="B26" s="90"/>
      <c r="C26" s="90"/>
      <c r="D26" s="15">
        <v>213.8</v>
      </c>
      <c r="E26" s="17">
        <v>211.7</v>
      </c>
      <c r="F26" s="10">
        <v>729.62</v>
      </c>
      <c r="G26" s="8">
        <v>18</v>
      </c>
      <c r="H26" s="19">
        <v>0</v>
      </c>
      <c r="I26" s="20">
        <v>30</v>
      </c>
      <c r="J26" s="20">
        <v>25</v>
      </c>
      <c r="K26" s="19">
        <v>0</v>
      </c>
      <c r="L26" s="19">
        <f t="shared" si="0"/>
        <v>55</v>
      </c>
      <c r="M26" s="28"/>
      <c r="N26" s="11"/>
    </row>
    <row r="27" spans="1:14" ht="19.5" customHeight="1">
      <c r="A27" s="25">
        <v>45711</v>
      </c>
      <c r="B27" s="90"/>
      <c r="C27" s="90"/>
      <c r="D27" s="15">
        <v>213.8</v>
      </c>
      <c r="E27" s="17">
        <v>211.67</v>
      </c>
      <c r="F27" s="10">
        <v>726.48299999999995</v>
      </c>
      <c r="G27" s="8">
        <v>18</v>
      </c>
      <c r="H27" s="19">
        <v>0</v>
      </c>
      <c r="I27" s="20">
        <v>30</v>
      </c>
      <c r="J27" s="20">
        <v>25</v>
      </c>
      <c r="K27" s="19">
        <v>0</v>
      </c>
      <c r="L27" s="19">
        <f t="shared" si="0"/>
        <v>55</v>
      </c>
      <c r="M27" s="28"/>
    </row>
    <row r="28" spans="1:14" ht="19.5" customHeight="1">
      <c r="A28" s="25">
        <v>45712</v>
      </c>
      <c r="B28" s="90"/>
      <c r="C28" s="90"/>
      <c r="D28" s="15">
        <v>213.8</v>
      </c>
      <c r="E28" s="17">
        <v>211.64</v>
      </c>
      <c r="F28" s="10">
        <v>723.34699999999998</v>
      </c>
      <c r="G28" s="8">
        <v>18</v>
      </c>
      <c r="H28" s="19">
        <v>0</v>
      </c>
      <c r="I28" s="20">
        <v>30</v>
      </c>
      <c r="J28" s="20">
        <v>25</v>
      </c>
      <c r="K28" s="19">
        <v>0</v>
      </c>
      <c r="L28" s="19">
        <f t="shared" si="0"/>
        <v>55</v>
      </c>
      <c r="M28" s="28"/>
    </row>
    <row r="29" spans="1:14" ht="19.5" customHeight="1">
      <c r="A29" s="25">
        <v>45713</v>
      </c>
      <c r="B29" s="90"/>
      <c r="C29" s="90"/>
      <c r="D29" s="15">
        <v>213.8</v>
      </c>
      <c r="E29" s="17">
        <v>211.64</v>
      </c>
      <c r="F29" s="10">
        <v>723.34699999999998</v>
      </c>
      <c r="G29" s="8">
        <v>55</v>
      </c>
      <c r="H29" s="19">
        <v>0</v>
      </c>
      <c r="I29" s="20">
        <v>30</v>
      </c>
      <c r="J29" s="20">
        <v>55</v>
      </c>
      <c r="K29" s="19">
        <v>0</v>
      </c>
      <c r="L29" s="19">
        <f t="shared" si="0"/>
        <v>85</v>
      </c>
      <c r="M29" s="28"/>
    </row>
    <row r="30" spans="1:14" ht="19.5" customHeight="1">
      <c r="A30" s="25">
        <v>45714</v>
      </c>
      <c r="B30" s="90"/>
      <c r="C30" s="90"/>
      <c r="D30" s="15">
        <v>213.8</v>
      </c>
      <c r="E30" s="17">
        <v>211.61</v>
      </c>
      <c r="F30" s="10">
        <v>720.21</v>
      </c>
      <c r="G30" s="8">
        <v>18</v>
      </c>
      <c r="H30" s="19">
        <v>0</v>
      </c>
      <c r="I30" s="20">
        <v>30</v>
      </c>
      <c r="J30" s="20">
        <v>25</v>
      </c>
      <c r="K30" s="19">
        <v>0</v>
      </c>
      <c r="L30" s="19">
        <f t="shared" si="0"/>
        <v>55</v>
      </c>
      <c r="M30" s="28"/>
    </row>
    <row r="31" spans="1:14" ht="21" customHeight="1">
      <c r="A31" s="25">
        <v>45715</v>
      </c>
      <c r="B31" s="90"/>
      <c r="C31" s="90"/>
      <c r="D31" s="15">
        <v>213.8</v>
      </c>
      <c r="E31" s="17">
        <v>211.59</v>
      </c>
      <c r="F31" s="10">
        <v>718.11900000000003</v>
      </c>
      <c r="G31" s="8">
        <v>6</v>
      </c>
      <c r="H31" s="19">
        <v>0</v>
      </c>
      <c r="I31" s="20">
        <v>30</v>
      </c>
      <c r="J31" s="20">
        <v>0</v>
      </c>
      <c r="K31" s="19">
        <v>0</v>
      </c>
      <c r="L31" s="19">
        <f t="shared" si="0"/>
        <v>30</v>
      </c>
      <c r="M31" s="28"/>
    </row>
    <row r="32" spans="1:14" ht="21" customHeight="1">
      <c r="A32" s="29">
        <v>45716</v>
      </c>
      <c r="B32" s="115"/>
      <c r="C32" s="115"/>
      <c r="D32" s="16">
        <v>213.8</v>
      </c>
      <c r="E32" s="17">
        <v>211.58</v>
      </c>
      <c r="F32" s="30">
        <v>717.07299999999998</v>
      </c>
      <c r="G32" s="8">
        <v>18</v>
      </c>
      <c r="H32" s="31">
        <v>0</v>
      </c>
      <c r="I32" s="32">
        <v>30</v>
      </c>
      <c r="J32" s="32">
        <v>0</v>
      </c>
      <c r="K32" s="31">
        <v>0</v>
      </c>
      <c r="L32" s="31">
        <f t="shared" si="0"/>
        <v>30</v>
      </c>
      <c r="M32" s="33"/>
    </row>
    <row r="33" spans="1:14" ht="49.5" customHeight="1">
      <c r="A33" s="92" t="s">
        <v>21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12"/>
    </row>
    <row r="34" spans="1:14" ht="47.25" customHeight="1">
      <c r="A34" s="34"/>
      <c r="B34" s="35"/>
      <c r="C34" s="4"/>
      <c r="D34" s="4"/>
      <c r="E34" s="4"/>
      <c r="F34" s="4"/>
      <c r="G34" s="4"/>
      <c r="H34" s="4"/>
      <c r="I34" s="4"/>
      <c r="J34" s="4"/>
      <c r="K34" s="36"/>
      <c r="L34" s="36"/>
      <c r="M34" s="37"/>
    </row>
    <row r="35" spans="1:14" ht="15.75" customHeight="1">
      <c r="A35" s="85" t="s">
        <v>9</v>
      </c>
      <c r="B35" s="86"/>
      <c r="C35" s="86"/>
      <c r="D35" s="86"/>
      <c r="I35" s="85" t="s">
        <v>10</v>
      </c>
      <c r="J35" s="86"/>
      <c r="K35" s="86"/>
      <c r="L35" s="86"/>
      <c r="M35" s="37"/>
    </row>
    <row r="36" spans="1:14" ht="15.75" customHeight="1">
      <c r="A36" s="85" t="s">
        <v>16</v>
      </c>
      <c r="B36" s="86"/>
      <c r="C36" s="86"/>
      <c r="D36" s="86"/>
      <c r="I36" s="85" t="s">
        <v>16</v>
      </c>
      <c r="J36" s="86"/>
      <c r="K36" s="86"/>
      <c r="L36" s="86"/>
      <c r="M36" s="37"/>
    </row>
    <row r="37" spans="1:14" ht="15.75" customHeight="1">
      <c r="A37" s="87" t="s">
        <v>17</v>
      </c>
      <c r="B37" s="86"/>
      <c r="C37" s="86"/>
      <c r="D37" s="86"/>
      <c r="I37" s="87" t="s">
        <v>17</v>
      </c>
      <c r="J37" s="86"/>
      <c r="K37" s="86"/>
      <c r="L37" s="86"/>
      <c r="M37" s="37"/>
    </row>
    <row r="38" spans="1:14" ht="15.75" customHeight="1">
      <c r="M38" s="37"/>
    </row>
    <row r="39" spans="1:14" ht="15.75" customHeight="1">
      <c r="M39" s="37"/>
    </row>
    <row r="40" spans="1:14" ht="15.75" customHeight="1">
      <c r="M40" s="37"/>
    </row>
    <row r="41" spans="1:14" ht="15.75" customHeight="1">
      <c r="M41" s="37"/>
    </row>
    <row r="42" spans="1:14" ht="15.75" customHeight="1">
      <c r="M42" s="37"/>
    </row>
    <row r="43" spans="1:14" ht="15.75" customHeight="1">
      <c r="M43" s="37"/>
    </row>
    <row r="44" spans="1:14" ht="15.75" customHeight="1">
      <c r="M44" s="37"/>
    </row>
    <row r="45" spans="1:14" ht="15.75" customHeight="1">
      <c r="M45" s="37"/>
    </row>
    <row r="46" spans="1:14" ht="15.75" customHeight="1">
      <c r="M46" s="37"/>
    </row>
    <row r="47" spans="1:14" ht="15.75" customHeight="1">
      <c r="M47" s="37"/>
    </row>
    <row r="48" spans="1:14" ht="15.75" customHeight="1">
      <c r="M48" s="37"/>
    </row>
    <row r="49" spans="13:13" ht="15.75" customHeight="1">
      <c r="M49" s="37"/>
    </row>
    <row r="50" spans="13:13" ht="15.75" customHeight="1">
      <c r="M50" s="37"/>
    </row>
    <row r="51" spans="13:13" ht="15.75" customHeight="1">
      <c r="M51" s="37"/>
    </row>
    <row r="52" spans="13:13" ht="15.75" customHeight="1">
      <c r="M52" s="37"/>
    </row>
    <row r="53" spans="13:13" ht="15.75" customHeight="1">
      <c r="M53" s="37"/>
    </row>
    <row r="54" spans="13:13" ht="15.75" customHeight="1">
      <c r="M54" s="37"/>
    </row>
    <row r="55" spans="13:13" ht="15.75" customHeight="1">
      <c r="M55" s="37"/>
    </row>
    <row r="56" spans="13:13" ht="15.75" customHeight="1">
      <c r="M56" s="37"/>
    </row>
    <row r="57" spans="13:13" ht="15.75" customHeight="1">
      <c r="M57" s="37"/>
    </row>
    <row r="58" spans="13:13" ht="15.75" customHeight="1">
      <c r="M58" s="37"/>
    </row>
    <row r="59" spans="13:13" ht="15.75" customHeight="1">
      <c r="M59" s="37"/>
    </row>
    <row r="60" spans="13:13" ht="15.75" customHeight="1">
      <c r="M60" s="37"/>
    </row>
    <row r="61" spans="13:13" ht="15.75" customHeight="1">
      <c r="M61" s="37"/>
    </row>
    <row r="62" spans="13:13" ht="15.75" customHeight="1">
      <c r="M62" s="37"/>
    </row>
    <row r="63" spans="13:13" ht="15.75" customHeight="1">
      <c r="M63" s="37"/>
    </row>
    <row r="64" spans="13:13" ht="15.75" customHeight="1">
      <c r="M64" s="37"/>
    </row>
    <row r="65" spans="13:13" ht="15.75" customHeight="1">
      <c r="M65" s="37"/>
    </row>
    <row r="66" spans="13:13" ht="15.75" customHeight="1">
      <c r="M66" s="37"/>
    </row>
    <row r="67" spans="13:13" ht="15.75" customHeight="1">
      <c r="M67" s="37"/>
    </row>
    <row r="68" spans="13:13" ht="15.75" customHeight="1">
      <c r="M68" s="37"/>
    </row>
    <row r="69" spans="13:13" ht="15.75" customHeight="1">
      <c r="M69" s="37"/>
    </row>
    <row r="70" spans="13:13" ht="15.75" customHeight="1">
      <c r="M70" s="37"/>
    </row>
    <row r="71" spans="13:13" ht="15.75" customHeight="1">
      <c r="M71" s="37"/>
    </row>
    <row r="72" spans="13:13" ht="15.75" customHeight="1">
      <c r="M72" s="37"/>
    </row>
    <row r="73" spans="13:13" ht="15.75" customHeight="1">
      <c r="M73" s="37"/>
    </row>
    <row r="74" spans="13:13" ht="15.75" customHeight="1">
      <c r="M74" s="37"/>
    </row>
    <row r="75" spans="13:13" ht="15.75" customHeight="1">
      <c r="M75" s="37"/>
    </row>
    <row r="76" spans="13:13" ht="15.75" customHeight="1">
      <c r="M76" s="37"/>
    </row>
    <row r="77" spans="13:13" ht="15.75" customHeight="1">
      <c r="M77" s="37"/>
    </row>
    <row r="78" spans="13:13" ht="15.75" customHeight="1">
      <c r="M78" s="37"/>
    </row>
    <row r="79" spans="13:13" ht="15.75" customHeight="1">
      <c r="M79" s="37"/>
    </row>
    <row r="80" spans="13:13" ht="15.75" customHeight="1">
      <c r="M80" s="37"/>
    </row>
    <row r="81" spans="13:13" ht="15.75" customHeight="1">
      <c r="M81" s="37"/>
    </row>
    <row r="82" spans="13:13" ht="15.75" customHeight="1">
      <c r="M82" s="37"/>
    </row>
    <row r="83" spans="13:13" ht="15.75" customHeight="1">
      <c r="M83" s="37"/>
    </row>
    <row r="84" spans="13:13" ht="15.75" customHeight="1">
      <c r="M84" s="37"/>
    </row>
    <row r="85" spans="13:13" ht="15.75" customHeight="1">
      <c r="M85" s="37"/>
    </row>
    <row r="86" spans="13:13" ht="15.75" customHeight="1">
      <c r="M86" s="37"/>
    </row>
    <row r="87" spans="13:13" ht="15.75" customHeight="1">
      <c r="M87" s="37"/>
    </row>
    <row r="88" spans="13:13" ht="15.75" customHeight="1">
      <c r="M88" s="37"/>
    </row>
    <row r="89" spans="13:13" ht="15.75" customHeight="1">
      <c r="M89" s="37"/>
    </row>
    <row r="90" spans="13:13" ht="15.75" customHeight="1">
      <c r="M90" s="37"/>
    </row>
    <row r="91" spans="13:13" ht="15.75" customHeight="1">
      <c r="M91" s="37"/>
    </row>
    <row r="92" spans="13:13" ht="15.75" customHeight="1">
      <c r="M92" s="37"/>
    </row>
    <row r="93" spans="13:13" ht="15.75" customHeight="1">
      <c r="M93" s="37"/>
    </row>
    <row r="94" spans="13:13" ht="15.75" customHeight="1">
      <c r="M94" s="37"/>
    </row>
    <row r="95" spans="13:13" ht="15.75" customHeight="1">
      <c r="M95" s="37"/>
    </row>
    <row r="96" spans="13:13" ht="15.75" customHeight="1">
      <c r="M96" s="37"/>
    </row>
    <row r="97" spans="13:13" ht="15.75" customHeight="1">
      <c r="M97" s="37"/>
    </row>
    <row r="98" spans="13:13" ht="15.75" customHeight="1">
      <c r="M98" s="37"/>
    </row>
    <row r="99" spans="13:13" ht="15.75" customHeight="1">
      <c r="M99" s="37"/>
    </row>
  </sheetData>
  <mergeCells count="20">
    <mergeCell ref="A36:D36"/>
    <mergeCell ref="I36:L36"/>
    <mergeCell ref="A37:D37"/>
    <mergeCell ref="I37:L37"/>
    <mergeCell ref="M3:M4"/>
    <mergeCell ref="B5:B32"/>
    <mergeCell ref="C5:C32"/>
    <mergeCell ref="A33:M33"/>
    <mergeCell ref="A35:D35"/>
    <mergeCell ref="I35:L35"/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</mergeCells>
  <pageMargins left="0.7" right="0.7" top="0.75" bottom="0.75" header="0" footer="0"/>
  <pageSetup paperSize="9" scale="7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29" workbookViewId="0">
      <selection activeCell="H40" sqref="H40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4" width="10" customWidth="1"/>
    <col min="5" max="6" width="8.7109375" customWidth="1"/>
    <col min="7" max="7" width="9.85546875" customWidth="1"/>
    <col min="8" max="8" width="8.7109375" customWidth="1"/>
    <col min="9" max="9" width="8.42578125" customWidth="1"/>
    <col min="10" max="10" width="8.7109375" customWidth="1"/>
    <col min="11" max="11" width="6.42578125" customWidth="1"/>
    <col min="12" max="12" width="8.5703125" customWidth="1"/>
    <col min="13" max="13" width="8.85546875" customWidth="1"/>
  </cols>
  <sheetData>
    <row r="1" spans="1:13" ht="14.25" customHeight="1">
      <c r="A1" s="93" t="s">
        <v>20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ht="15.75" customHeigh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ht="14.25" customHeight="1">
      <c r="A3" s="99" t="s">
        <v>0</v>
      </c>
      <c r="B3" s="100" t="s">
        <v>1</v>
      </c>
      <c r="C3" s="100" t="s">
        <v>2</v>
      </c>
      <c r="D3" s="99" t="s">
        <v>3</v>
      </c>
      <c r="E3" s="99" t="s">
        <v>4</v>
      </c>
      <c r="F3" s="99" t="s">
        <v>19</v>
      </c>
      <c r="G3" s="99" t="s">
        <v>5</v>
      </c>
      <c r="H3" s="101" t="s">
        <v>6</v>
      </c>
      <c r="I3" s="102"/>
      <c r="J3" s="102"/>
      <c r="K3" s="102"/>
      <c r="L3" s="103" t="s">
        <v>7</v>
      </c>
      <c r="M3" s="89" t="s">
        <v>8</v>
      </c>
    </row>
    <row r="4" spans="1:13" ht="51.75" customHeight="1">
      <c r="A4" s="113"/>
      <c r="B4" s="113"/>
      <c r="C4" s="113"/>
      <c r="D4" s="113"/>
      <c r="E4" s="113"/>
      <c r="F4" s="113"/>
      <c r="G4" s="113"/>
      <c r="H4" s="9" t="s">
        <v>15</v>
      </c>
      <c r="I4" s="9" t="s">
        <v>13</v>
      </c>
      <c r="J4" s="13" t="s">
        <v>18</v>
      </c>
      <c r="K4" s="9" t="s">
        <v>14</v>
      </c>
      <c r="L4" s="113"/>
      <c r="M4" s="113"/>
    </row>
    <row r="5" spans="1:13" ht="19.5" customHeight="1">
      <c r="A5" s="7">
        <v>45658</v>
      </c>
      <c r="B5" s="120" t="s">
        <v>11</v>
      </c>
      <c r="C5" s="120" t="s">
        <v>12</v>
      </c>
      <c r="D5" s="15">
        <v>213.8</v>
      </c>
      <c r="E5" s="17">
        <v>212.45</v>
      </c>
      <c r="F5" s="10">
        <v>808.03800000000001</v>
      </c>
      <c r="G5" s="8">
        <v>52</v>
      </c>
      <c r="H5" s="19">
        <v>0</v>
      </c>
      <c r="I5" s="20">
        <v>0</v>
      </c>
      <c r="J5" s="20">
        <v>0</v>
      </c>
      <c r="K5" s="19">
        <v>15</v>
      </c>
      <c r="L5" s="19">
        <f>K5+J5+I5+H5</f>
        <v>15</v>
      </c>
      <c r="M5" s="1"/>
    </row>
    <row r="6" spans="1:13" ht="19.5" customHeight="1">
      <c r="A6" s="7">
        <v>45659</v>
      </c>
      <c r="B6" s="90"/>
      <c r="C6" s="90"/>
      <c r="D6" s="15">
        <v>213.8</v>
      </c>
      <c r="E6" s="17">
        <v>212.5</v>
      </c>
      <c r="F6" s="10">
        <v>813.26599999999996</v>
      </c>
      <c r="G6" s="8">
        <v>75</v>
      </c>
      <c r="H6" s="19">
        <v>0</v>
      </c>
      <c r="I6" s="20">
        <v>0</v>
      </c>
      <c r="J6" s="20">
        <v>0</v>
      </c>
      <c r="K6" s="19">
        <v>15</v>
      </c>
      <c r="L6" s="19">
        <f t="shared" ref="L6:L35" si="0">K6+J6+I6+H6</f>
        <v>15</v>
      </c>
      <c r="M6" s="1"/>
    </row>
    <row r="7" spans="1:13" ht="19.5" customHeight="1">
      <c r="A7" s="7">
        <v>45660</v>
      </c>
      <c r="B7" s="90"/>
      <c r="C7" s="90"/>
      <c r="D7" s="15">
        <v>213.8</v>
      </c>
      <c r="E7" s="17">
        <v>212.57</v>
      </c>
      <c r="F7" s="10">
        <v>820.57500000000005</v>
      </c>
      <c r="G7" s="8">
        <v>100</v>
      </c>
      <c r="H7" s="19">
        <v>0</v>
      </c>
      <c r="I7" s="20">
        <v>0</v>
      </c>
      <c r="J7" s="20">
        <v>0</v>
      </c>
      <c r="K7" s="19">
        <v>15</v>
      </c>
      <c r="L7" s="19">
        <f t="shared" si="0"/>
        <v>15</v>
      </c>
      <c r="M7" s="1"/>
    </row>
    <row r="8" spans="1:13" ht="19.5" customHeight="1">
      <c r="A8" s="7">
        <v>45661</v>
      </c>
      <c r="B8" s="90"/>
      <c r="C8" s="90"/>
      <c r="D8" s="15">
        <v>213.8</v>
      </c>
      <c r="E8" s="17">
        <v>212.64</v>
      </c>
      <c r="F8" s="10">
        <v>827.904</v>
      </c>
      <c r="G8" s="8">
        <v>100</v>
      </c>
      <c r="H8" s="19">
        <v>0</v>
      </c>
      <c r="I8" s="20">
        <v>0</v>
      </c>
      <c r="J8" s="20">
        <v>0</v>
      </c>
      <c r="K8" s="19">
        <v>15</v>
      </c>
      <c r="L8" s="19">
        <f t="shared" si="0"/>
        <v>15</v>
      </c>
      <c r="M8" s="1"/>
    </row>
    <row r="9" spans="1:13" ht="19.5" customHeight="1">
      <c r="A9" s="7">
        <v>45662</v>
      </c>
      <c r="B9" s="90"/>
      <c r="C9" s="90"/>
      <c r="D9" s="15">
        <v>213.8</v>
      </c>
      <c r="E9" s="17">
        <v>212.67</v>
      </c>
      <c r="F9" s="10">
        <v>831.04</v>
      </c>
      <c r="G9" s="8">
        <v>51</v>
      </c>
      <c r="H9" s="19">
        <v>0</v>
      </c>
      <c r="I9" s="20">
        <v>0</v>
      </c>
      <c r="J9" s="20">
        <v>0</v>
      </c>
      <c r="K9" s="19">
        <v>15</v>
      </c>
      <c r="L9" s="19">
        <f t="shared" si="0"/>
        <v>15</v>
      </c>
      <c r="M9" s="1"/>
    </row>
    <row r="10" spans="1:13" ht="19.5" customHeight="1">
      <c r="A10" s="7">
        <v>45663</v>
      </c>
      <c r="B10" s="90"/>
      <c r="C10" s="90"/>
      <c r="D10" s="15">
        <v>213.8</v>
      </c>
      <c r="E10" s="17">
        <v>212.7</v>
      </c>
      <c r="F10" s="10">
        <v>834.17700000000002</v>
      </c>
      <c r="G10" s="8">
        <v>51</v>
      </c>
      <c r="H10" s="19">
        <v>0</v>
      </c>
      <c r="I10" s="20">
        <v>0</v>
      </c>
      <c r="J10" s="20">
        <v>0</v>
      </c>
      <c r="K10" s="19">
        <v>15</v>
      </c>
      <c r="L10" s="19">
        <f t="shared" si="0"/>
        <v>15</v>
      </c>
      <c r="M10" s="1"/>
    </row>
    <row r="11" spans="1:13" ht="19.5" customHeight="1">
      <c r="A11" s="7">
        <v>45664</v>
      </c>
      <c r="B11" s="90"/>
      <c r="C11" s="90"/>
      <c r="D11" s="15">
        <v>213.8</v>
      </c>
      <c r="E11" s="17">
        <v>212.73</v>
      </c>
      <c r="F11" s="10">
        <v>837.31399999999996</v>
      </c>
      <c r="G11" s="8">
        <v>51</v>
      </c>
      <c r="H11" s="19">
        <v>0</v>
      </c>
      <c r="I11" s="20">
        <v>0</v>
      </c>
      <c r="J11" s="20">
        <v>0</v>
      </c>
      <c r="K11" s="19">
        <v>15</v>
      </c>
      <c r="L11" s="19">
        <f t="shared" si="0"/>
        <v>15</v>
      </c>
      <c r="M11" s="1"/>
    </row>
    <row r="12" spans="1:13" ht="19.5" customHeight="1">
      <c r="A12" s="7">
        <v>45665</v>
      </c>
      <c r="B12" s="90"/>
      <c r="C12" s="90"/>
      <c r="D12" s="15">
        <v>213.8</v>
      </c>
      <c r="E12" s="17">
        <v>212.78</v>
      </c>
      <c r="F12" s="10">
        <v>842.54200000000003</v>
      </c>
      <c r="G12" s="8">
        <v>75</v>
      </c>
      <c r="H12" s="19">
        <v>0</v>
      </c>
      <c r="I12" s="20">
        <v>0</v>
      </c>
      <c r="J12" s="20">
        <v>0</v>
      </c>
      <c r="K12" s="19">
        <v>15</v>
      </c>
      <c r="L12" s="19">
        <f t="shared" si="0"/>
        <v>15</v>
      </c>
      <c r="M12" s="1"/>
    </row>
    <row r="13" spans="1:13" ht="19.5" customHeight="1">
      <c r="A13" s="7">
        <v>45666</v>
      </c>
      <c r="B13" s="90"/>
      <c r="C13" s="90"/>
      <c r="D13" s="15">
        <v>213.8</v>
      </c>
      <c r="E13" s="18">
        <v>212.8</v>
      </c>
      <c r="F13" s="17">
        <v>844.63300000000004</v>
      </c>
      <c r="G13" s="8">
        <v>39</v>
      </c>
      <c r="H13" s="19">
        <v>0</v>
      </c>
      <c r="I13" s="20">
        <v>0</v>
      </c>
      <c r="J13" s="20">
        <v>0</v>
      </c>
      <c r="K13" s="19">
        <v>15</v>
      </c>
      <c r="L13" s="19">
        <f t="shared" si="0"/>
        <v>15</v>
      </c>
      <c r="M13" s="1"/>
    </row>
    <row r="14" spans="1:13" ht="19.5" customHeight="1">
      <c r="A14" s="7">
        <v>45667</v>
      </c>
      <c r="B14" s="90"/>
      <c r="C14" s="90"/>
      <c r="D14" s="15">
        <v>213.8</v>
      </c>
      <c r="E14" s="17">
        <v>212.78</v>
      </c>
      <c r="F14" s="10">
        <v>842.54200000000003</v>
      </c>
      <c r="G14" s="8">
        <v>21</v>
      </c>
      <c r="H14" s="19">
        <v>0</v>
      </c>
      <c r="I14" s="20">
        <v>0</v>
      </c>
      <c r="J14" s="20">
        <v>30</v>
      </c>
      <c r="K14" s="19">
        <v>15</v>
      </c>
      <c r="L14" s="19">
        <f t="shared" si="0"/>
        <v>45</v>
      </c>
      <c r="M14" s="1"/>
    </row>
    <row r="15" spans="1:13" ht="19.5" customHeight="1">
      <c r="A15" s="7">
        <v>45668</v>
      </c>
      <c r="B15" s="90"/>
      <c r="C15" s="90"/>
      <c r="D15" s="15">
        <v>213.8</v>
      </c>
      <c r="E15" s="17">
        <v>212.78</v>
      </c>
      <c r="F15" s="10">
        <v>842.54200000000003</v>
      </c>
      <c r="G15" s="8">
        <v>45</v>
      </c>
      <c r="H15" s="19">
        <v>0</v>
      </c>
      <c r="I15" s="20">
        <v>0</v>
      </c>
      <c r="J15" s="20">
        <v>30</v>
      </c>
      <c r="K15" s="19">
        <v>15</v>
      </c>
      <c r="L15" s="19">
        <f t="shared" si="0"/>
        <v>45</v>
      </c>
      <c r="M15" s="1"/>
    </row>
    <row r="16" spans="1:13" ht="19.5" customHeight="1">
      <c r="A16" s="7">
        <v>45669</v>
      </c>
      <c r="B16" s="90"/>
      <c r="C16" s="90"/>
      <c r="D16" s="15">
        <v>213.8</v>
      </c>
      <c r="E16" s="17">
        <v>212.78</v>
      </c>
      <c r="F16" s="10">
        <v>842.54200000000003</v>
      </c>
      <c r="G16" s="8">
        <v>45</v>
      </c>
      <c r="H16" s="19">
        <v>0</v>
      </c>
      <c r="I16" s="20">
        <v>0</v>
      </c>
      <c r="J16" s="20">
        <v>30</v>
      </c>
      <c r="K16" s="19">
        <v>15</v>
      </c>
      <c r="L16" s="19">
        <f t="shared" si="0"/>
        <v>45</v>
      </c>
      <c r="M16" s="1"/>
    </row>
    <row r="17" spans="1:14" ht="19.5" customHeight="1">
      <c r="A17" s="7">
        <v>45670</v>
      </c>
      <c r="B17" s="90"/>
      <c r="C17" s="90"/>
      <c r="D17" s="15">
        <v>213.8</v>
      </c>
      <c r="E17" s="17">
        <v>212.73</v>
      </c>
      <c r="F17" s="10">
        <v>837.31399999999996</v>
      </c>
      <c r="G17" s="8">
        <v>29</v>
      </c>
      <c r="H17" s="19">
        <v>0</v>
      </c>
      <c r="I17" s="20">
        <v>60</v>
      </c>
      <c r="J17" s="20">
        <v>30</v>
      </c>
      <c r="K17" s="19">
        <v>0</v>
      </c>
      <c r="L17" s="19">
        <f t="shared" si="0"/>
        <v>90</v>
      </c>
      <c r="M17" s="1"/>
    </row>
    <row r="18" spans="1:14" ht="19.5" customHeight="1">
      <c r="A18" s="7">
        <v>45671</v>
      </c>
      <c r="B18" s="90"/>
      <c r="C18" s="90"/>
      <c r="D18" s="15">
        <v>213.8</v>
      </c>
      <c r="E18" s="17">
        <v>212.73</v>
      </c>
      <c r="F18" s="10">
        <v>837.31399999999996</v>
      </c>
      <c r="G18" s="8">
        <v>90</v>
      </c>
      <c r="H18" s="19">
        <v>0</v>
      </c>
      <c r="I18" s="20">
        <v>60</v>
      </c>
      <c r="J18" s="20">
        <v>30</v>
      </c>
      <c r="K18" s="19">
        <v>0</v>
      </c>
      <c r="L18" s="19">
        <f t="shared" si="0"/>
        <v>90</v>
      </c>
      <c r="M18" s="1"/>
    </row>
    <row r="19" spans="1:14" ht="19.5" customHeight="1">
      <c r="A19" s="7">
        <v>45672</v>
      </c>
      <c r="B19" s="90"/>
      <c r="C19" s="90"/>
      <c r="D19" s="15">
        <v>213.8</v>
      </c>
      <c r="E19" s="17">
        <v>212.67</v>
      </c>
      <c r="F19" s="10">
        <v>831.04</v>
      </c>
      <c r="G19" s="8">
        <v>17</v>
      </c>
      <c r="H19" s="19">
        <v>0</v>
      </c>
      <c r="I19" s="20">
        <v>60</v>
      </c>
      <c r="J19" s="20">
        <v>30</v>
      </c>
      <c r="K19" s="19">
        <v>0</v>
      </c>
      <c r="L19" s="19">
        <f t="shared" si="0"/>
        <v>90</v>
      </c>
      <c r="M19" s="1"/>
    </row>
    <row r="20" spans="1:14" ht="19.5" customHeight="1">
      <c r="A20" s="7">
        <v>45673</v>
      </c>
      <c r="B20" s="90"/>
      <c r="C20" s="90"/>
      <c r="D20" s="15">
        <v>213.8</v>
      </c>
      <c r="E20" s="17">
        <v>212.65</v>
      </c>
      <c r="F20" s="10">
        <v>828.94899999999996</v>
      </c>
      <c r="G20" s="8">
        <v>36</v>
      </c>
      <c r="H20" s="19">
        <v>0</v>
      </c>
      <c r="I20" s="20">
        <v>60</v>
      </c>
      <c r="J20" s="20">
        <v>30</v>
      </c>
      <c r="K20" s="19">
        <v>0</v>
      </c>
      <c r="L20" s="19">
        <f t="shared" si="0"/>
        <v>90</v>
      </c>
      <c r="M20" s="1"/>
    </row>
    <row r="21" spans="1:14" ht="19.5" customHeight="1">
      <c r="A21" s="7">
        <v>45674</v>
      </c>
      <c r="B21" s="90"/>
      <c r="C21" s="90"/>
      <c r="D21" s="15">
        <v>213.8</v>
      </c>
      <c r="E21" s="17">
        <v>212.65</v>
      </c>
      <c r="F21" s="10">
        <v>828.94899999999996</v>
      </c>
      <c r="G21" s="8">
        <v>60</v>
      </c>
      <c r="H21" s="19">
        <v>0</v>
      </c>
      <c r="I21" s="20">
        <v>60</v>
      </c>
      <c r="J21" s="20">
        <v>0</v>
      </c>
      <c r="K21" s="19">
        <v>0</v>
      </c>
      <c r="L21" s="19">
        <f t="shared" si="0"/>
        <v>60</v>
      </c>
      <c r="M21" s="1"/>
    </row>
    <row r="22" spans="1:14" ht="19.5" customHeight="1">
      <c r="A22" s="7">
        <v>45675</v>
      </c>
      <c r="B22" s="90"/>
      <c r="C22" s="90"/>
      <c r="D22" s="15">
        <v>213.8</v>
      </c>
      <c r="E22" s="17">
        <v>212.63</v>
      </c>
      <c r="F22" s="10">
        <v>826.85799999999995</v>
      </c>
      <c r="G22" s="8">
        <v>36</v>
      </c>
      <c r="H22" s="19">
        <v>0</v>
      </c>
      <c r="I22" s="20">
        <v>60</v>
      </c>
      <c r="J22" s="20">
        <v>0</v>
      </c>
      <c r="K22" s="19">
        <v>0</v>
      </c>
      <c r="L22" s="19">
        <f t="shared" si="0"/>
        <v>60</v>
      </c>
      <c r="M22" s="1"/>
    </row>
    <row r="23" spans="1:14" ht="19.5" customHeight="1">
      <c r="A23" s="7">
        <v>45676</v>
      </c>
      <c r="B23" s="90"/>
      <c r="C23" s="90"/>
      <c r="D23" s="15">
        <v>213.8</v>
      </c>
      <c r="E23" s="17">
        <v>212.61</v>
      </c>
      <c r="F23" s="10">
        <v>824.76700000000005</v>
      </c>
      <c r="G23" s="8">
        <v>36</v>
      </c>
      <c r="H23" s="19">
        <v>0</v>
      </c>
      <c r="I23" s="20">
        <v>60</v>
      </c>
      <c r="J23" s="20">
        <v>0</v>
      </c>
      <c r="K23" s="19">
        <v>0</v>
      </c>
      <c r="L23" s="19">
        <f t="shared" si="0"/>
        <v>60</v>
      </c>
      <c r="M23" s="1"/>
    </row>
    <row r="24" spans="1:14" ht="19.5" customHeight="1">
      <c r="A24" s="7">
        <v>45677</v>
      </c>
      <c r="B24" s="90"/>
      <c r="C24" s="90"/>
      <c r="D24" s="15">
        <v>213.8</v>
      </c>
      <c r="E24" s="17">
        <v>212.61</v>
      </c>
      <c r="F24" s="10">
        <v>824.76700000000005</v>
      </c>
      <c r="G24" s="8">
        <v>60</v>
      </c>
      <c r="H24" s="19">
        <v>0</v>
      </c>
      <c r="I24" s="20">
        <v>60</v>
      </c>
      <c r="J24" s="20">
        <v>0</v>
      </c>
      <c r="K24" s="19">
        <v>0</v>
      </c>
      <c r="L24" s="19">
        <f t="shared" si="0"/>
        <v>60</v>
      </c>
      <c r="M24" s="1"/>
    </row>
    <row r="25" spans="1:14" ht="19.5" customHeight="1">
      <c r="A25" s="7">
        <v>45678</v>
      </c>
      <c r="B25" s="90"/>
      <c r="C25" s="90"/>
      <c r="D25" s="15">
        <v>213.8</v>
      </c>
      <c r="E25" s="17">
        <v>212.59</v>
      </c>
      <c r="F25" s="10">
        <v>822.67600000000004</v>
      </c>
      <c r="G25" s="8">
        <v>35</v>
      </c>
      <c r="H25" s="19">
        <v>0</v>
      </c>
      <c r="I25" s="20">
        <v>60</v>
      </c>
      <c r="J25" s="20">
        <v>0</v>
      </c>
      <c r="K25" s="19">
        <v>0</v>
      </c>
      <c r="L25" s="19">
        <f t="shared" si="0"/>
        <v>60</v>
      </c>
      <c r="M25" s="1"/>
    </row>
    <row r="26" spans="1:14" ht="19.5" customHeight="1">
      <c r="A26" s="7">
        <v>45679</v>
      </c>
      <c r="B26" s="90"/>
      <c r="C26" s="90"/>
      <c r="D26" s="15">
        <v>213.8</v>
      </c>
      <c r="E26" s="17">
        <v>212.59</v>
      </c>
      <c r="F26" s="10">
        <v>822.67600000000004</v>
      </c>
      <c r="G26" s="8">
        <v>60</v>
      </c>
      <c r="H26" s="19">
        <v>0</v>
      </c>
      <c r="I26" s="20">
        <v>60</v>
      </c>
      <c r="J26" s="20">
        <v>0</v>
      </c>
      <c r="K26" s="19">
        <v>0</v>
      </c>
      <c r="L26" s="19">
        <f t="shared" si="0"/>
        <v>60</v>
      </c>
      <c r="M26" s="1"/>
      <c r="N26" s="11"/>
    </row>
    <row r="27" spans="1:14" ht="19.5" customHeight="1">
      <c r="A27" s="7">
        <v>45680</v>
      </c>
      <c r="B27" s="90"/>
      <c r="C27" s="90"/>
      <c r="D27" s="15">
        <v>213.8</v>
      </c>
      <c r="E27" s="17">
        <v>212.59</v>
      </c>
      <c r="F27" s="10">
        <v>822.67600000000004</v>
      </c>
      <c r="G27" s="8">
        <v>60</v>
      </c>
      <c r="H27" s="19">
        <v>0</v>
      </c>
      <c r="I27" s="20">
        <v>60</v>
      </c>
      <c r="J27" s="20">
        <v>0</v>
      </c>
      <c r="K27" s="19">
        <v>0</v>
      </c>
      <c r="L27" s="19">
        <f t="shared" si="0"/>
        <v>60</v>
      </c>
      <c r="M27" s="1"/>
    </row>
    <row r="28" spans="1:14" ht="19.5" customHeight="1">
      <c r="A28" s="7">
        <v>45681</v>
      </c>
      <c r="B28" s="90"/>
      <c r="C28" s="90"/>
      <c r="D28" s="15">
        <v>213.8</v>
      </c>
      <c r="E28" s="17">
        <v>212.55</v>
      </c>
      <c r="F28" s="10">
        <v>818.49400000000003</v>
      </c>
      <c r="G28" s="8">
        <v>42</v>
      </c>
      <c r="H28" s="19">
        <v>0</v>
      </c>
      <c r="I28" s="20">
        <v>60</v>
      </c>
      <c r="J28" s="20">
        <v>30</v>
      </c>
      <c r="K28" s="19">
        <v>0</v>
      </c>
      <c r="L28" s="19">
        <f t="shared" si="0"/>
        <v>90</v>
      </c>
      <c r="M28" s="1"/>
    </row>
    <row r="29" spans="1:14" ht="19.5" customHeight="1">
      <c r="A29" s="7">
        <v>45682</v>
      </c>
      <c r="B29" s="90"/>
      <c r="C29" s="90"/>
      <c r="D29" s="15">
        <v>213.8</v>
      </c>
      <c r="E29" s="17">
        <v>212.5</v>
      </c>
      <c r="F29" s="10">
        <v>813.26599999999996</v>
      </c>
      <c r="G29" s="8">
        <v>29</v>
      </c>
      <c r="H29" s="19">
        <v>0</v>
      </c>
      <c r="I29" s="20">
        <v>60</v>
      </c>
      <c r="J29" s="20">
        <v>30</v>
      </c>
      <c r="K29" s="19">
        <v>0</v>
      </c>
      <c r="L29" s="19">
        <f t="shared" si="0"/>
        <v>90</v>
      </c>
      <c r="M29" s="1"/>
    </row>
    <row r="30" spans="1:14" ht="19.5" customHeight="1">
      <c r="A30" s="7">
        <v>45683</v>
      </c>
      <c r="B30" s="90"/>
      <c r="C30" s="90"/>
      <c r="D30" s="15">
        <v>213.8</v>
      </c>
      <c r="E30" s="17">
        <v>212.48</v>
      </c>
      <c r="F30" s="10">
        <v>811.17499999999995</v>
      </c>
      <c r="G30" s="8">
        <v>66</v>
      </c>
      <c r="H30" s="19">
        <v>0</v>
      </c>
      <c r="I30" s="20">
        <v>60</v>
      </c>
      <c r="J30" s="20">
        <v>30</v>
      </c>
      <c r="K30" s="19">
        <v>0</v>
      </c>
      <c r="L30" s="19">
        <f t="shared" si="0"/>
        <v>90</v>
      </c>
      <c r="M30" s="1"/>
    </row>
    <row r="31" spans="1:14" ht="21" customHeight="1">
      <c r="A31" s="7">
        <v>45684</v>
      </c>
      <c r="B31" s="90"/>
      <c r="C31" s="90"/>
      <c r="D31" s="15">
        <v>213.8</v>
      </c>
      <c r="E31" s="17">
        <v>212.44</v>
      </c>
      <c r="F31" s="10">
        <v>806.99199999999996</v>
      </c>
      <c r="G31" s="8">
        <v>42</v>
      </c>
      <c r="H31" s="19">
        <v>0</v>
      </c>
      <c r="I31" s="20">
        <v>60</v>
      </c>
      <c r="J31" s="20">
        <v>30</v>
      </c>
      <c r="K31" s="19">
        <v>0</v>
      </c>
      <c r="L31" s="19">
        <f t="shared" si="0"/>
        <v>90</v>
      </c>
      <c r="M31" s="1"/>
    </row>
    <row r="32" spans="1:14" ht="21" customHeight="1">
      <c r="A32" s="7">
        <v>45685</v>
      </c>
      <c r="B32" s="90"/>
      <c r="C32" s="90"/>
      <c r="D32" s="15">
        <v>213.8</v>
      </c>
      <c r="E32" s="17">
        <v>212.38</v>
      </c>
      <c r="F32" s="10">
        <v>800.71900000000005</v>
      </c>
      <c r="G32" s="8">
        <v>17</v>
      </c>
      <c r="H32" s="19">
        <v>0</v>
      </c>
      <c r="I32" s="20">
        <v>60</v>
      </c>
      <c r="J32" s="20">
        <v>30</v>
      </c>
      <c r="K32" s="19">
        <v>0</v>
      </c>
      <c r="L32" s="19">
        <f t="shared" si="0"/>
        <v>90</v>
      </c>
      <c r="M32" s="1"/>
    </row>
    <row r="33" spans="1:14" ht="21" customHeight="1">
      <c r="A33" s="7">
        <v>45686</v>
      </c>
      <c r="B33" s="90"/>
      <c r="C33" s="90"/>
      <c r="D33" s="15">
        <v>213.8</v>
      </c>
      <c r="E33" s="17">
        <v>212.38</v>
      </c>
      <c r="F33" s="10">
        <v>800.71900000000005</v>
      </c>
      <c r="G33" s="8">
        <v>60</v>
      </c>
      <c r="H33" s="19">
        <v>0</v>
      </c>
      <c r="I33" s="20">
        <v>60</v>
      </c>
      <c r="J33" s="20">
        <v>0</v>
      </c>
      <c r="K33" s="19">
        <v>0</v>
      </c>
      <c r="L33" s="19">
        <f t="shared" si="0"/>
        <v>60</v>
      </c>
      <c r="M33" s="1"/>
    </row>
    <row r="34" spans="1:14" s="14" customFormat="1" ht="21" customHeight="1">
      <c r="A34" s="7">
        <v>45687</v>
      </c>
      <c r="B34" s="90"/>
      <c r="C34" s="90"/>
      <c r="D34" s="15">
        <v>213.8</v>
      </c>
      <c r="E34" s="17">
        <v>212.33</v>
      </c>
      <c r="F34" s="10">
        <v>795.49099999999999</v>
      </c>
      <c r="G34" s="8">
        <v>0</v>
      </c>
      <c r="H34" s="19">
        <v>0</v>
      </c>
      <c r="I34" s="20">
        <v>60</v>
      </c>
      <c r="J34" s="20">
        <v>0</v>
      </c>
      <c r="K34" s="19">
        <v>0</v>
      </c>
      <c r="L34" s="19">
        <f t="shared" ref="L34" si="1">K34+J34+I34+H34</f>
        <v>60</v>
      </c>
      <c r="M34" s="1"/>
    </row>
    <row r="35" spans="1:14" ht="21" customHeight="1">
      <c r="A35" s="7">
        <v>45688</v>
      </c>
      <c r="B35" s="115"/>
      <c r="C35" s="115"/>
      <c r="D35" s="16">
        <v>213.8</v>
      </c>
      <c r="E35" s="17">
        <v>212.33</v>
      </c>
      <c r="F35" s="10">
        <v>795.49099999999999</v>
      </c>
      <c r="G35" s="8">
        <v>60</v>
      </c>
      <c r="H35" s="19">
        <v>0</v>
      </c>
      <c r="I35" s="20">
        <v>60</v>
      </c>
      <c r="J35" s="20">
        <v>0</v>
      </c>
      <c r="K35" s="19">
        <v>0</v>
      </c>
      <c r="L35" s="19">
        <f t="shared" si="0"/>
        <v>60</v>
      </c>
      <c r="M35" s="1"/>
    </row>
    <row r="36" spans="1:14" ht="49.5" customHeight="1">
      <c r="A36" s="92" t="s">
        <v>21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12"/>
    </row>
    <row r="37" spans="1:14" ht="47.25" customHeight="1">
      <c r="A37" s="2"/>
      <c r="B37" s="3"/>
      <c r="C37" s="4"/>
      <c r="D37" s="4"/>
      <c r="E37" s="4"/>
      <c r="F37" s="4"/>
      <c r="G37" s="4"/>
      <c r="H37" s="4"/>
      <c r="I37" s="4"/>
      <c r="J37" s="4"/>
      <c r="K37" s="5"/>
      <c r="L37" s="5"/>
      <c r="M37" s="6"/>
    </row>
    <row r="38" spans="1:14" ht="15.75" customHeight="1">
      <c r="A38" s="118" t="s">
        <v>9</v>
      </c>
      <c r="B38" s="86"/>
      <c r="C38" s="86"/>
      <c r="D38" s="86"/>
      <c r="I38" s="118" t="s">
        <v>10</v>
      </c>
      <c r="J38" s="86"/>
      <c r="K38" s="86"/>
      <c r="L38" s="86"/>
      <c r="M38" s="6"/>
    </row>
    <row r="39" spans="1:14" ht="15.75" customHeight="1">
      <c r="A39" s="119" t="s">
        <v>16</v>
      </c>
      <c r="B39" s="86"/>
      <c r="C39" s="86"/>
      <c r="D39" s="86"/>
      <c r="I39" s="119" t="s">
        <v>16</v>
      </c>
      <c r="J39" s="86"/>
      <c r="K39" s="86"/>
      <c r="L39" s="86"/>
      <c r="M39" s="6"/>
    </row>
    <row r="40" spans="1:14" ht="15.75" customHeight="1">
      <c r="A40" s="117" t="s">
        <v>17</v>
      </c>
      <c r="B40" s="86"/>
      <c r="C40" s="86"/>
      <c r="D40" s="86"/>
      <c r="I40" s="117" t="s">
        <v>17</v>
      </c>
      <c r="J40" s="86"/>
      <c r="K40" s="86"/>
      <c r="L40" s="86"/>
      <c r="M40" s="6"/>
    </row>
    <row r="41" spans="1:14" ht="15.75" customHeight="1">
      <c r="M41" s="6"/>
    </row>
    <row r="42" spans="1:14" ht="15.75" customHeight="1">
      <c r="M42" s="6"/>
    </row>
    <row r="43" spans="1:14" ht="15.75" customHeight="1">
      <c r="M43" s="6"/>
    </row>
    <row r="44" spans="1:14" ht="15.75" customHeight="1">
      <c r="M44" s="6"/>
    </row>
    <row r="45" spans="1:14" ht="15.75" customHeight="1">
      <c r="M45" s="6"/>
    </row>
    <row r="46" spans="1:14" ht="15.75" customHeight="1">
      <c r="M46" s="6"/>
    </row>
    <row r="47" spans="1:14" ht="15.75" customHeight="1">
      <c r="M47" s="6"/>
    </row>
    <row r="48" spans="1:14" ht="15.75" customHeight="1">
      <c r="M48" s="6"/>
    </row>
    <row r="49" spans="13:13" ht="15.75" customHeight="1">
      <c r="M49" s="6"/>
    </row>
    <row r="50" spans="13:13" ht="15.75" customHeight="1">
      <c r="M50" s="6"/>
    </row>
    <row r="51" spans="13:13" ht="15.75" customHeight="1">
      <c r="M51" s="6"/>
    </row>
    <row r="52" spans="13:13" ht="15.75" customHeight="1">
      <c r="M52" s="6"/>
    </row>
    <row r="53" spans="13:13" ht="15.75" customHeight="1">
      <c r="M53" s="6"/>
    </row>
    <row r="54" spans="13:13" ht="15.75" customHeight="1">
      <c r="M54" s="6"/>
    </row>
    <row r="55" spans="13:13" ht="15.75" customHeight="1">
      <c r="M55" s="6"/>
    </row>
    <row r="56" spans="13:13" ht="15.75" customHeight="1">
      <c r="M56" s="6"/>
    </row>
    <row r="57" spans="13:13" ht="15.75" customHeight="1">
      <c r="M57" s="6"/>
    </row>
    <row r="58" spans="13:13" ht="15.75" customHeight="1">
      <c r="M58" s="6"/>
    </row>
    <row r="59" spans="13:13" ht="15.75" customHeight="1">
      <c r="M59" s="6"/>
    </row>
    <row r="60" spans="13:13" ht="15.75" customHeight="1">
      <c r="M60" s="6"/>
    </row>
    <row r="61" spans="13:13" ht="15.75" customHeight="1">
      <c r="M61" s="6"/>
    </row>
    <row r="62" spans="13:13" ht="15.75" customHeight="1">
      <c r="M62" s="6"/>
    </row>
    <row r="63" spans="13:13" ht="15.75" customHeight="1">
      <c r="M63" s="6"/>
    </row>
    <row r="64" spans="13:13" ht="15.75" customHeight="1">
      <c r="M64" s="6"/>
    </row>
    <row r="65" spans="13:13" ht="15.75" customHeight="1">
      <c r="M65" s="6"/>
    </row>
    <row r="66" spans="13:13" ht="15.75" customHeight="1">
      <c r="M66" s="6"/>
    </row>
    <row r="67" spans="13:13" ht="15.75" customHeight="1">
      <c r="M67" s="6"/>
    </row>
    <row r="68" spans="13:13" ht="15.75" customHeight="1">
      <c r="M68" s="6"/>
    </row>
    <row r="69" spans="13:13" ht="15.75" customHeight="1">
      <c r="M69" s="6"/>
    </row>
    <row r="70" spans="13:13" ht="15.75" customHeight="1">
      <c r="M70" s="6"/>
    </row>
    <row r="71" spans="13:13" ht="15.75" customHeight="1">
      <c r="M71" s="6"/>
    </row>
    <row r="72" spans="13:13" ht="15.75" customHeight="1">
      <c r="M72" s="6"/>
    </row>
    <row r="73" spans="13:13" ht="15.75" customHeight="1">
      <c r="M73" s="6"/>
    </row>
    <row r="74" spans="13:13" ht="15.75" customHeight="1">
      <c r="M74" s="6"/>
    </row>
    <row r="75" spans="13:13" ht="15.75" customHeight="1">
      <c r="M75" s="6"/>
    </row>
    <row r="76" spans="13:13" ht="15.75" customHeight="1">
      <c r="M76" s="6"/>
    </row>
    <row r="77" spans="13:13" ht="15.75" customHeight="1">
      <c r="M77" s="6"/>
    </row>
    <row r="78" spans="13:13" ht="15.75" customHeight="1">
      <c r="M78" s="6"/>
    </row>
    <row r="79" spans="13:13" ht="15.75" customHeight="1">
      <c r="M79" s="6"/>
    </row>
    <row r="80" spans="13:13" ht="15.75" customHeight="1">
      <c r="M80" s="6"/>
    </row>
    <row r="81" spans="13:13" ht="15.75" customHeight="1">
      <c r="M81" s="6"/>
    </row>
    <row r="82" spans="13:13" ht="15.75" customHeight="1">
      <c r="M82" s="6"/>
    </row>
    <row r="83" spans="13:13" ht="15.75" customHeight="1">
      <c r="M83" s="6"/>
    </row>
    <row r="84" spans="13:13" ht="15.75" customHeight="1">
      <c r="M84" s="6"/>
    </row>
    <row r="85" spans="13:13" ht="15.75" customHeight="1">
      <c r="M85" s="6"/>
    </row>
    <row r="86" spans="13:13" ht="15.75" customHeight="1">
      <c r="M86" s="6"/>
    </row>
    <row r="87" spans="13:13" ht="15.75" customHeight="1">
      <c r="M87" s="6"/>
    </row>
    <row r="88" spans="13:13" ht="15.75" customHeight="1">
      <c r="M88" s="6"/>
    </row>
    <row r="89" spans="13:13" ht="15.75" customHeight="1">
      <c r="M89" s="6"/>
    </row>
    <row r="90" spans="13:13" ht="15.75" customHeight="1">
      <c r="M90" s="6"/>
    </row>
    <row r="91" spans="13:13" ht="15.75" customHeight="1">
      <c r="M91" s="6"/>
    </row>
    <row r="92" spans="13:13" ht="15.75" customHeight="1">
      <c r="M92" s="6"/>
    </row>
    <row r="93" spans="13:13" ht="15.75" customHeight="1">
      <c r="M93" s="6"/>
    </row>
    <row r="94" spans="13:13" ht="15.75" customHeight="1">
      <c r="M94" s="6"/>
    </row>
    <row r="95" spans="13:13" ht="15.75" customHeight="1">
      <c r="M95" s="6"/>
    </row>
    <row r="96" spans="13:13" ht="15.75" customHeight="1">
      <c r="M96" s="6"/>
    </row>
    <row r="97" spans="13:13" ht="15.75" customHeight="1">
      <c r="M97" s="6"/>
    </row>
    <row r="98" spans="13:13" ht="15.75" customHeight="1">
      <c r="M98" s="6"/>
    </row>
    <row r="99" spans="13:13" ht="15.75" customHeight="1">
      <c r="M99" s="6"/>
    </row>
    <row r="100" spans="13:13" ht="15.75" customHeight="1">
      <c r="M100" s="6"/>
    </row>
    <row r="101" spans="13:13" ht="15.75" customHeight="1">
      <c r="M101" s="6"/>
    </row>
    <row r="102" spans="13:13" ht="15.75" customHeight="1">
      <c r="M102" s="6"/>
    </row>
  </sheetData>
  <mergeCells count="20">
    <mergeCell ref="A36:M36"/>
    <mergeCell ref="A1:M2"/>
    <mergeCell ref="M3:M4"/>
    <mergeCell ref="A3:A4"/>
    <mergeCell ref="B3:B4"/>
    <mergeCell ref="H3:K3"/>
    <mergeCell ref="B5:B35"/>
    <mergeCell ref="C5:C35"/>
    <mergeCell ref="L3:L4"/>
    <mergeCell ref="C3:C4"/>
    <mergeCell ref="D3:D4"/>
    <mergeCell ref="E3:E4"/>
    <mergeCell ref="F3:F4"/>
    <mergeCell ref="G3:G4"/>
    <mergeCell ref="A40:D40"/>
    <mergeCell ref="I40:L40"/>
    <mergeCell ref="A38:D38"/>
    <mergeCell ref="I38:L38"/>
    <mergeCell ref="A39:D39"/>
    <mergeCell ref="I39:L39"/>
  </mergeCells>
  <pageMargins left="0.7" right="0.7" top="0.75" bottom="0.75" header="0" footer="0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SEP 2025</vt:lpstr>
      <vt:lpstr>AUG 2025</vt:lpstr>
      <vt:lpstr>July 2025</vt:lpstr>
      <vt:lpstr>June 2025</vt:lpstr>
      <vt:lpstr>May 2025</vt:lpstr>
      <vt:lpstr>APRIL 2025</vt:lpstr>
      <vt:lpstr>March 2025</vt:lpstr>
      <vt:lpstr>FEBRUARY 2025</vt:lpstr>
      <vt:lpstr>JANUARY 2025</vt:lpstr>
      <vt:lpstr>'AUG 2025'!Print_Area</vt:lpstr>
      <vt:lpstr>'July 2025'!Print_Area</vt:lpstr>
      <vt:lpstr>'SEP 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2025-07-31T15:33:33Z</cp:lastPrinted>
  <dcterms:created xsi:type="dcterms:W3CDTF">2022-06-06T06:49:54Z</dcterms:created>
  <dcterms:modified xsi:type="dcterms:W3CDTF">2025-10-03T06:10:50Z</dcterms:modified>
</cp:coreProperties>
</file>