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D:\Peddagedda\Water Levels\Monthly Water Levels\MONTHLY WATER LEVELS\"/>
    </mc:Choice>
  </mc:AlternateContent>
  <xr:revisionPtr revIDLastSave="0" documentId="13_ncr:1_{4F1EA8C9-6A2A-4808-A1ED-6C93876D11CC}" xr6:coauthVersionLast="36" xr6:coauthVersionMax="36" xr10:uidLastSave="{00000000-0000-0000-0000-000000000000}"/>
  <bookViews>
    <workbookView xWindow="-120" yWindow="-120" windowWidth="20730" windowHeight="11160" activeTab="2" xr2:uid="{00000000-000D-0000-FFFF-FFFF00000000}"/>
  </bookViews>
  <sheets>
    <sheet name="DECEMBER 2024" sheetId="12" r:id="rId1"/>
    <sheet name="November 2024" sheetId="11" r:id="rId2"/>
    <sheet name="OCTOBER 2024" sheetId="10" r:id="rId3"/>
    <sheet name="SEPTEMBER 2024" sheetId="9" r:id="rId4"/>
    <sheet name="AUGUST  2024" sheetId="8" r:id="rId5"/>
    <sheet name="JULY  2024" sheetId="7" r:id="rId6"/>
    <sheet name="JUNE 2024" sheetId="6" r:id="rId7"/>
    <sheet name="MAY  2024" sheetId="5" r:id="rId8"/>
    <sheet name="APRIL 2024" sheetId="4" r:id="rId9"/>
    <sheet name="MARCH 2024" sheetId="3" r:id="rId10"/>
    <sheet name="FEBRUARY 2024" sheetId="2" r:id="rId11"/>
    <sheet name="JANUARY 2024" sheetId="1" r:id="rId12"/>
  </sheets>
  <calcPr calcId="191029"/>
</workbook>
</file>

<file path=xl/calcChain.xml><?xml version="1.0" encoding="utf-8"?>
<calcChain xmlns="http://schemas.openxmlformats.org/spreadsheetml/2006/main">
  <c r="L35" i="6" l="1"/>
  <c r="P37" i="6"/>
  <c r="Q37" i="6"/>
  <c r="R37" i="6"/>
  <c r="S37" i="6"/>
  <c r="O37" i="6"/>
  <c r="T37" i="6"/>
  <c r="P34" i="6"/>
  <c r="Q34" i="6"/>
  <c r="R34" i="6"/>
  <c r="S34" i="6"/>
  <c r="H36" i="12"/>
  <c r="I36" i="12"/>
  <c r="J36" i="12"/>
  <c r="K36" i="12"/>
  <c r="L36" i="12"/>
  <c r="G36" i="12"/>
  <c r="O34" i="6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K35" i="11" l="1"/>
  <c r="J35" i="11"/>
  <c r="J36" i="11" s="1"/>
  <c r="I35" i="11"/>
  <c r="I36" i="11" s="1"/>
  <c r="H35" i="11"/>
  <c r="G35" i="11"/>
  <c r="G36" i="11" s="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I37" i="10"/>
  <c r="K36" i="10"/>
  <c r="J36" i="10"/>
  <c r="J37" i="10" s="1"/>
  <c r="I36" i="10"/>
  <c r="H36" i="10"/>
  <c r="G36" i="10"/>
  <c r="G37" i="10" s="1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36" i="10" s="1"/>
  <c r="L35" i="11" l="1"/>
  <c r="K35" i="9"/>
  <c r="J35" i="9"/>
  <c r="J36" i="9" s="1"/>
  <c r="I35" i="9"/>
  <c r="I36" i="9" s="1"/>
  <c r="H35" i="9"/>
  <c r="G35" i="9"/>
  <c r="G36" i="9" s="1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L7" i="9"/>
  <c r="L6" i="9"/>
  <c r="L5" i="9"/>
  <c r="L35" i="9" s="1"/>
  <c r="K36" i="8" l="1"/>
  <c r="J36" i="8"/>
  <c r="J37" i="8" s="1"/>
  <c r="I36" i="8"/>
  <c r="I37" i="8" s="1"/>
  <c r="H36" i="8"/>
  <c r="G36" i="8"/>
  <c r="G37" i="8" s="1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36" i="8" s="1"/>
  <c r="L36" i="7" l="1"/>
  <c r="K36" i="7"/>
  <c r="J36" i="7"/>
  <c r="J37" i="7" s="1"/>
  <c r="I36" i="7"/>
  <c r="I37" i="7" s="1"/>
  <c r="H36" i="7"/>
  <c r="G36" i="7"/>
  <c r="G37" i="7" s="1"/>
  <c r="K35" i="6" l="1"/>
  <c r="J35" i="6"/>
  <c r="J36" i="6" s="1"/>
  <c r="I35" i="6"/>
  <c r="I36" i="6" s="1"/>
  <c r="H35" i="6"/>
  <c r="G35" i="6"/>
  <c r="G36" i="6" s="1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G37" i="5" l="1"/>
  <c r="K36" i="5"/>
  <c r="K37" i="5" s="1"/>
  <c r="J36" i="5"/>
  <c r="J37" i="5" s="1"/>
  <c r="I36" i="5"/>
  <c r="I37" i="5" s="1"/>
  <c r="H36" i="5"/>
  <c r="H37" i="5" s="1"/>
  <c r="G36" i="5"/>
  <c r="L35" i="5"/>
  <c r="L34" i="5"/>
  <c r="L33" i="5"/>
  <c r="L32" i="5"/>
  <c r="L31" i="5"/>
  <c r="L30" i="5"/>
  <c r="L29" i="5"/>
  <c r="L28" i="5"/>
  <c r="L27" i="5"/>
  <c r="L26" i="5"/>
  <c r="L25" i="5"/>
  <c r="L24" i="5"/>
  <c r="L23" i="5"/>
  <c r="L22" i="5"/>
  <c r="L21" i="5"/>
  <c r="L20" i="5"/>
  <c r="L19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L5" i="5"/>
  <c r="L36" i="5" s="1"/>
  <c r="K35" i="4" l="1"/>
  <c r="J35" i="4"/>
  <c r="J36" i="4" s="1"/>
  <c r="I35" i="4"/>
  <c r="I36" i="4" s="1"/>
  <c r="H35" i="4"/>
  <c r="G35" i="4"/>
  <c r="G36" i="4" s="1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I37" i="3"/>
  <c r="K36" i="3"/>
  <c r="J36" i="3"/>
  <c r="J37" i="3" s="1"/>
  <c r="I36" i="3"/>
  <c r="H36" i="3"/>
  <c r="G36" i="3"/>
  <c r="G37" i="3" s="1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36" i="3" s="1"/>
  <c r="J34" i="2"/>
  <c r="J35" i="2" s="1"/>
  <c r="I34" i="2"/>
  <c r="I35" i="2" s="1"/>
  <c r="H34" i="2"/>
  <c r="G34" i="2"/>
  <c r="G35" i="2" s="1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35" i="4" l="1"/>
  <c r="G36" i="1"/>
  <c r="G37" i="1" s="1"/>
  <c r="I36" i="1"/>
  <c r="I37" i="1" s="1"/>
  <c r="J36" i="1"/>
  <c r="J37" i="1" s="1"/>
  <c r="L34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5" i="1"/>
  <c r="L5" i="1"/>
</calcChain>
</file>

<file path=xl/sharedStrings.xml><?xml version="1.0" encoding="utf-8"?>
<sst xmlns="http://schemas.openxmlformats.org/spreadsheetml/2006/main" count="276" uniqueCount="37">
  <si>
    <t>Date</t>
  </si>
  <si>
    <t>Name of the Project</t>
  </si>
  <si>
    <t>Name of the River</t>
  </si>
  <si>
    <t>FRL (in mts)</t>
  </si>
  <si>
    <t>Present Water Level (in Mts)</t>
  </si>
  <si>
    <t>Inflows (in Cusecs)</t>
  </si>
  <si>
    <t>Outflows (in Cusecs)</t>
  </si>
  <si>
    <t>Total Out flows (in Cusecs)</t>
  </si>
  <si>
    <t>Rainfall</t>
  </si>
  <si>
    <t>Assistant Executive Engineer</t>
  </si>
  <si>
    <t>Deputy Executive Engineer</t>
  </si>
  <si>
    <t>PEDDAGEDDA RESERVOIR PROJECT</t>
  </si>
  <si>
    <t>VEGAVATHI RIVER</t>
  </si>
  <si>
    <t>RIVER SLUICE IN CUSECS</t>
  </si>
  <si>
    <t>LOSS</t>
  </si>
  <si>
    <t>SPILLWAY</t>
  </si>
  <si>
    <t>PP Sub Division 2</t>
  </si>
  <si>
    <t xml:space="preserve">Saluru </t>
  </si>
  <si>
    <t>RIGHT HEAD SLUICE IN CUSECS</t>
  </si>
  <si>
    <t>RIVER DISCHARGE PARTICULARS OF PEDDAGEDDA RESERVOIR PROJECT FOR THE MONTH OF JANUARY, 2024</t>
  </si>
  <si>
    <t>Present Capacity (in Mcft)</t>
  </si>
  <si>
    <t>RIVER DISCHARGE PARTICULARS OF PEDDAGEDDA RESERVOIR PROJECT FOR THE MONTH OF FEBRUARY, 2024</t>
  </si>
  <si>
    <t>RIVER DISCHARGE PARTICULARS OF PEDDAGEDDA RESERVOIR PROJECT FOR THE MONTH OF MARCH, 2024</t>
  </si>
  <si>
    <t>Present Capacity (Mcft)</t>
  </si>
  <si>
    <t>RIVER DISCHARGE PARTICULARS OF PEDDAGEDDA RESERVOIR PROJECT FOR THE MONTH OF APRIL, 2024</t>
  </si>
  <si>
    <t>RIVER DISCHARGE PARTICULARS OF PEDDAGEDDA RESERVOIR PROJECT FOR THE MONTH OF MAY, 2024</t>
  </si>
  <si>
    <t>RIVER DISCHARGE PARTICULARS OF PEDDAGEDDA RESERVOIR PROJECT FOR THE MONTH OF JUNE, 2024</t>
  </si>
  <si>
    <t>RIVER DISCHARGE PARTICULARS OF PEDDAGEDDA RESERVOIR PROJECT FOR THE MONTH OF JULY, 2024</t>
  </si>
  <si>
    <t>FRL (in Mts)</t>
  </si>
  <si>
    <t>Total Out flows      (in Cusecs)</t>
  </si>
  <si>
    <t>RIVER SLUICE In Cusecs</t>
  </si>
  <si>
    <t>RIGHT HEAD SLUICE In Cusecs</t>
  </si>
  <si>
    <t>RIVER DISCHARGE PARTICULARS OF PEDDAGEDDA RESERVOIR PROJECT FOR THE MONTH OF AUGUST, 2024</t>
  </si>
  <si>
    <t>RIVER DISCHARGE PARTICULARS OF PEDDAGEDDA RESERVOIR PROJECT FOR THE MONTH OF SEPTEMBER, 2024</t>
  </si>
  <si>
    <t>RIVER DISCHARGE PARTICULARS OF PEDDAGEDDA RESERVOIR PROJECT FOR THE MONTH OF OCTOBER, 2024</t>
  </si>
  <si>
    <t>RIVER DISCHARGE PARTICULARS OF PEDDAGEDDA RESERVOIR PROJECT FOR THE MONTH OF NOVEMBER, 2024</t>
  </si>
  <si>
    <t>RIVER DISCHARGE PARTICULARS OF PEDDAGEDDA RESERVOIR PROJECT FOR THE MONTH OF DECDEMBER,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</si>
</sst>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dd/mm/yyyy;@"/>
  </numFmts>
  <fonts count="26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1.5"/>
      <name val="Calibri"/>
      <family val="2"/>
    </font>
    <font>
      <sz val="11.5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  <scheme val="minor"/>
    </font>
    <font>
      <sz val="11"/>
      <name val="Calibri"/>
      <charset val="134"/>
      <scheme val="minor"/>
    </font>
    <font>
      <b/>
      <sz val="12"/>
      <name val="Calibri"/>
      <charset val="134"/>
    </font>
    <font>
      <sz val="12"/>
      <name val="Calibri"/>
      <charset val="134"/>
    </font>
    <font>
      <b/>
      <sz val="11.5"/>
      <name val="Calibri"/>
      <charset val="134"/>
    </font>
    <font>
      <sz val="11.5"/>
      <name val="Calibri"/>
      <charset val="134"/>
    </font>
    <font>
      <sz val="12"/>
      <color rgb="FF000000"/>
      <name val="Calibri"/>
      <charset val="134"/>
    </font>
    <font>
      <sz val="12"/>
      <name val="Calibri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134"/>
    </font>
    <font>
      <b/>
      <sz val="11"/>
      <name val="Calibri"/>
      <family val="2"/>
      <scheme val="minor"/>
    </font>
    <font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5" fillId="0" borderId="0"/>
  </cellStyleXfs>
  <cellXfs count="152">
    <xf numFmtId="0" fontId="0" fillId="0" borderId="0" xfId="0"/>
    <xf numFmtId="2" fontId="6" fillId="0" borderId="11" xfId="0" quotePrefix="1" applyNumberFormat="1" applyFont="1" applyBorder="1" applyAlignment="1">
      <alignment horizontal="center" vertical="center" wrapText="1"/>
    </xf>
    <xf numFmtId="165" fontId="5" fillId="0" borderId="11" xfId="0" applyNumberFormat="1" applyFont="1" applyBorder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6" fontId="5" fillId="0" borderId="11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164" fontId="6" fillId="0" borderId="11" xfId="0" quotePrefix="1" applyNumberFormat="1" applyFont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 vertical="center"/>
    </xf>
    <xf numFmtId="0" fontId="2" fillId="0" borderId="0" xfId="0" applyFont="1"/>
    <xf numFmtId="164" fontId="6" fillId="0" borderId="0" xfId="0" quotePrefix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6" fillId="0" borderId="0" xfId="0" quotePrefix="1" applyNumberFormat="1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3" fillId="0" borderId="11" xfId="0" applyFont="1" applyBorder="1" applyAlignment="1">
      <alignment horizontal="center" vertical="center" wrapText="1"/>
    </xf>
    <xf numFmtId="0" fontId="0" fillId="0" borderId="0" xfId="0"/>
    <xf numFmtId="164" fontId="6" fillId="0" borderId="17" xfId="0" quotePrefix="1" applyNumberFormat="1" applyFont="1" applyBorder="1" applyAlignment="1">
      <alignment horizontal="center" vertical="center" wrapText="1"/>
    </xf>
    <xf numFmtId="164" fontId="6" fillId="0" borderId="16" xfId="0" quotePrefix="1" applyNumberFormat="1" applyFont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164" fontId="0" fillId="0" borderId="13" xfId="0" applyNumberFormat="1" applyBorder="1" applyAlignment="1">
      <alignment horizontal="center" vertical="center"/>
    </xf>
    <xf numFmtId="164" fontId="0" fillId="0" borderId="14" xfId="0" applyNumberForma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0" xfId="0"/>
    <xf numFmtId="0" fontId="0" fillId="0" borderId="0" xfId="0"/>
    <xf numFmtId="166" fontId="2" fillId="0" borderId="11" xfId="0" applyNumberFormat="1" applyFon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/>
    </xf>
    <xf numFmtId="166" fontId="2" fillId="0" borderId="19" xfId="0" applyNumberFormat="1" applyFont="1" applyBorder="1" applyAlignment="1">
      <alignment horizontal="center" vertical="center"/>
    </xf>
    <xf numFmtId="164" fontId="6" fillId="0" borderId="19" xfId="0" quotePrefix="1" applyNumberFormat="1" applyFont="1" applyBorder="1" applyAlignment="1">
      <alignment horizontal="center" vertical="center" wrapText="1"/>
    </xf>
    <xf numFmtId="2" fontId="6" fillId="0" borderId="19" xfId="0" applyNumberFormat="1" applyFont="1" applyBorder="1" applyAlignment="1">
      <alignment horizontal="center" vertical="center" wrapText="1"/>
    </xf>
    <xf numFmtId="2" fontId="6" fillId="0" borderId="19" xfId="0" quotePrefix="1" applyNumberFormat="1" applyFont="1" applyBorder="1" applyAlignment="1">
      <alignment horizontal="center" vertical="center" wrapText="1"/>
    </xf>
    <xf numFmtId="165" fontId="2" fillId="0" borderId="19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6" fontId="2" fillId="0" borderId="13" xfId="0" applyNumberFormat="1" applyFont="1" applyBorder="1" applyAlignment="1">
      <alignment horizontal="center" vertical="center"/>
    </xf>
    <xf numFmtId="164" fontId="6" fillId="0" borderId="13" xfId="0" quotePrefix="1" applyNumberFormat="1" applyFont="1" applyBorder="1" applyAlignment="1">
      <alignment horizontal="center" vertical="center" wrapText="1"/>
    </xf>
    <xf numFmtId="2" fontId="6" fillId="0" borderId="13" xfId="0" applyNumberFormat="1" applyFont="1" applyBorder="1" applyAlignment="1">
      <alignment horizontal="center" vertical="center" wrapText="1"/>
    </xf>
    <xf numFmtId="2" fontId="6" fillId="0" borderId="13" xfId="0" quotePrefix="1" applyNumberFormat="1" applyFont="1" applyBorder="1" applyAlignment="1">
      <alignment horizontal="center" vertical="center" wrapText="1"/>
    </xf>
    <xf numFmtId="165" fontId="2" fillId="0" borderId="13" xfId="0" applyNumberFormat="1" applyFont="1" applyBorder="1" applyAlignment="1">
      <alignment horizontal="center"/>
    </xf>
    <xf numFmtId="164" fontId="0" fillId="0" borderId="13" xfId="0" applyNumberFormat="1" applyFill="1" applyBorder="1" applyAlignment="1">
      <alignment horizontal="center" vertical="center"/>
    </xf>
    <xf numFmtId="164" fontId="6" fillId="0" borderId="13" xfId="0" applyNumberFormat="1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6" fontId="10" fillId="0" borderId="13" xfId="0" applyNumberFormat="1" applyFont="1" applyBorder="1" applyAlignment="1">
      <alignment horizontal="center" vertical="center"/>
    </xf>
    <xf numFmtId="164" fontId="13" fillId="0" borderId="13" xfId="0" quotePrefix="1" applyNumberFormat="1" applyFont="1" applyBorder="1" applyAlignment="1">
      <alignment horizontal="center" vertical="center" wrapText="1"/>
    </xf>
    <xf numFmtId="164" fontId="14" fillId="0" borderId="13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2" fontId="13" fillId="0" borderId="13" xfId="0" applyNumberFormat="1" applyFont="1" applyBorder="1" applyAlignment="1">
      <alignment horizontal="center" vertical="center" wrapText="1"/>
    </xf>
    <xf numFmtId="165" fontId="10" fillId="0" borderId="13" xfId="0" applyNumberFormat="1" applyFont="1" applyBorder="1" applyAlignment="1">
      <alignment horizontal="center"/>
    </xf>
    <xf numFmtId="164" fontId="13" fillId="0" borderId="13" xfId="0" applyNumberFormat="1" applyFont="1" applyBorder="1" applyAlignment="1">
      <alignment horizontal="center" vertical="center" wrapText="1"/>
    </xf>
    <xf numFmtId="165" fontId="6" fillId="0" borderId="0" xfId="0" quotePrefix="1" applyNumberFormat="1" applyFont="1" applyAlignment="1">
      <alignment horizontal="center" vertical="center" wrapText="1"/>
    </xf>
    <xf numFmtId="1" fontId="13" fillId="0" borderId="13" xfId="0" applyNumberFormat="1" applyFont="1" applyBorder="1" applyAlignment="1">
      <alignment horizontal="center" vertical="center" wrapText="1"/>
    </xf>
    <xf numFmtId="0" fontId="15" fillId="0" borderId="0" xfId="1"/>
    <xf numFmtId="0" fontId="18" fillId="0" borderId="7" xfId="1" applyFont="1" applyBorder="1" applyAlignment="1">
      <alignment horizontal="center" vertical="center" wrapText="1"/>
    </xf>
    <xf numFmtId="166" fontId="17" fillId="0" borderId="13" xfId="1" applyNumberFormat="1" applyFont="1" applyBorder="1" applyAlignment="1">
      <alignment horizontal="center" vertical="center"/>
    </xf>
    <xf numFmtId="164" fontId="20" fillId="0" borderId="13" xfId="1" applyNumberFormat="1" applyFont="1" applyBorder="1" applyAlignment="1">
      <alignment horizontal="center" vertical="center" wrapText="1"/>
    </xf>
    <xf numFmtId="164" fontId="21" fillId="0" borderId="13" xfId="1" applyNumberFormat="1" applyFont="1" applyBorder="1" applyAlignment="1">
      <alignment horizontal="center" vertical="center"/>
    </xf>
    <xf numFmtId="0" fontId="21" fillId="0" borderId="13" xfId="1" applyFont="1" applyBorder="1" applyAlignment="1">
      <alignment horizontal="center" vertical="center"/>
    </xf>
    <xf numFmtId="1" fontId="20" fillId="0" borderId="13" xfId="1" applyNumberFormat="1" applyFont="1" applyBorder="1" applyAlignment="1">
      <alignment horizontal="center" vertical="center" wrapText="1"/>
    </xf>
    <xf numFmtId="2" fontId="20" fillId="0" borderId="13" xfId="1" applyNumberFormat="1" applyFont="1" applyBorder="1" applyAlignment="1">
      <alignment horizontal="center" vertical="center" wrapText="1"/>
    </xf>
    <xf numFmtId="165" fontId="17" fillId="0" borderId="13" xfId="1" applyNumberFormat="1" applyFont="1" applyBorder="1" applyAlignment="1">
      <alignment horizontal="center"/>
    </xf>
    <xf numFmtId="164" fontId="15" fillId="0" borderId="0" xfId="1" applyNumberFormat="1"/>
    <xf numFmtId="166" fontId="22" fillId="0" borderId="0" xfId="1" applyNumberFormat="1" applyFont="1" applyAlignment="1">
      <alignment horizontal="center" vertical="center"/>
    </xf>
    <xf numFmtId="0" fontId="22" fillId="0" borderId="0" xfId="1" applyFont="1"/>
    <xf numFmtId="164" fontId="23" fillId="0" borderId="0" xfId="1" applyNumberFormat="1" applyFont="1" applyAlignment="1">
      <alignment horizontal="center" vertical="center" wrapText="1"/>
    </xf>
    <xf numFmtId="0" fontId="15" fillId="0" borderId="0" xfId="1" applyAlignment="1">
      <alignment horizontal="center" vertical="center"/>
    </xf>
    <xf numFmtId="165" fontId="23" fillId="0" borderId="0" xfId="1" applyNumberFormat="1" applyFont="1" applyAlignment="1">
      <alignment horizontal="center" vertical="center" wrapText="1"/>
    </xf>
    <xf numFmtId="2" fontId="15" fillId="0" borderId="0" xfId="1" applyNumberFormat="1"/>
    <xf numFmtId="14" fontId="22" fillId="0" borderId="0" xfId="1" applyNumberFormat="1" applyFont="1" applyAlignment="1">
      <alignment horizontal="center" vertical="center"/>
    </xf>
    <xf numFmtId="164" fontId="22" fillId="0" borderId="0" xfId="1" applyNumberFormat="1" applyFont="1" applyAlignment="1">
      <alignment horizontal="center" vertical="center"/>
    </xf>
    <xf numFmtId="0" fontId="23" fillId="0" borderId="0" xfId="1" applyFont="1" applyAlignment="1">
      <alignment horizontal="center" vertical="center" wrapText="1"/>
    </xf>
    <xf numFmtId="0" fontId="22" fillId="0" borderId="0" xfId="1" applyFont="1" applyAlignment="1">
      <alignment horizontal="center" vertical="center"/>
    </xf>
    <xf numFmtId="165" fontId="22" fillId="0" borderId="0" xfId="1" applyNumberFormat="1" applyFont="1" applyAlignment="1">
      <alignment horizontal="center"/>
    </xf>
    <xf numFmtId="0" fontId="22" fillId="0" borderId="0" xfId="1" applyFont="1" applyAlignment="1">
      <alignment horizontal="center"/>
    </xf>
    <xf numFmtId="166" fontId="17" fillId="0" borderId="0" xfId="1" applyNumberFormat="1" applyFont="1" applyBorder="1" applyAlignment="1">
      <alignment horizontal="center" vertical="center"/>
    </xf>
    <xf numFmtId="0" fontId="17" fillId="0" borderId="0" xfId="1" applyFont="1" applyBorder="1"/>
    <xf numFmtId="164" fontId="20" fillId="0" borderId="0" xfId="1" applyNumberFormat="1" applyFont="1" applyBorder="1" applyAlignment="1">
      <alignment horizontal="center" vertical="center" wrapText="1"/>
    </xf>
    <xf numFmtId="164" fontId="21" fillId="0" borderId="0" xfId="1" applyNumberFormat="1" applyFont="1" applyBorder="1" applyAlignment="1">
      <alignment horizontal="center" vertical="center"/>
    </xf>
    <xf numFmtId="0" fontId="21" fillId="0" borderId="0" xfId="1" applyFont="1" applyBorder="1" applyAlignment="1">
      <alignment horizontal="center" vertical="center"/>
    </xf>
    <xf numFmtId="165" fontId="17" fillId="0" borderId="0" xfId="1" applyNumberFormat="1" applyFont="1" applyBorder="1" applyAlignment="1">
      <alignment horizontal="center"/>
    </xf>
    <xf numFmtId="0" fontId="24" fillId="0" borderId="0" xfId="1" applyFont="1"/>
    <xf numFmtId="165" fontId="0" fillId="0" borderId="0" xfId="0" applyNumberFormat="1"/>
    <xf numFmtId="0" fontId="1" fillId="0" borderId="0" xfId="1" applyFont="1" applyAlignment="1">
      <alignment horizontal="center"/>
    </xf>
    <xf numFmtId="0" fontId="24" fillId="0" borderId="0" xfId="1" applyFont="1"/>
    <xf numFmtId="0" fontId="18" fillId="0" borderId="7" xfId="1" applyFont="1" applyBorder="1" applyAlignment="1">
      <alignment horizontal="center" vertical="center"/>
    </xf>
    <xf numFmtId="0" fontId="19" fillId="0" borderId="12" xfId="1" applyFont="1" applyBorder="1"/>
    <xf numFmtId="164" fontId="17" fillId="0" borderId="13" xfId="1" applyNumberFormat="1" applyFont="1" applyBorder="1" applyAlignment="1">
      <alignment horizontal="center" vertical="center" textRotation="90"/>
    </xf>
    <xf numFmtId="0" fontId="17" fillId="0" borderId="13" xfId="1" applyFont="1" applyBorder="1"/>
    <xf numFmtId="0" fontId="1" fillId="0" borderId="0" xfId="1" applyFont="1" applyAlignment="1">
      <alignment horizontal="center" vertical="center"/>
    </xf>
    <xf numFmtId="0" fontId="16" fillId="0" borderId="1" xfId="1" applyFont="1" applyBorder="1" applyAlignment="1">
      <alignment horizontal="center" vertical="center" wrapText="1"/>
    </xf>
    <xf numFmtId="0" fontId="17" fillId="0" borderId="2" xfId="1" applyFont="1" applyBorder="1"/>
    <xf numFmtId="0" fontId="17" fillId="0" borderId="3" xfId="1" applyFont="1" applyBorder="1"/>
    <xf numFmtId="0" fontId="17" fillId="0" borderId="4" xfId="1" applyFont="1" applyBorder="1"/>
    <xf numFmtId="0" fontId="17" fillId="0" borderId="5" xfId="1" applyFont="1" applyBorder="1"/>
    <xf numFmtId="0" fontId="17" fillId="0" borderId="6" xfId="1" applyFont="1" applyBorder="1"/>
    <xf numFmtId="0" fontId="18" fillId="0" borderId="7" xfId="1" applyFont="1" applyBorder="1" applyAlignment="1">
      <alignment horizontal="center" vertical="center" wrapText="1"/>
    </xf>
    <xf numFmtId="0" fontId="18" fillId="0" borderId="8" xfId="1" applyFont="1" applyBorder="1" applyAlignment="1">
      <alignment horizontal="center" wrapText="1"/>
    </xf>
    <xf numFmtId="0" fontId="19" fillId="0" borderId="9" xfId="1" applyFont="1" applyBorder="1"/>
    <xf numFmtId="0" fontId="22" fillId="0" borderId="0" xfId="1" applyFont="1" applyAlignment="1">
      <alignment horizontal="center"/>
    </xf>
    <xf numFmtId="0" fontId="15" fillId="0" borderId="0" xfId="1"/>
    <xf numFmtId="0" fontId="22" fillId="0" borderId="0" xfId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/>
    <xf numFmtId="0" fontId="11" fillId="0" borderId="7" xfId="0" applyFont="1" applyBorder="1" applyAlignment="1">
      <alignment horizontal="center" vertical="center"/>
    </xf>
    <xf numFmtId="0" fontId="12" fillId="0" borderId="12" xfId="0" applyFont="1" applyBorder="1"/>
    <xf numFmtId="164" fontId="10" fillId="0" borderId="13" xfId="0" applyNumberFormat="1" applyFont="1" applyBorder="1" applyAlignment="1">
      <alignment horizontal="center" vertical="center" textRotation="90"/>
    </xf>
    <xf numFmtId="0" fontId="10" fillId="0" borderId="13" xfId="0" applyFont="1" applyBorder="1"/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wrapText="1"/>
    </xf>
    <xf numFmtId="0" fontId="12" fillId="0" borderId="9" xfId="0" applyFont="1" applyBorder="1"/>
    <xf numFmtId="0" fontId="1" fillId="0" borderId="7" xfId="0" applyFont="1" applyBorder="1" applyAlignment="1">
      <alignment horizontal="center" vertical="center"/>
    </xf>
    <xf numFmtId="0" fontId="2" fillId="0" borderId="12" xfId="0" applyFont="1" applyBorder="1"/>
    <xf numFmtId="164" fontId="2" fillId="0" borderId="13" xfId="0" applyNumberFormat="1" applyFont="1" applyBorder="1" applyAlignment="1">
      <alignment horizontal="center" vertical="center" textRotation="90"/>
    </xf>
    <xf numFmtId="0" fontId="2" fillId="0" borderId="13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wrapText="1"/>
    </xf>
    <xf numFmtId="0" fontId="2" fillId="0" borderId="9" xfId="0" applyFont="1" applyBorder="1"/>
    <xf numFmtId="0" fontId="1" fillId="0" borderId="7" xfId="0" applyFont="1" applyBorder="1" applyAlignment="1">
      <alignment horizontal="center" vertical="center" wrapText="1"/>
    </xf>
    <xf numFmtId="0" fontId="2" fillId="0" borderId="10" xfId="0" applyFont="1" applyBorder="1"/>
    <xf numFmtId="164" fontId="2" fillId="0" borderId="7" xfId="0" applyNumberFormat="1" applyFont="1" applyBorder="1" applyAlignment="1">
      <alignment horizontal="center" vertical="center" textRotation="90"/>
    </xf>
    <xf numFmtId="0" fontId="2" fillId="0" borderId="15" xfId="0" applyFont="1" applyBorder="1"/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 textRotation="90"/>
    </xf>
    <xf numFmtId="0" fontId="25" fillId="0" borderId="0" xfId="0" applyFont="1" applyAlignment="1">
      <alignment horizontal="center" vertical="center" wrapText="1"/>
    </xf>
    <xf numFmtId="0" fontId="25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4"/>
  <sheetViews>
    <sheetView topLeftCell="A25" zoomScaleNormal="100" workbookViewId="0">
      <selection activeCell="O37" sqref="O37"/>
    </sheetView>
  </sheetViews>
  <sheetFormatPr defaultColWidth="14.42578125" defaultRowHeight="15" customHeight="1"/>
  <cols>
    <col min="1" max="1" width="12.42578125" style="63" customWidth="1"/>
    <col min="2" max="2" width="7.7109375" style="63" customWidth="1"/>
    <col min="3" max="3" width="4.28515625" style="63" customWidth="1"/>
    <col min="4" max="4" width="10" style="63" customWidth="1"/>
    <col min="5" max="6" width="9.7109375" style="63" customWidth="1"/>
    <col min="7" max="7" width="8.85546875" style="63" customWidth="1"/>
    <col min="8" max="8" width="10" style="63" customWidth="1"/>
    <col min="9" max="10" width="8.28515625" style="63" customWidth="1"/>
    <col min="11" max="11" width="6.140625" style="63" customWidth="1"/>
    <col min="12" max="12" width="8.5703125" style="63" customWidth="1"/>
    <col min="13" max="13" width="7.7109375" style="63" customWidth="1"/>
    <col min="14" max="16384" width="14.42578125" style="63"/>
  </cols>
  <sheetData>
    <row r="1" spans="1:13" ht="14.25" customHeight="1">
      <c r="A1" s="100" t="s">
        <v>36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2"/>
    </row>
    <row r="2" spans="1:13" ht="15.75" customHeight="1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1:13" ht="14.25" customHeight="1">
      <c r="A3" s="106" t="s">
        <v>0</v>
      </c>
      <c r="B3" s="106" t="s">
        <v>1</v>
      </c>
      <c r="C3" s="106" t="s">
        <v>2</v>
      </c>
      <c r="D3" s="106" t="s">
        <v>28</v>
      </c>
      <c r="E3" s="106" t="s">
        <v>4</v>
      </c>
      <c r="F3" s="106" t="s">
        <v>23</v>
      </c>
      <c r="G3" s="106" t="s">
        <v>5</v>
      </c>
      <c r="H3" s="107" t="s">
        <v>6</v>
      </c>
      <c r="I3" s="108"/>
      <c r="J3" s="108"/>
      <c r="K3" s="108"/>
      <c r="L3" s="106" t="s">
        <v>29</v>
      </c>
      <c r="M3" s="95" t="s">
        <v>8</v>
      </c>
    </row>
    <row r="4" spans="1:13" ht="83.25" customHeight="1">
      <c r="A4" s="96"/>
      <c r="B4" s="96"/>
      <c r="C4" s="96"/>
      <c r="D4" s="96"/>
      <c r="E4" s="96"/>
      <c r="F4" s="96"/>
      <c r="G4" s="96"/>
      <c r="H4" s="64" t="s">
        <v>15</v>
      </c>
      <c r="I4" s="64" t="s">
        <v>30</v>
      </c>
      <c r="J4" s="64" t="s">
        <v>31</v>
      </c>
      <c r="K4" s="64" t="s">
        <v>14</v>
      </c>
      <c r="L4" s="96"/>
      <c r="M4" s="96"/>
    </row>
    <row r="5" spans="1:13" ht="19.5" customHeight="1">
      <c r="A5" s="65">
        <v>45627</v>
      </c>
      <c r="B5" s="97" t="s">
        <v>11</v>
      </c>
      <c r="C5" s="97" t="s">
        <v>12</v>
      </c>
      <c r="D5" s="66">
        <v>213.8</v>
      </c>
      <c r="E5" s="67">
        <v>210.23</v>
      </c>
      <c r="F5" s="66">
        <v>586.13800000000003</v>
      </c>
      <c r="G5" s="68">
        <v>70</v>
      </c>
      <c r="H5" s="69">
        <v>0</v>
      </c>
      <c r="I5" s="69">
        <v>70</v>
      </c>
      <c r="J5" s="69">
        <v>30</v>
      </c>
      <c r="K5" s="69">
        <v>0</v>
      </c>
      <c r="L5" s="70">
        <f>H5+I5+J5+K5</f>
        <v>100</v>
      </c>
      <c r="M5" s="71"/>
    </row>
    <row r="6" spans="1:13" ht="19.5" customHeight="1">
      <c r="A6" s="65">
        <v>45628</v>
      </c>
      <c r="B6" s="98"/>
      <c r="C6" s="98"/>
      <c r="D6" s="66">
        <v>213.8</v>
      </c>
      <c r="E6" s="67">
        <v>210.27</v>
      </c>
      <c r="F6" s="66">
        <v>589.60299999999995</v>
      </c>
      <c r="G6" s="68">
        <v>110</v>
      </c>
      <c r="H6" s="69">
        <v>0</v>
      </c>
      <c r="I6" s="69">
        <v>70</v>
      </c>
      <c r="J6" s="69">
        <v>0</v>
      </c>
      <c r="K6" s="69">
        <v>0</v>
      </c>
      <c r="L6" s="70">
        <f t="shared" ref="L6:L35" si="0">H6+I6+J6+K6</f>
        <v>70</v>
      </c>
      <c r="M6" s="71"/>
    </row>
    <row r="7" spans="1:13" ht="19.5" customHeight="1">
      <c r="A7" s="65">
        <v>45629</v>
      </c>
      <c r="B7" s="98"/>
      <c r="C7" s="98"/>
      <c r="D7" s="66">
        <v>213.8</v>
      </c>
      <c r="E7" s="67">
        <v>210.27</v>
      </c>
      <c r="F7" s="66">
        <v>589.60299999999995</v>
      </c>
      <c r="G7" s="68">
        <v>70</v>
      </c>
      <c r="H7" s="69">
        <v>0</v>
      </c>
      <c r="I7" s="69">
        <v>70</v>
      </c>
      <c r="J7" s="69">
        <v>0</v>
      </c>
      <c r="K7" s="69">
        <v>0</v>
      </c>
      <c r="L7" s="70">
        <f t="shared" si="0"/>
        <v>70</v>
      </c>
      <c r="M7" s="71"/>
    </row>
    <row r="8" spans="1:13" ht="19.5" customHeight="1">
      <c r="A8" s="65">
        <v>45630</v>
      </c>
      <c r="B8" s="98"/>
      <c r="C8" s="98"/>
      <c r="D8" s="66">
        <v>213.8</v>
      </c>
      <c r="E8" s="67">
        <v>210.32</v>
      </c>
      <c r="F8" s="66">
        <v>593.93499999999995</v>
      </c>
      <c r="G8" s="68">
        <v>90</v>
      </c>
      <c r="H8" s="69">
        <v>0</v>
      </c>
      <c r="I8" s="69">
        <v>40</v>
      </c>
      <c r="J8" s="69">
        <v>0</v>
      </c>
      <c r="K8" s="69">
        <v>0</v>
      </c>
      <c r="L8" s="70">
        <f t="shared" si="0"/>
        <v>40</v>
      </c>
      <c r="M8" s="71"/>
    </row>
    <row r="9" spans="1:13" ht="19.5" customHeight="1">
      <c r="A9" s="65">
        <v>45631</v>
      </c>
      <c r="B9" s="98"/>
      <c r="C9" s="98"/>
      <c r="D9" s="66">
        <v>213.8</v>
      </c>
      <c r="E9" s="67">
        <v>210.38</v>
      </c>
      <c r="F9" s="66">
        <v>599.13300000000004</v>
      </c>
      <c r="G9" s="68">
        <v>100</v>
      </c>
      <c r="H9" s="69">
        <v>0</v>
      </c>
      <c r="I9" s="69">
        <v>40</v>
      </c>
      <c r="J9" s="69">
        <v>0</v>
      </c>
      <c r="K9" s="69">
        <v>0</v>
      </c>
      <c r="L9" s="70">
        <f t="shared" si="0"/>
        <v>40</v>
      </c>
      <c r="M9" s="71"/>
    </row>
    <row r="10" spans="1:13" ht="19.5" customHeight="1">
      <c r="A10" s="65">
        <v>45632</v>
      </c>
      <c r="B10" s="98"/>
      <c r="C10" s="98"/>
      <c r="D10" s="66">
        <v>213.8</v>
      </c>
      <c r="E10" s="67">
        <v>210.43</v>
      </c>
      <c r="F10" s="66">
        <v>603.45600000000002</v>
      </c>
      <c r="G10" s="68">
        <v>90</v>
      </c>
      <c r="H10" s="69">
        <v>0</v>
      </c>
      <c r="I10" s="69">
        <v>40</v>
      </c>
      <c r="J10" s="69">
        <v>0</v>
      </c>
      <c r="K10" s="69">
        <v>0</v>
      </c>
      <c r="L10" s="70">
        <f t="shared" si="0"/>
        <v>40</v>
      </c>
      <c r="M10" s="71"/>
    </row>
    <row r="11" spans="1:13" ht="19.5" customHeight="1">
      <c r="A11" s="65">
        <v>45633</v>
      </c>
      <c r="B11" s="98"/>
      <c r="C11" s="98"/>
      <c r="D11" s="66">
        <v>213.8</v>
      </c>
      <c r="E11" s="67">
        <v>210.39</v>
      </c>
      <c r="F11" s="66">
        <v>599.99900000000002</v>
      </c>
      <c r="G11" s="68">
        <v>0</v>
      </c>
      <c r="H11" s="69">
        <v>0</v>
      </c>
      <c r="I11" s="69">
        <v>40</v>
      </c>
      <c r="J11" s="69">
        <v>0</v>
      </c>
      <c r="K11" s="69">
        <v>0</v>
      </c>
      <c r="L11" s="70">
        <f t="shared" si="0"/>
        <v>40</v>
      </c>
      <c r="M11" s="71"/>
    </row>
    <row r="12" spans="1:13" ht="19.5" customHeight="1">
      <c r="A12" s="65">
        <v>45634</v>
      </c>
      <c r="B12" s="98"/>
      <c r="C12" s="98"/>
      <c r="D12" s="66">
        <v>213.8</v>
      </c>
      <c r="E12" s="67">
        <v>210.39</v>
      </c>
      <c r="F12" s="66">
        <v>599.99900000000002</v>
      </c>
      <c r="G12" s="68">
        <v>40</v>
      </c>
      <c r="H12" s="69">
        <v>0</v>
      </c>
      <c r="I12" s="69">
        <v>40</v>
      </c>
      <c r="J12" s="69">
        <v>0</v>
      </c>
      <c r="K12" s="69">
        <v>0</v>
      </c>
      <c r="L12" s="70">
        <f t="shared" si="0"/>
        <v>40</v>
      </c>
      <c r="M12" s="71"/>
    </row>
    <row r="13" spans="1:13" ht="19.5" customHeight="1">
      <c r="A13" s="65">
        <v>45635</v>
      </c>
      <c r="B13" s="98"/>
      <c r="C13" s="98"/>
      <c r="D13" s="66">
        <v>213.8</v>
      </c>
      <c r="E13" s="67">
        <v>210.39</v>
      </c>
      <c r="F13" s="66">
        <v>599.99900000000002</v>
      </c>
      <c r="G13" s="68">
        <v>40</v>
      </c>
      <c r="H13" s="69">
        <v>0</v>
      </c>
      <c r="I13" s="69">
        <v>40</v>
      </c>
      <c r="J13" s="69">
        <v>0</v>
      </c>
      <c r="K13" s="69">
        <v>0</v>
      </c>
      <c r="L13" s="70">
        <f t="shared" si="0"/>
        <v>40</v>
      </c>
      <c r="M13" s="71"/>
    </row>
    <row r="14" spans="1:13" ht="19.5" customHeight="1">
      <c r="A14" s="65">
        <v>45636</v>
      </c>
      <c r="B14" s="98"/>
      <c r="C14" s="98"/>
      <c r="D14" s="66">
        <v>213.8</v>
      </c>
      <c r="E14" s="67">
        <v>210.42</v>
      </c>
      <c r="F14" s="66">
        <v>602.59799999999996</v>
      </c>
      <c r="G14" s="68">
        <v>45</v>
      </c>
      <c r="H14" s="69">
        <v>0</v>
      </c>
      <c r="I14" s="69">
        <v>0</v>
      </c>
      <c r="J14" s="69">
        <v>0</v>
      </c>
      <c r="K14" s="69">
        <v>15</v>
      </c>
      <c r="L14" s="70">
        <f t="shared" si="0"/>
        <v>15</v>
      </c>
      <c r="M14" s="71"/>
    </row>
    <row r="15" spans="1:13" ht="19.5" customHeight="1">
      <c r="A15" s="65">
        <v>45637</v>
      </c>
      <c r="B15" s="98"/>
      <c r="C15" s="98"/>
      <c r="D15" s="66">
        <v>213.8</v>
      </c>
      <c r="E15" s="67">
        <v>210.44</v>
      </c>
      <c r="F15" s="66">
        <v>604.33100000000002</v>
      </c>
      <c r="G15" s="68">
        <v>35</v>
      </c>
      <c r="H15" s="69">
        <v>0</v>
      </c>
      <c r="I15" s="69">
        <v>0</v>
      </c>
      <c r="J15" s="69">
        <v>0</v>
      </c>
      <c r="K15" s="69">
        <v>15</v>
      </c>
      <c r="L15" s="70">
        <f t="shared" si="0"/>
        <v>15</v>
      </c>
      <c r="M15" s="71"/>
    </row>
    <row r="16" spans="1:13" ht="19.5" customHeight="1">
      <c r="A16" s="65">
        <v>45638</v>
      </c>
      <c r="B16" s="98"/>
      <c r="C16" s="98"/>
      <c r="D16" s="66">
        <v>213.8</v>
      </c>
      <c r="E16" s="67">
        <v>210.46</v>
      </c>
      <c r="F16" s="66">
        <v>606.06399999999996</v>
      </c>
      <c r="G16" s="68">
        <v>35</v>
      </c>
      <c r="H16" s="69">
        <v>0</v>
      </c>
      <c r="I16" s="69">
        <v>0</v>
      </c>
      <c r="J16" s="69">
        <v>0</v>
      </c>
      <c r="K16" s="69">
        <v>15</v>
      </c>
      <c r="L16" s="70">
        <f t="shared" si="0"/>
        <v>15</v>
      </c>
      <c r="M16" s="71"/>
    </row>
    <row r="17" spans="1:14" ht="19.5" customHeight="1">
      <c r="A17" s="65">
        <v>45639</v>
      </c>
      <c r="B17" s="98"/>
      <c r="C17" s="98"/>
      <c r="D17" s="66">
        <v>213.8</v>
      </c>
      <c r="E17" s="67">
        <v>210.49</v>
      </c>
      <c r="F17" s="66">
        <v>608.66300000000001</v>
      </c>
      <c r="G17" s="68">
        <v>45</v>
      </c>
      <c r="H17" s="69">
        <v>0</v>
      </c>
      <c r="I17" s="69">
        <v>0</v>
      </c>
      <c r="J17" s="69">
        <v>0</v>
      </c>
      <c r="K17" s="69">
        <v>15</v>
      </c>
      <c r="L17" s="70">
        <f t="shared" si="0"/>
        <v>15</v>
      </c>
      <c r="M17" s="71"/>
    </row>
    <row r="18" spans="1:14" ht="19.5" customHeight="1">
      <c r="A18" s="65">
        <v>45640</v>
      </c>
      <c r="B18" s="98"/>
      <c r="C18" s="98"/>
      <c r="D18" s="66">
        <v>213.8</v>
      </c>
      <c r="E18" s="67">
        <v>210.49</v>
      </c>
      <c r="F18" s="66">
        <v>608.66300000000001</v>
      </c>
      <c r="G18" s="68">
        <v>15</v>
      </c>
      <c r="H18" s="69">
        <v>0</v>
      </c>
      <c r="I18" s="69">
        <v>0</v>
      </c>
      <c r="J18" s="69">
        <v>0</v>
      </c>
      <c r="K18" s="69">
        <v>15</v>
      </c>
      <c r="L18" s="70">
        <f t="shared" si="0"/>
        <v>15</v>
      </c>
      <c r="M18" s="71"/>
    </row>
    <row r="19" spans="1:14" ht="19.5" customHeight="1">
      <c r="A19" s="65">
        <v>45641</v>
      </c>
      <c r="B19" s="98"/>
      <c r="C19" s="98"/>
      <c r="D19" s="66">
        <v>213.8</v>
      </c>
      <c r="E19" s="67">
        <v>210.54</v>
      </c>
      <c r="F19" s="66">
        <v>612.99400000000003</v>
      </c>
      <c r="G19" s="68">
        <v>65</v>
      </c>
      <c r="H19" s="69">
        <v>0</v>
      </c>
      <c r="I19" s="69">
        <v>0</v>
      </c>
      <c r="J19" s="69">
        <v>0</v>
      </c>
      <c r="K19" s="69">
        <v>15</v>
      </c>
      <c r="L19" s="70">
        <f t="shared" si="0"/>
        <v>15</v>
      </c>
      <c r="M19" s="71"/>
    </row>
    <row r="20" spans="1:14" ht="19.5" customHeight="1">
      <c r="A20" s="65">
        <v>45642</v>
      </c>
      <c r="B20" s="98"/>
      <c r="C20" s="98"/>
      <c r="D20" s="66">
        <v>213.8</v>
      </c>
      <c r="E20" s="67">
        <v>210.54</v>
      </c>
      <c r="F20" s="66">
        <v>612.99400000000003</v>
      </c>
      <c r="G20" s="68">
        <v>15</v>
      </c>
      <c r="H20" s="69">
        <v>0</v>
      </c>
      <c r="I20" s="69">
        <v>0</v>
      </c>
      <c r="J20" s="69">
        <v>0</v>
      </c>
      <c r="K20" s="69">
        <v>15</v>
      </c>
      <c r="L20" s="70">
        <f t="shared" si="0"/>
        <v>15</v>
      </c>
      <c r="M20" s="71"/>
    </row>
    <row r="21" spans="1:14" ht="19.5" customHeight="1">
      <c r="A21" s="65">
        <v>45643</v>
      </c>
      <c r="B21" s="98"/>
      <c r="C21" s="98"/>
      <c r="D21" s="66">
        <v>213.8</v>
      </c>
      <c r="E21" s="67">
        <v>210.54</v>
      </c>
      <c r="F21" s="66">
        <v>612.99400000000003</v>
      </c>
      <c r="G21" s="68">
        <v>15</v>
      </c>
      <c r="H21" s="69">
        <v>0</v>
      </c>
      <c r="I21" s="69">
        <v>0</v>
      </c>
      <c r="J21" s="69">
        <v>0</v>
      </c>
      <c r="K21" s="69">
        <v>15</v>
      </c>
      <c r="L21" s="70">
        <f t="shared" si="0"/>
        <v>15</v>
      </c>
      <c r="M21" s="71"/>
    </row>
    <row r="22" spans="1:14" ht="19.5" customHeight="1">
      <c r="A22" s="65">
        <v>45644</v>
      </c>
      <c r="B22" s="98"/>
      <c r="C22" s="98"/>
      <c r="D22" s="66">
        <v>213.8</v>
      </c>
      <c r="E22" s="67">
        <v>210.59</v>
      </c>
      <c r="F22" s="66">
        <v>617.32600000000002</v>
      </c>
      <c r="G22" s="68">
        <v>65</v>
      </c>
      <c r="H22" s="69">
        <v>0</v>
      </c>
      <c r="I22" s="69">
        <v>0</v>
      </c>
      <c r="J22" s="69">
        <v>0</v>
      </c>
      <c r="K22" s="69">
        <v>15</v>
      </c>
      <c r="L22" s="70">
        <f t="shared" si="0"/>
        <v>15</v>
      </c>
      <c r="M22" s="71"/>
    </row>
    <row r="23" spans="1:14" ht="19.5" customHeight="1">
      <c r="A23" s="65">
        <v>45645</v>
      </c>
      <c r="B23" s="98"/>
      <c r="C23" s="98"/>
      <c r="D23" s="66">
        <v>213.8</v>
      </c>
      <c r="E23" s="67">
        <v>210.59</v>
      </c>
      <c r="F23" s="66">
        <v>617.32600000000002</v>
      </c>
      <c r="G23" s="68">
        <v>15</v>
      </c>
      <c r="H23" s="69">
        <v>0</v>
      </c>
      <c r="I23" s="69">
        <v>0</v>
      </c>
      <c r="J23" s="69">
        <v>0</v>
      </c>
      <c r="K23" s="69">
        <v>15</v>
      </c>
      <c r="L23" s="70">
        <f t="shared" si="0"/>
        <v>15</v>
      </c>
      <c r="M23" s="71"/>
    </row>
    <row r="24" spans="1:14" ht="19.5" customHeight="1">
      <c r="A24" s="65">
        <v>45646</v>
      </c>
      <c r="B24" s="98"/>
      <c r="C24" s="98"/>
      <c r="D24" s="66">
        <v>213.8</v>
      </c>
      <c r="E24" s="67">
        <v>210.65</v>
      </c>
      <c r="F24" s="66">
        <v>622.52499999999998</v>
      </c>
      <c r="G24" s="68">
        <v>75</v>
      </c>
      <c r="H24" s="69">
        <v>0</v>
      </c>
      <c r="I24" s="69">
        <v>0</v>
      </c>
      <c r="J24" s="69">
        <v>0</v>
      </c>
      <c r="K24" s="69">
        <v>15</v>
      </c>
      <c r="L24" s="70">
        <f t="shared" si="0"/>
        <v>15</v>
      </c>
      <c r="M24" s="71"/>
    </row>
    <row r="25" spans="1:14" ht="19.5" customHeight="1">
      <c r="A25" s="65">
        <v>45647</v>
      </c>
      <c r="B25" s="98"/>
      <c r="C25" s="98"/>
      <c r="D25" s="66">
        <v>213.8</v>
      </c>
      <c r="E25" s="67">
        <v>211</v>
      </c>
      <c r="F25" s="66">
        <v>656.43</v>
      </c>
      <c r="G25" s="68">
        <v>407</v>
      </c>
      <c r="H25" s="69">
        <v>0</v>
      </c>
      <c r="I25" s="69">
        <v>0</v>
      </c>
      <c r="J25" s="69">
        <v>0</v>
      </c>
      <c r="K25" s="69">
        <v>15</v>
      </c>
      <c r="L25" s="70">
        <f t="shared" si="0"/>
        <v>15</v>
      </c>
      <c r="M25" s="71"/>
    </row>
    <row r="26" spans="1:14" ht="19.5" customHeight="1">
      <c r="A26" s="65">
        <v>45648</v>
      </c>
      <c r="B26" s="98"/>
      <c r="C26" s="98"/>
      <c r="D26" s="66">
        <v>213.8</v>
      </c>
      <c r="E26" s="67">
        <v>211.15</v>
      </c>
      <c r="F26" s="66">
        <v>672.11500000000001</v>
      </c>
      <c r="G26" s="68">
        <v>197</v>
      </c>
      <c r="H26" s="69">
        <v>0</v>
      </c>
      <c r="I26" s="69">
        <v>0</v>
      </c>
      <c r="J26" s="69">
        <v>0</v>
      </c>
      <c r="K26" s="69">
        <v>15</v>
      </c>
      <c r="L26" s="70">
        <f t="shared" si="0"/>
        <v>15</v>
      </c>
      <c r="M26" s="71"/>
      <c r="N26" s="72"/>
    </row>
    <row r="27" spans="1:14" ht="19.5" customHeight="1">
      <c r="A27" s="65">
        <v>45649</v>
      </c>
      <c r="B27" s="98"/>
      <c r="C27" s="98"/>
      <c r="D27" s="66">
        <v>213.8</v>
      </c>
      <c r="E27" s="67">
        <v>211.3</v>
      </c>
      <c r="F27" s="66">
        <v>687.79700000000003</v>
      </c>
      <c r="G27" s="68">
        <v>197</v>
      </c>
      <c r="H27" s="69">
        <v>0</v>
      </c>
      <c r="I27" s="69">
        <v>0</v>
      </c>
      <c r="J27" s="69">
        <v>0</v>
      </c>
      <c r="K27" s="69">
        <v>15</v>
      </c>
      <c r="L27" s="70">
        <f t="shared" si="0"/>
        <v>15</v>
      </c>
      <c r="M27" s="71"/>
    </row>
    <row r="28" spans="1:14" ht="19.5" customHeight="1">
      <c r="A28" s="65">
        <v>45650</v>
      </c>
      <c r="B28" s="98"/>
      <c r="C28" s="98"/>
      <c r="D28" s="66">
        <v>213.8</v>
      </c>
      <c r="E28" s="67">
        <v>211.38</v>
      </c>
      <c r="F28" s="66">
        <v>696.16200000000003</v>
      </c>
      <c r="G28" s="68">
        <v>112</v>
      </c>
      <c r="H28" s="69">
        <v>0</v>
      </c>
      <c r="I28" s="69">
        <v>0</v>
      </c>
      <c r="J28" s="69">
        <v>0</v>
      </c>
      <c r="K28" s="69">
        <v>15</v>
      </c>
      <c r="L28" s="70">
        <f t="shared" si="0"/>
        <v>15</v>
      </c>
      <c r="M28" s="71"/>
    </row>
    <row r="29" spans="1:14" ht="19.5" customHeight="1">
      <c r="A29" s="65">
        <v>45651</v>
      </c>
      <c r="B29" s="98"/>
      <c r="C29" s="98"/>
      <c r="D29" s="66">
        <v>213.8</v>
      </c>
      <c r="E29" s="67">
        <v>211.54</v>
      </c>
      <c r="F29" s="66">
        <v>712.89099999999996</v>
      </c>
      <c r="G29" s="68">
        <v>209</v>
      </c>
      <c r="H29" s="69">
        <v>0</v>
      </c>
      <c r="I29" s="69">
        <v>0</v>
      </c>
      <c r="J29" s="69">
        <v>0</v>
      </c>
      <c r="K29" s="69">
        <v>15</v>
      </c>
      <c r="L29" s="70">
        <f t="shared" si="0"/>
        <v>15</v>
      </c>
      <c r="M29" s="71"/>
    </row>
    <row r="30" spans="1:14" ht="19.5" customHeight="1">
      <c r="A30" s="65">
        <v>45652</v>
      </c>
      <c r="B30" s="98"/>
      <c r="C30" s="98"/>
      <c r="D30" s="66">
        <v>213.8</v>
      </c>
      <c r="E30" s="67">
        <v>211.8</v>
      </c>
      <c r="F30" s="66">
        <v>740.07600000000002</v>
      </c>
      <c r="G30" s="68">
        <v>330</v>
      </c>
      <c r="H30" s="69">
        <v>0</v>
      </c>
      <c r="I30" s="69">
        <v>0</v>
      </c>
      <c r="J30" s="69">
        <v>0</v>
      </c>
      <c r="K30" s="69">
        <v>15</v>
      </c>
      <c r="L30" s="70">
        <f t="shared" si="0"/>
        <v>15</v>
      </c>
      <c r="M30" s="71"/>
    </row>
    <row r="31" spans="1:14" ht="21" customHeight="1">
      <c r="A31" s="65">
        <v>45653</v>
      </c>
      <c r="B31" s="98"/>
      <c r="C31" s="98"/>
      <c r="D31" s="66">
        <v>213.8</v>
      </c>
      <c r="E31" s="67">
        <v>212</v>
      </c>
      <c r="F31" s="66">
        <v>760.98699999999997</v>
      </c>
      <c r="G31" s="68">
        <v>257</v>
      </c>
      <c r="H31" s="69">
        <v>0</v>
      </c>
      <c r="I31" s="69">
        <v>0</v>
      </c>
      <c r="J31" s="69">
        <v>0</v>
      </c>
      <c r="K31" s="69">
        <v>15</v>
      </c>
      <c r="L31" s="70">
        <f t="shared" si="0"/>
        <v>15</v>
      </c>
      <c r="M31" s="71"/>
    </row>
    <row r="32" spans="1:14" ht="21" customHeight="1">
      <c r="A32" s="65">
        <v>45654</v>
      </c>
      <c r="B32" s="98"/>
      <c r="C32" s="98"/>
      <c r="D32" s="66">
        <v>213.8</v>
      </c>
      <c r="E32" s="67">
        <v>212.11</v>
      </c>
      <c r="F32" s="66">
        <v>772.48900000000003</v>
      </c>
      <c r="G32" s="68">
        <v>148</v>
      </c>
      <c r="H32" s="69">
        <v>0</v>
      </c>
      <c r="I32" s="69">
        <v>0</v>
      </c>
      <c r="J32" s="69">
        <v>0</v>
      </c>
      <c r="K32" s="69">
        <v>15</v>
      </c>
      <c r="L32" s="70">
        <f t="shared" si="0"/>
        <v>15</v>
      </c>
      <c r="M32" s="71"/>
    </row>
    <row r="33" spans="1:14" ht="21" customHeight="1">
      <c r="A33" s="65">
        <v>45655</v>
      </c>
      <c r="B33" s="98"/>
      <c r="C33" s="98"/>
      <c r="D33" s="66">
        <v>213.8</v>
      </c>
      <c r="E33" s="67">
        <v>212.25</v>
      </c>
      <c r="F33" s="66">
        <v>787.12599999999998</v>
      </c>
      <c r="G33" s="68">
        <v>184</v>
      </c>
      <c r="H33" s="69">
        <v>0</v>
      </c>
      <c r="I33" s="69">
        <v>0</v>
      </c>
      <c r="J33" s="69">
        <v>0</v>
      </c>
      <c r="K33" s="69">
        <v>15</v>
      </c>
      <c r="L33" s="70">
        <f t="shared" si="0"/>
        <v>15</v>
      </c>
      <c r="M33" s="71"/>
    </row>
    <row r="34" spans="1:14" ht="21" customHeight="1">
      <c r="A34" s="65">
        <v>45656</v>
      </c>
      <c r="B34" s="98"/>
      <c r="C34" s="98"/>
      <c r="D34" s="66">
        <v>213.8</v>
      </c>
      <c r="E34" s="67">
        <v>212.32</v>
      </c>
      <c r="F34" s="66">
        <v>794.44500000000005</v>
      </c>
      <c r="G34" s="68">
        <v>100</v>
      </c>
      <c r="H34" s="69">
        <v>0</v>
      </c>
      <c r="I34" s="69">
        <v>0</v>
      </c>
      <c r="J34" s="69">
        <v>0</v>
      </c>
      <c r="K34" s="69">
        <v>15</v>
      </c>
      <c r="L34" s="70">
        <f t="shared" si="0"/>
        <v>15</v>
      </c>
      <c r="M34" s="71"/>
    </row>
    <row r="35" spans="1:14" ht="21" customHeight="1">
      <c r="A35" s="65">
        <v>45657</v>
      </c>
      <c r="B35" s="98"/>
      <c r="C35" s="98"/>
      <c r="D35" s="66">
        <v>213.8</v>
      </c>
      <c r="E35" s="67">
        <v>212.4</v>
      </c>
      <c r="F35" s="66">
        <v>802.81</v>
      </c>
      <c r="G35" s="68">
        <v>112</v>
      </c>
      <c r="H35" s="69">
        <v>0</v>
      </c>
      <c r="I35" s="69">
        <v>0</v>
      </c>
      <c r="J35" s="69">
        <v>0</v>
      </c>
      <c r="K35" s="69">
        <v>15</v>
      </c>
      <c r="L35" s="70">
        <f t="shared" si="0"/>
        <v>15</v>
      </c>
      <c r="M35" s="71"/>
    </row>
    <row r="36" spans="1:14" ht="21" customHeight="1">
      <c r="A36" s="85"/>
      <c r="B36" s="86"/>
      <c r="C36" s="86"/>
      <c r="D36" s="87"/>
      <c r="E36" s="88"/>
      <c r="F36" s="87"/>
      <c r="G36" s="89">
        <f>SUM(G5:G35)</f>
        <v>3288</v>
      </c>
      <c r="H36" s="89">
        <f t="shared" ref="H36:L36" si="1">SUM(H5:H35)</f>
        <v>0</v>
      </c>
      <c r="I36" s="89">
        <f t="shared" si="1"/>
        <v>450</v>
      </c>
      <c r="J36" s="89">
        <f t="shared" si="1"/>
        <v>30</v>
      </c>
      <c r="K36" s="89">
        <f t="shared" si="1"/>
        <v>330</v>
      </c>
      <c r="L36" s="89">
        <f t="shared" si="1"/>
        <v>810</v>
      </c>
      <c r="M36" s="90"/>
    </row>
    <row r="37" spans="1:14" ht="21" customHeight="1">
      <c r="A37" s="73"/>
      <c r="B37" s="74"/>
      <c r="C37" s="74"/>
      <c r="D37" s="75"/>
      <c r="E37" s="76"/>
      <c r="F37" s="75"/>
      <c r="G37" s="77"/>
      <c r="H37" s="77"/>
      <c r="I37" s="77"/>
      <c r="J37" s="77"/>
      <c r="K37" s="77"/>
      <c r="L37" s="77"/>
      <c r="N37" s="78"/>
    </row>
    <row r="38" spans="1:14" ht="47.25" customHeight="1">
      <c r="A38" s="79"/>
      <c r="B38" s="80"/>
      <c r="C38" s="81"/>
      <c r="D38" s="81"/>
      <c r="E38" s="81"/>
      <c r="F38" s="81"/>
      <c r="G38" s="81"/>
      <c r="H38" s="81"/>
      <c r="I38" s="81"/>
      <c r="J38" s="81"/>
      <c r="K38" s="82"/>
      <c r="L38" s="82"/>
      <c r="M38" s="83"/>
    </row>
    <row r="39" spans="1:14" ht="15.75" customHeight="1">
      <c r="A39" s="99" t="s">
        <v>9</v>
      </c>
      <c r="B39" s="94"/>
      <c r="C39" s="94"/>
      <c r="D39" s="94"/>
      <c r="E39" s="91"/>
      <c r="F39" s="91"/>
      <c r="G39" s="91"/>
      <c r="H39" s="91"/>
      <c r="I39" s="99" t="s">
        <v>10</v>
      </c>
      <c r="J39" s="94"/>
      <c r="K39" s="94"/>
      <c r="L39" s="94"/>
      <c r="M39" s="84"/>
    </row>
    <row r="40" spans="1:14" ht="15.75" customHeight="1">
      <c r="A40" s="99" t="s">
        <v>16</v>
      </c>
      <c r="B40" s="94"/>
      <c r="C40" s="94"/>
      <c r="D40" s="94"/>
      <c r="E40" s="91"/>
      <c r="F40" s="91"/>
      <c r="G40" s="91"/>
      <c r="H40" s="91"/>
      <c r="I40" s="99" t="s">
        <v>16</v>
      </c>
      <c r="J40" s="94"/>
      <c r="K40" s="94"/>
      <c r="L40" s="94"/>
      <c r="M40" s="84"/>
    </row>
    <row r="41" spans="1:14" ht="15.75" customHeight="1">
      <c r="A41" s="93" t="s">
        <v>17</v>
      </c>
      <c r="B41" s="94"/>
      <c r="C41" s="94"/>
      <c r="D41" s="94"/>
      <c r="E41" s="91"/>
      <c r="F41" s="91"/>
      <c r="G41" s="91"/>
      <c r="H41" s="91"/>
      <c r="I41" s="93" t="s">
        <v>17</v>
      </c>
      <c r="J41" s="94"/>
      <c r="K41" s="94"/>
      <c r="L41" s="94"/>
      <c r="M41" s="84"/>
    </row>
    <row r="42" spans="1:14" ht="15.75" customHeight="1">
      <c r="M42" s="84"/>
    </row>
    <row r="43" spans="1:14" ht="15.75" customHeight="1">
      <c r="M43" s="84"/>
    </row>
    <row r="44" spans="1:14" ht="15.75" customHeight="1">
      <c r="M44" s="84"/>
    </row>
    <row r="45" spans="1:14" ht="15.75" customHeight="1">
      <c r="M45" s="84"/>
    </row>
    <row r="46" spans="1:14" ht="15.75" customHeight="1">
      <c r="M46" s="84"/>
    </row>
    <row r="47" spans="1:14" ht="15.75" customHeight="1">
      <c r="M47" s="84"/>
    </row>
    <row r="48" spans="1:14" ht="15.75" customHeight="1">
      <c r="M48" s="84"/>
    </row>
    <row r="49" spans="13:13" ht="15.75" customHeight="1">
      <c r="M49" s="84"/>
    </row>
    <row r="50" spans="13:13" ht="15.75" customHeight="1">
      <c r="M50" s="84"/>
    </row>
    <row r="51" spans="13:13" ht="15.75" customHeight="1">
      <c r="M51" s="84"/>
    </row>
    <row r="52" spans="13:13" ht="15.75" customHeight="1">
      <c r="M52" s="84"/>
    </row>
    <row r="53" spans="13:13" ht="15.75" customHeight="1">
      <c r="M53" s="84"/>
    </row>
    <row r="54" spans="13:13" ht="15.75" customHeight="1">
      <c r="M54" s="84"/>
    </row>
    <row r="55" spans="13:13" ht="15.75" customHeight="1">
      <c r="M55" s="84"/>
    </row>
    <row r="56" spans="13:13" ht="15.75" customHeight="1">
      <c r="M56" s="84"/>
    </row>
    <row r="57" spans="13:13" ht="15.75" customHeight="1">
      <c r="M57" s="84"/>
    </row>
    <row r="58" spans="13:13" ht="15.75" customHeight="1">
      <c r="M58" s="84"/>
    </row>
    <row r="59" spans="13:13" ht="15.75" customHeight="1">
      <c r="M59" s="84"/>
    </row>
    <row r="60" spans="13:13" ht="15.75" customHeight="1">
      <c r="M60" s="84"/>
    </row>
    <row r="61" spans="13:13" ht="15.75" customHeight="1">
      <c r="M61" s="84"/>
    </row>
    <row r="62" spans="13:13" ht="15.75" customHeight="1">
      <c r="M62" s="84"/>
    </row>
    <row r="63" spans="13:13" ht="15.75" customHeight="1">
      <c r="M63" s="84"/>
    </row>
    <row r="64" spans="13:13" ht="15.75" customHeight="1">
      <c r="M64" s="84"/>
    </row>
    <row r="65" spans="13:13" ht="15.75" customHeight="1">
      <c r="M65" s="84"/>
    </row>
    <row r="66" spans="13:13" ht="15.75" customHeight="1">
      <c r="M66" s="84"/>
    </row>
    <row r="67" spans="13:13" ht="15.75" customHeight="1">
      <c r="M67" s="84"/>
    </row>
    <row r="68" spans="13:13" ht="15.75" customHeight="1">
      <c r="M68" s="84"/>
    </row>
    <row r="69" spans="13:13" ht="15.75" customHeight="1">
      <c r="M69" s="84"/>
    </row>
    <row r="70" spans="13:13" ht="15.75" customHeight="1">
      <c r="M70" s="84"/>
    </row>
    <row r="71" spans="13:13" ht="15.75" customHeight="1">
      <c r="M71" s="84"/>
    </row>
    <row r="72" spans="13:13" ht="15.75" customHeight="1">
      <c r="M72" s="84"/>
    </row>
    <row r="73" spans="13:13" ht="15.75" customHeight="1">
      <c r="M73" s="84"/>
    </row>
    <row r="74" spans="13:13" ht="15.75" customHeight="1">
      <c r="M74" s="84"/>
    </row>
    <row r="75" spans="13:13" ht="15.75" customHeight="1">
      <c r="M75" s="84"/>
    </row>
    <row r="76" spans="13:13" ht="15.75" customHeight="1">
      <c r="M76" s="84"/>
    </row>
    <row r="77" spans="13:13" ht="15.75" customHeight="1">
      <c r="M77" s="84"/>
    </row>
    <row r="78" spans="13:13" ht="15.75" customHeight="1">
      <c r="M78" s="84"/>
    </row>
    <row r="79" spans="13:13" ht="15.75" customHeight="1">
      <c r="M79" s="84"/>
    </row>
    <row r="80" spans="13:13" ht="15.75" customHeight="1">
      <c r="M80" s="84"/>
    </row>
    <row r="81" spans="13:13" ht="15.75" customHeight="1">
      <c r="M81" s="84"/>
    </row>
    <row r="82" spans="13:13" ht="15.75" customHeight="1">
      <c r="M82" s="84"/>
    </row>
    <row r="83" spans="13:13" ht="15.75" customHeight="1">
      <c r="M83" s="84"/>
    </row>
    <row r="84" spans="13:13" ht="15.75" customHeight="1">
      <c r="M84" s="84"/>
    </row>
    <row r="85" spans="13:13" ht="15.75" customHeight="1">
      <c r="M85" s="84"/>
    </row>
    <row r="86" spans="13:13" ht="15.75" customHeight="1">
      <c r="M86" s="84"/>
    </row>
    <row r="87" spans="13:13" ht="15.75" customHeight="1">
      <c r="M87" s="84"/>
    </row>
    <row r="88" spans="13:13" ht="15.75" customHeight="1">
      <c r="M88" s="84"/>
    </row>
    <row r="89" spans="13:13" ht="15.75" customHeight="1">
      <c r="M89" s="84"/>
    </row>
    <row r="90" spans="13:13" ht="15.75" customHeight="1">
      <c r="M90" s="84"/>
    </row>
    <row r="91" spans="13:13" ht="15.75" customHeight="1">
      <c r="M91" s="84"/>
    </row>
    <row r="92" spans="13:13" ht="15.75" customHeight="1">
      <c r="M92" s="84"/>
    </row>
    <row r="93" spans="13:13" ht="15.75" customHeight="1">
      <c r="M93" s="84"/>
    </row>
    <row r="94" spans="13:13" ht="15.75" customHeight="1">
      <c r="M94" s="84"/>
    </row>
    <row r="95" spans="13:13" ht="15.75" customHeight="1">
      <c r="M95" s="84"/>
    </row>
    <row r="96" spans="13:13" ht="15.75" customHeight="1">
      <c r="M96" s="84"/>
    </row>
    <row r="97" spans="13:13" ht="15.75" customHeight="1">
      <c r="M97" s="84"/>
    </row>
    <row r="98" spans="13:13" ht="15.75" customHeight="1">
      <c r="M98" s="84"/>
    </row>
    <row r="99" spans="13:13" ht="15.75" customHeight="1">
      <c r="M99" s="84"/>
    </row>
    <row r="100" spans="13:13" ht="15.75" customHeight="1">
      <c r="M100" s="84"/>
    </row>
    <row r="101" spans="13:13" ht="15.75" customHeight="1">
      <c r="M101" s="84"/>
    </row>
    <row r="102" spans="13:13" ht="15.75" customHeight="1">
      <c r="M102" s="84"/>
    </row>
    <row r="103" spans="13:13" ht="15.75" customHeight="1">
      <c r="M103" s="84"/>
    </row>
    <row r="104" spans="13:13" ht="15" customHeight="1">
      <c r="M104" s="84"/>
    </row>
  </sheetData>
  <mergeCells count="19">
    <mergeCell ref="A1:M2"/>
    <mergeCell ref="A3:A4"/>
    <mergeCell ref="B3:B4"/>
    <mergeCell ref="C3:C4"/>
    <mergeCell ref="D3:D4"/>
    <mergeCell ref="E3:E4"/>
    <mergeCell ref="F3:F4"/>
    <mergeCell ref="G3:G4"/>
    <mergeCell ref="H3:K3"/>
    <mergeCell ref="L3:L4"/>
    <mergeCell ref="A41:D41"/>
    <mergeCell ref="I41:L41"/>
    <mergeCell ref="M3:M4"/>
    <mergeCell ref="B5:B35"/>
    <mergeCell ref="C5:C35"/>
    <mergeCell ref="A39:D39"/>
    <mergeCell ref="I39:L39"/>
    <mergeCell ref="A40:D40"/>
    <mergeCell ref="I40:L40"/>
  </mergeCells>
  <pageMargins left="0.70866141732283472" right="0.70866141732283472" top="0.74803149606299213" bottom="0.74803149606299213" header="0" footer="0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2"/>
  <sheetViews>
    <sheetView topLeftCell="A31" workbookViewId="0">
      <selection activeCell="D34" sqref="D34"/>
    </sheetView>
  </sheetViews>
  <sheetFormatPr defaultColWidth="14.42578125" defaultRowHeight="15" customHeight="1"/>
  <cols>
    <col min="1" max="1" width="12.42578125" style="63" customWidth="1"/>
    <col min="2" max="2" width="7" style="63" customWidth="1"/>
    <col min="3" max="3" width="6" style="63" customWidth="1"/>
    <col min="4" max="4" width="10" style="63" customWidth="1"/>
    <col min="5" max="5" width="8.7109375" style="63" customWidth="1"/>
    <col min="6" max="6" width="9.7109375" style="63" customWidth="1"/>
    <col min="7" max="7" width="8.85546875" style="63" customWidth="1"/>
    <col min="8" max="8" width="10" style="63" customWidth="1"/>
    <col min="9" max="10" width="8.28515625" style="63" customWidth="1"/>
    <col min="11" max="11" width="6.140625" style="63" customWidth="1"/>
    <col min="12" max="12" width="8.5703125" style="63" customWidth="1"/>
    <col min="13" max="13" width="7.7109375" style="63" customWidth="1"/>
    <col min="14" max="16384" width="14.42578125" style="63"/>
  </cols>
  <sheetData>
    <row r="1" spans="1:13" ht="14.25" customHeight="1">
      <c r="A1" s="100" t="s">
        <v>35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2"/>
    </row>
    <row r="2" spans="1:13" ht="15.75" customHeight="1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1:13" ht="14.25" customHeight="1">
      <c r="A3" s="106" t="s">
        <v>0</v>
      </c>
      <c r="B3" s="106" t="s">
        <v>1</v>
      </c>
      <c r="C3" s="106" t="s">
        <v>2</v>
      </c>
      <c r="D3" s="106" t="s">
        <v>28</v>
      </c>
      <c r="E3" s="106" t="s">
        <v>4</v>
      </c>
      <c r="F3" s="106" t="s">
        <v>23</v>
      </c>
      <c r="G3" s="106" t="s">
        <v>5</v>
      </c>
      <c r="H3" s="107" t="s">
        <v>6</v>
      </c>
      <c r="I3" s="108"/>
      <c r="J3" s="108"/>
      <c r="K3" s="108"/>
      <c r="L3" s="106" t="s">
        <v>29</v>
      </c>
      <c r="M3" s="95" t="s">
        <v>8</v>
      </c>
    </row>
    <row r="4" spans="1:13" ht="83.25" customHeight="1">
      <c r="A4" s="96"/>
      <c r="B4" s="96"/>
      <c r="C4" s="96"/>
      <c r="D4" s="96"/>
      <c r="E4" s="96"/>
      <c r="F4" s="96"/>
      <c r="G4" s="96"/>
      <c r="H4" s="64" t="s">
        <v>15</v>
      </c>
      <c r="I4" s="64" t="s">
        <v>30</v>
      </c>
      <c r="J4" s="64" t="s">
        <v>31</v>
      </c>
      <c r="K4" s="64" t="s">
        <v>14</v>
      </c>
      <c r="L4" s="96"/>
      <c r="M4" s="96"/>
    </row>
    <row r="5" spans="1:13" ht="19.5" customHeight="1">
      <c r="A5" s="65">
        <v>45597</v>
      </c>
      <c r="B5" s="97" t="s">
        <v>11</v>
      </c>
      <c r="C5" s="97" t="s">
        <v>12</v>
      </c>
      <c r="D5" s="66">
        <v>213.8</v>
      </c>
      <c r="E5" s="67">
        <v>212.21</v>
      </c>
      <c r="F5" s="66">
        <v>782.94399999999996</v>
      </c>
      <c r="G5" s="68">
        <v>67</v>
      </c>
      <c r="H5" s="69"/>
      <c r="I5" s="69">
        <v>70</v>
      </c>
      <c r="J5" s="69">
        <v>70</v>
      </c>
      <c r="K5" s="69"/>
      <c r="L5" s="70">
        <f>H5+I5+J5+K5</f>
        <v>140</v>
      </c>
      <c r="M5" s="71"/>
    </row>
    <row r="6" spans="1:13" ht="19.5" customHeight="1">
      <c r="A6" s="65">
        <v>45598</v>
      </c>
      <c r="B6" s="98"/>
      <c r="C6" s="98"/>
      <c r="D6" s="66">
        <v>213.8</v>
      </c>
      <c r="E6" s="67">
        <v>212.15</v>
      </c>
      <c r="F6" s="66">
        <v>776.67100000000005</v>
      </c>
      <c r="G6" s="68">
        <v>67</v>
      </c>
      <c r="H6" s="69"/>
      <c r="I6" s="69">
        <v>70</v>
      </c>
      <c r="J6" s="69">
        <v>70</v>
      </c>
      <c r="K6" s="69"/>
      <c r="L6" s="70">
        <f t="shared" ref="L6:L34" si="0">H6+I6+J6+K6</f>
        <v>140</v>
      </c>
      <c r="M6" s="71"/>
    </row>
    <row r="7" spans="1:13" ht="19.5" customHeight="1">
      <c r="A7" s="65">
        <v>45599</v>
      </c>
      <c r="B7" s="98"/>
      <c r="C7" s="98"/>
      <c r="D7" s="66">
        <v>213.8</v>
      </c>
      <c r="E7" s="67">
        <v>212.09</v>
      </c>
      <c r="F7" s="66">
        <v>770.39700000000005</v>
      </c>
      <c r="G7" s="68">
        <v>67</v>
      </c>
      <c r="H7" s="69"/>
      <c r="I7" s="69">
        <v>70</v>
      </c>
      <c r="J7" s="69">
        <v>70</v>
      </c>
      <c r="K7" s="69"/>
      <c r="L7" s="70">
        <f t="shared" si="0"/>
        <v>140</v>
      </c>
      <c r="M7" s="71"/>
    </row>
    <row r="8" spans="1:13" ht="19.5" customHeight="1">
      <c r="A8" s="65">
        <v>45600</v>
      </c>
      <c r="B8" s="98"/>
      <c r="C8" s="98"/>
      <c r="D8" s="66">
        <v>213.8</v>
      </c>
      <c r="E8" s="67">
        <v>212.02</v>
      </c>
      <c r="F8" s="66">
        <v>763.07799999999997</v>
      </c>
      <c r="G8" s="68">
        <v>55</v>
      </c>
      <c r="H8" s="69"/>
      <c r="I8" s="69">
        <v>70</v>
      </c>
      <c r="J8" s="69">
        <v>70</v>
      </c>
      <c r="K8" s="69"/>
      <c r="L8" s="70">
        <f t="shared" si="0"/>
        <v>140</v>
      </c>
      <c r="M8" s="71"/>
    </row>
    <row r="9" spans="1:13" ht="19.5" customHeight="1">
      <c r="A9" s="65">
        <v>45601</v>
      </c>
      <c r="B9" s="98"/>
      <c r="C9" s="98"/>
      <c r="D9" s="66">
        <v>213.8</v>
      </c>
      <c r="E9" s="67">
        <v>211.96</v>
      </c>
      <c r="F9" s="66">
        <v>756.80499999999995</v>
      </c>
      <c r="G9" s="68">
        <v>67</v>
      </c>
      <c r="H9" s="69"/>
      <c r="I9" s="69">
        <v>70</v>
      </c>
      <c r="J9" s="69">
        <v>70</v>
      </c>
      <c r="K9" s="69"/>
      <c r="L9" s="70">
        <f t="shared" si="0"/>
        <v>140</v>
      </c>
      <c r="M9" s="71"/>
    </row>
    <row r="10" spans="1:13" ht="19.5" customHeight="1">
      <c r="A10" s="65">
        <v>45602</v>
      </c>
      <c r="B10" s="98"/>
      <c r="C10" s="98"/>
      <c r="D10" s="66">
        <v>213.8</v>
      </c>
      <c r="E10" s="67">
        <v>211.9</v>
      </c>
      <c r="F10" s="66">
        <v>750.53200000000004</v>
      </c>
      <c r="G10" s="68">
        <v>67</v>
      </c>
      <c r="H10" s="69"/>
      <c r="I10" s="69">
        <v>70</v>
      </c>
      <c r="J10" s="69">
        <v>70</v>
      </c>
      <c r="K10" s="69"/>
      <c r="L10" s="70">
        <f t="shared" si="0"/>
        <v>140</v>
      </c>
      <c r="M10" s="71"/>
    </row>
    <row r="11" spans="1:13" ht="19.5" customHeight="1">
      <c r="A11" s="65">
        <v>45603</v>
      </c>
      <c r="B11" s="98"/>
      <c r="C11" s="98"/>
      <c r="D11" s="66">
        <v>213.8</v>
      </c>
      <c r="E11" s="67">
        <v>211.83</v>
      </c>
      <c r="F11" s="66">
        <v>743.21299999999997</v>
      </c>
      <c r="G11" s="68">
        <v>55</v>
      </c>
      <c r="H11" s="69"/>
      <c r="I11" s="69">
        <v>70</v>
      </c>
      <c r="J11" s="69">
        <v>70</v>
      </c>
      <c r="K11" s="69"/>
      <c r="L11" s="70">
        <f t="shared" si="0"/>
        <v>140</v>
      </c>
      <c r="M11" s="71"/>
    </row>
    <row r="12" spans="1:13" ht="19.5" customHeight="1">
      <c r="A12" s="65">
        <v>45604</v>
      </c>
      <c r="B12" s="98"/>
      <c r="C12" s="98"/>
      <c r="D12" s="66">
        <v>213.8</v>
      </c>
      <c r="E12" s="67">
        <v>211.76</v>
      </c>
      <c r="F12" s="66">
        <v>735.89400000000001</v>
      </c>
      <c r="G12" s="68">
        <v>55</v>
      </c>
      <c r="H12" s="69"/>
      <c r="I12" s="69">
        <v>70</v>
      </c>
      <c r="J12" s="69">
        <v>70</v>
      </c>
      <c r="K12" s="69"/>
      <c r="L12" s="70">
        <f t="shared" si="0"/>
        <v>140</v>
      </c>
      <c r="M12" s="71"/>
    </row>
    <row r="13" spans="1:13" ht="19.5" customHeight="1">
      <c r="A13" s="65">
        <v>45605</v>
      </c>
      <c r="B13" s="98"/>
      <c r="C13" s="98"/>
      <c r="D13" s="66">
        <v>213.8</v>
      </c>
      <c r="E13" s="67">
        <v>211.7</v>
      </c>
      <c r="F13" s="66">
        <v>729.62</v>
      </c>
      <c r="G13" s="68">
        <v>67</v>
      </c>
      <c r="H13" s="69"/>
      <c r="I13" s="69">
        <v>70</v>
      </c>
      <c r="J13" s="69">
        <v>70</v>
      </c>
      <c r="K13" s="69"/>
      <c r="L13" s="70">
        <f t="shared" si="0"/>
        <v>140</v>
      </c>
      <c r="M13" s="71"/>
    </row>
    <row r="14" spans="1:13" ht="19.5" customHeight="1">
      <c r="A14" s="65">
        <v>45606</v>
      </c>
      <c r="B14" s="98"/>
      <c r="C14" s="98"/>
      <c r="D14" s="66">
        <v>213.8</v>
      </c>
      <c r="E14" s="67">
        <v>211.64</v>
      </c>
      <c r="F14" s="66">
        <v>723.346</v>
      </c>
      <c r="G14" s="68">
        <v>67</v>
      </c>
      <c r="H14" s="69"/>
      <c r="I14" s="69">
        <v>70</v>
      </c>
      <c r="J14" s="69">
        <v>70</v>
      </c>
      <c r="K14" s="69"/>
      <c r="L14" s="70">
        <f t="shared" si="0"/>
        <v>140</v>
      </c>
      <c r="M14" s="71"/>
    </row>
    <row r="15" spans="1:13" ht="19.5" customHeight="1">
      <c r="A15" s="65">
        <v>45607</v>
      </c>
      <c r="B15" s="98"/>
      <c r="C15" s="98"/>
      <c r="D15" s="66">
        <v>213.8</v>
      </c>
      <c r="E15" s="67">
        <v>211.58</v>
      </c>
      <c r="F15" s="66">
        <v>717.07299999999998</v>
      </c>
      <c r="G15" s="68">
        <v>67</v>
      </c>
      <c r="H15" s="69"/>
      <c r="I15" s="69">
        <v>70</v>
      </c>
      <c r="J15" s="69">
        <v>70</v>
      </c>
      <c r="K15" s="69"/>
      <c r="L15" s="70">
        <f t="shared" si="0"/>
        <v>140</v>
      </c>
      <c r="M15" s="71"/>
    </row>
    <row r="16" spans="1:13" ht="19.5" customHeight="1">
      <c r="A16" s="65">
        <v>45608</v>
      </c>
      <c r="B16" s="98"/>
      <c r="C16" s="98"/>
      <c r="D16" s="66">
        <v>213.8</v>
      </c>
      <c r="E16" s="67">
        <v>211.52</v>
      </c>
      <c r="F16" s="66">
        <v>710.8</v>
      </c>
      <c r="G16" s="68">
        <v>67</v>
      </c>
      <c r="H16" s="69"/>
      <c r="I16" s="69">
        <v>70</v>
      </c>
      <c r="J16" s="69">
        <v>70</v>
      </c>
      <c r="K16" s="69"/>
      <c r="L16" s="70">
        <f t="shared" si="0"/>
        <v>140</v>
      </c>
      <c r="M16" s="71"/>
    </row>
    <row r="17" spans="1:14" ht="19.5" customHeight="1">
      <c r="A17" s="65">
        <v>45609</v>
      </c>
      <c r="B17" s="98"/>
      <c r="C17" s="98"/>
      <c r="D17" s="66">
        <v>213.8</v>
      </c>
      <c r="E17" s="67">
        <v>211.46</v>
      </c>
      <c r="F17" s="66">
        <v>704.52599999999995</v>
      </c>
      <c r="G17" s="68">
        <v>67</v>
      </c>
      <c r="H17" s="69"/>
      <c r="I17" s="69">
        <v>70</v>
      </c>
      <c r="J17" s="69">
        <v>70</v>
      </c>
      <c r="K17" s="69"/>
      <c r="L17" s="70">
        <f t="shared" si="0"/>
        <v>140</v>
      </c>
      <c r="M17" s="71"/>
    </row>
    <row r="18" spans="1:14" ht="19.5" customHeight="1">
      <c r="A18" s="65">
        <v>45610</v>
      </c>
      <c r="B18" s="98"/>
      <c r="C18" s="98"/>
      <c r="D18" s="66">
        <v>213.8</v>
      </c>
      <c r="E18" s="67">
        <v>211.35</v>
      </c>
      <c r="F18" s="66">
        <v>693.02499999999998</v>
      </c>
      <c r="G18" s="68">
        <v>7</v>
      </c>
      <c r="H18" s="69"/>
      <c r="I18" s="69">
        <v>70</v>
      </c>
      <c r="J18" s="69">
        <v>70</v>
      </c>
      <c r="K18" s="69"/>
      <c r="L18" s="70">
        <f t="shared" si="0"/>
        <v>140</v>
      </c>
      <c r="M18" s="71"/>
    </row>
    <row r="19" spans="1:14" ht="19.5" customHeight="1">
      <c r="A19" s="65">
        <v>45611</v>
      </c>
      <c r="B19" s="98"/>
      <c r="C19" s="98"/>
      <c r="D19" s="66">
        <v>213.8</v>
      </c>
      <c r="E19" s="67">
        <v>211.24</v>
      </c>
      <c r="F19" s="66">
        <v>681.524</v>
      </c>
      <c r="G19" s="68">
        <v>7</v>
      </c>
      <c r="H19" s="69"/>
      <c r="I19" s="69">
        <v>70</v>
      </c>
      <c r="J19" s="69">
        <v>70</v>
      </c>
      <c r="K19" s="69"/>
      <c r="L19" s="70">
        <f t="shared" si="0"/>
        <v>140</v>
      </c>
      <c r="M19" s="71"/>
    </row>
    <row r="20" spans="1:14" ht="19.5" customHeight="1">
      <c r="A20" s="65">
        <v>45612</v>
      </c>
      <c r="B20" s="98"/>
      <c r="C20" s="98"/>
      <c r="D20" s="66">
        <v>213.8</v>
      </c>
      <c r="E20" s="67">
        <v>211.17</v>
      </c>
      <c r="F20" s="66">
        <v>674.20500000000004</v>
      </c>
      <c r="G20" s="68">
        <v>55</v>
      </c>
      <c r="H20" s="69"/>
      <c r="I20" s="69">
        <v>70</v>
      </c>
      <c r="J20" s="69">
        <v>70</v>
      </c>
      <c r="K20" s="69"/>
      <c r="L20" s="70">
        <f t="shared" si="0"/>
        <v>140</v>
      </c>
      <c r="M20" s="71"/>
    </row>
    <row r="21" spans="1:14" ht="19.5" customHeight="1">
      <c r="A21" s="65">
        <v>45613</v>
      </c>
      <c r="B21" s="98"/>
      <c r="C21" s="98"/>
      <c r="D21" s="66">
        <v>213.8</v>
      </c>
      <c r="E21" s="67">
        <v>211.06</v>
      </c>
      <c r="F21" s="66">
        <v>662.70399999999995</v>
      </c>
      <c r="G21" s="68">
        <v>7</v>
      </c>
      <c r="H21" s="69"/>
      <c r="I21" s="69">
        <v>70</v>
      </c>
      <c r="J21" s="69">
        <v>70</v>
      </c>
      <c r="K21" s="69"/>
      <c r="L21" s="70">
        <f t="shared" si="0"/>
        <v>140</v>
      </c>
      <c r="M21" s="71"/>
    </row>
    <row r="22" spans="1:14" ht="19.5" customHeight="1">
      <c r="A22" s="65">
        <v>45614</v>
      </c>
      <c r="B22" s="98"/>
      <c r="C22" s="98"/>
      <c r="D22" s="66">
        <v>213.8</v>
      </c>
      <c r="E22" s="67">
        <v>210.98</v>
      </c>
      <c r="F22" s="66">
        <v>654.53899999999999</v>
      </c>
      <c r="G22" s="68">
        <v>45</v>
      </c>
      <c r="H22" s="69"/>
      <c r="I22" s="69">
        <v>70</v>
      </c>
      <c r="J22" s="69">
        <v>70</v>
      </c>
      <c r="K22" s="69"/>
      <c r="L22" s="70">
        <f t="shared" si="0"/>
        <v>140</v>
      </c>
      <c r="M22" s="71"/>
    </row>
    <row r="23" spans="1:14" ht="19.5" customHeight="1">
      <c r="A23" s="65">
        <v>45615</v>
      </c>
      <c r="B23" s="98"/>
      <c r="C23" s="98"/>
      <c r="D23" s="66">
        <v>213.8</v>
      </c>
      <c r="E23" s="67">
        <v>210.9</v>
      </c>
      <c r="F23" s="66">
        <v>646.97500000000002</v>
      </c>
      <c r="G23" s="68">
        <v>52</v>
      </c>
      <c r="H23" s="69"/>
      <c r="I23" s="69">
        <v>70</v>
      </c>
      <c r="J23" s="69">
        <v>70</v>
      </c>
      <c r="K23" s="69"/>
      <c r="L23" s="70">
        <f t="shared" si="0"/>
        <v>140</v>
      </c>
      <c r="M23" s="71"/>
    </row>
    <row r="24" spans="1:14" ht="19.5" customHeight="1">
      <c r="A24" s="65">
        <v>45616</v>
      </c>
      <c r="B24" s="98"/>
      <c r="C24" s="98"/>
      <c r="D24" s="66">
        <v>213.8</v>
      </c>
      <c r="E24" s="67">
        <v>210.83</v>
      </c>
      <c r="F24" s="66">
        <v>638.95600000000002</v>
      </c>
      <c r="G24" s="68">
        <v>17</v>
      </c>
      <c r="H24" s="69"/>
      <c r="I24" s="69">
        <v>70</v>
      </c>
      <c r="J24" s="69">
        <v>40</v>
      </c>
      <c r="K24" s="69"/>
      <c r="L24" s="70">
        <f t="shared" si="0"/>
        <v>110</v>
      </c>
      <c r="M24" s="71"/>
    </row>
    <row r="25" spans="1:14" ht="19.5" customHeight="1">
      <c r="A25" s="65">
        <v>45617</v>
      </c>
      <c r="B25" s="98"/>
      <c r="C25" s="98"/>
      <c r="D25" s="66">
        <v>213.8</v>
      </c>
      <c r="E25" s="67">
        <v>210.77</v>
      </c>
      <c r="F25" s="66">
        <v>632.91999999999996</v>
      </c>
      <c r="G25" s="68">
        <v>20</v>
      </c>
      <c r="H25" s="69"/>
      <c r="I25" s="69">
        <v>70</v>
      </c>
      <c r="J25" s="69">
        <v>20</v>
      </c>
      <c r="K25" s="69"/>
      <c r="L25" s="70">
        <f t="shared" si="0"/>
        <v>90</v>
      </c>
      <c r="M25" s="71"/>
    </row>
    <row r="26" spans="1:14" ht="19.5" customHeight="1">
      <c r="A26" s="65">
        <v>45618</v>
      </c>
      <c r="B26" s="98"/>
      <c r="C26" s="98"/>
      <c r="D26" s="66">
        <v>213.8</v>
      </c>
      <c r="E26" s="67">
        <v>210.71</v>
      </c>
      <c r="F26" s="66">
        <v>627.72199999999998</v>
      </c>
      <c r="G26" s="68">
        <v>30</v>
      </c>
      <c r="H26" s="69"/>
      <c r="I26" s="69">
        <v>70</v>
      </c>
      <c r="J26" s="69">
        <v>20</v>
      </c>
      <c r="K26" s="69"/>
      <c r="L26" s="70">
        <f t="shared" si="0"/>
        <v>90</v>
      </c>
      <c r="M26" s="71"/>
      <c r="N26" s="72"/>
    </row>
    <row r="27" spans="1:14" ht="19.5" customHeight="1">
      <c r="A27" s="65">
        <v>45619</v>
      </c>
      <c r="B27" s="98"/>
      <c r="C27" s="98"/>
      <c r="D27" s="66">
        <v>213.8</v>
      </c>
      <c r="E27" s="67">
        <v>210.66</v>
      </c>
      <c r="F27" s="66">
        <v>623.39</v>
      </c>
      <c r="G27" s="68">
        <v>50</v>
      </c>
      <c r="H27" s="69"/>
      <c r="I27" s="69">
        <v>70</v>
      </c>
      <c r="J27" s="69">
        <v>30</v>
      </c>
      <c r="K27" s="69"/>
      <c r="L27" s="70">
        <f t="shared" si="0"/>
        <v>100</v>
      </c>
      <c r="M27" s="71"/>
    </row>
    <row r="28" spans="1:14" ht="19.5" customHeight="1">
      <c r="A28" s="65">
        <v>45620</v>
      </c>
      <c r="B28" s="98"/>
      <c r="C28" s="98"/>
      <c r="D28" s="66">
        <v>213.8</v>
      </c>
      <c r="E28" s="67">
        <v>210.62</v>
      </c>
      <c r="F28" s="66">
        <v>619.92499999999995</v>
      </c>
      <c r="G28" s="68">
        <v>70</v>
      </c>
      <c r="H28" s="69"/>
      <c r="I28" s="69">
        <v>70</v>
      </c>
      <c r="J28" s="69">
        <v>40</v>
      </c>
      <c r="K28" s="69"/>
      <c r="L28" s="70">
        <f t="shared" si="0"/>
        <v>110</v>
      </c>
      <c r="M28" s="71"/>
    </row>
    <row r="29" spans="1:14" ht="19.5" customHeight="1">
      <c r="A29" s="65">
        <v>45621</v>
      </c>
      <c r="B29" s="98"/>
      <c r="C29" s="98"/>
      <c r="D29" s="66">
        <v>213.8</v>
      </c>
      <c r="E29" s="67">
        <v>210.55</v>
      </c>
      <c r="F29" s="66">
        <v>613.86</v>
      </c>
      <c r="G29" s="68">
        <v>40</v>
      </c>
      <c r="H29" s="69"/>
      <c r="I29" s="69">
        <v>70</v>
      </c>
      <c r="J29" s="69">
        <v>40</v>
      </c>
      <c r="K29" s="69"/>
      <c r="L29" s="70">
        <f t="shared" si="0"/>
        <v>110</v>
      </c>
      <c r="M29" s="71"/>
    </row>
    <row r="30" spans="1:14" ht="19.5" customHeight="1">
      <c r="A30" s="65">
        <v>45622</v>
      </c>
      <c r="B30" s="98"/>
      <c r="C30" s="98"/>
      <c r="D30" s="66">
        <v>213.8</v>
      </c>
      <c r="E30" s="67">
        <v>210.48</v>
      </c>
      <c r="F30" s="66">
        <v>607.79600000000005</v>
      </c>
      <c r="G30" s="68">
        <v>40</v>
      </c>
      <c r="H30" s="69"/>
      <c r="I30" s="69">
        <v>70</v>
      </c>
      <c r="J30" s="69">
        <v>40</v>
      </c>
      <c r="K30" s="69"/>
      <c r="L30" s="70">
        <f t="shared" si="0"/>
        <v>110</v>
      </c>
      <c r="M30" s="71"/>
    </row>
    <row r="31" spans="1:14" ht="21" customHeight="1">
      <c r="A31" s="65">
        <v>45623</v>
      </c>
      <c r="B31" s="98"/>
      <c r="C31" s="98"/>
      <c r="D31" s="66">
        <v>213.8</v>
      </c>
      <c r="E31" s="67">
        <v>210.39</v>
      </c>
      <c r="F31" s="66">
        <v>599.99900000000002</v>
      </c>
      <c r="G31" s="68">
        <v>10</v>
      </c>
      <c r="H31" s="69"/>
      <c r="I31" s="69">
        <v>70</v>
      </c>
      <c r="J31" s="69">
        <v>30</v>
      </c>
      <c r="K31" s="69"/>
      <c r="L31" s="70">
        <f t="shared" si="0"/>
        <v>100</v>
      </c>
      <c r="M31" s="71"/>
    </row>
    <row r="32" spans="1:14" ht="21" customHeight="1">
      <c r="A32" s="65">
        <v>45624</v>
      </c>
      <c r="B32" s="98"/>
      <c r="C32" s="98"/>
      <c r="D32" s="66">
        <v>213.8</v>
      </c>
      <c r="E32" s="67">
        <v>210.33</v>
      </c>
      <c r="F32" s="66">
        <v>594.80100000000004</v>
      </c>
      <c r="G32" s="68">
        <v>40</v>
      </c>
      <c r="H32" s="69"/>
      <c r="I32" s="69">
        <v>70</v>
      </c>
      <c r="J32" s="69">
        <v>30</v>
      </c>
      <c r="K32" s="69"/>
      <c r="L32" s="70">
        <f t="shared" si="0"/>
        <v>100</v>
      </c>
      <c r="M32" s="71"/>
    </row>
    <row r="33" spans="1:14" ht="21" customHeight="1">
      <c r="A33" s="65">
        <v>45625</v>
      </c>
      <c r="B33" s="98"/>
      <c r="C33" s="98"/>
      <c r="D33" s="66">
        <v>213.8</v>
      </c>
      <c r="E33" s="67">
        <v>210.26</v>
      </c>
      <c r="F33" s="66">
        <v>588.73699999999997</v>
      </c>
      <c r="G33" s="68">
        <v>30</v>
      </c>
      <c r="H33" s="69"/>
      <c r="I33" s="69">
        <v>70</v>
      </c>
      <c r="J33" s="69">
        <v>30</v>
      </c>
      <c r="K33" s="69"/>
      <c r="L33" s="70">
        <f t="shared" si="0"/>
        <v>100</v>
      </c>
      <c r="M33" s="71"/>
    </row>
    <row r="34" spans="1:14" ht="21" customHeight="1">
      <c r="A34" s="65">
        <v>45626</v>
      </c>
      <c r="B34" s="98"/>
      <c r="C34" s="98"/>
      <c r="D34" s="66">
        <v>213.8</v>
      </c>
      <c r="E34" s="67">
        <v>210.26</v>
      </c>
      <c r="F34" s="66">
        <v>588.73699999999997</v>
      </c>
      <c r="G34" s="68">
        <v>100</v>
      </c>
      <c r="H34" s="69"/>
      <c r="I34" s="69">
        <v>70</v>
      </c>
      <c r="J34" s="69">
        <v>30</v>
      </c>
      <c r="K34" s="69"/>
      <c r="L34" s="70">
        <f t="shared" si="0"/>
        <v>100</v>
      </c>
      <c r="M34" s="71"/>
    </row>
    <row r="35" spans="1:14" ht="21" customHeight="1">
      <c r="A35" s="73"/>
      <c r="B35" s="74"/>
      <c r="C35" s="74"/>
      <c r="D35" s="75"/>
      <c r="E35" s="76"/>
      <c r="F35" s="75"/>
      <c r="G35" s="77">
        <f t="shared" ref="G35:L35" si="1">SUM(G5:G34)</f>
        <v>1455</v>
      </c>
      <c r="H35" s="77">
        <f t="shared" si="1"/>
        <v>0</v>
      </c>
      <c r="I35" s="77">
        <f t="shared" si="1"/>
        <v>2100</v>
      </c>
      <c r="J35" s="77">
        <f t="shared" si="1"/>
        <v>1680</v>
      </c>
      <c r="K35" s="77">
        <f t="shared" si="1"/>
        <v>0</v>
      </c>
      <c r="L35" s="77">
        <f t="shared" si="1"/>
        <v>3780</v>
      </c>
      <c r="N35" s="78"/>
    </row>
    <row r="36" spans="1:14" ht="47.25" customHeight="1">
      <c r="A36" s="79"/>
      <c r="B36" s="80"/>
      <c r="C36" s="81"/>
      <c r="D36" s="81"/>
      <c r="E36" s="81"/>
      <c r="F36" s="81"/>
      <c r="G36" s="81">
        <f>G35/11574</f>
        <v>0.12571280456194919</v>
      </c>
      <c r="H36" s="81"/>
      <c r="I36" s="81">
        <f>I35/11574</f>
        <v>0.18144116122343182</v>
      </c>
      <c r="J36" s="81">
        <f>J35/11574</f>
        <v>0.14515292897874546</v>
      </c>
      <c r="K36" s="82"/>
      <c r="L36" s="82"/>
      <c r="M36" s="83"/>
    </row>
    <row r="37" spans="1:14" ht="15.75" customHeight="1">
      <c r="A37" s="111" t="s">
        <v>9</v>
      </c>
      <c r="B37" s="110"/>
      <c r="C37" s="110"/>
      <c r="D37" s="110"/>
      <c r="I37" s="111" t="s">
        <v>10</v>
      </c>
      <c r="J37" s="110"/>
      <c r="K37" s="110"/>
      <c r="L37" s="110"/>
      <c r="M37" s="84"/>
    </row>
    <row r="38" spans="1:14" ht="15.75" customHeight="1">
      <c r="A38" s="111" t="s">
        <v>16</v>
      </c>
      <c r="B38" s="110"/>
      <c r="C38" s="110"/>
      <c r="D38" s="110"/>
      <c r="I38" s="111" t="s">
        <v>16</v>
      </c>
      <c r="J38" s="110"/>
      <c r="K38" s="110"/>
      <c r="L38" s="110"/>
      <c r="M38" s="84"/>
    </row>
    <row r="39" spans="1:14" ht="15.75" customHeight="1">
      <c r="A39" s="109" t="s">
        <v>17</v>
      </c>
      <c r="B39" s="110"/>
      <c r="C39" s="110"/>
      <c r="D39" s="110"/>
      <c r="I39" s="109" t="s">
        <v>17</v>
      </c>
      <c r="J39" s="110"/>
      <c r="K39" s="110"/>
      <c r="L39" s="110"/>
      <c r="M39" s="84"/>
    </row>
    <row r="40" spans="1:14" ht="15.75" customHeight="1">
      <c r="M40" s="84"/>
    </row>
    <row r="41" spans="1:14" ht="15.75" customHeight="1">
      <c r="M41" s="84"/>
    </row>
    <row r="42" spans="1:14" ht="15.75" customHeight="1">
      <c r="M42" s="84"/>
    </row>
    <row r="43" spans="1:14" ht="15.75" customHeight="1">
      <c r="M43" s="84"/>
    </row>
    <row r="44" spans="1:14" ht="15.75" customHeight="1">
      <c r="M44" s="84"/>
    </row>
    <row r="45" spans="1:14" ht="15.75" customHeight="1">
      <c r="M45" s="84"/>
    </row>
    <row r="46" spans="1:14" ht="15.75" customHeight="1">
      <c r="M46" s="84"/>
    </row>
    <row r="47" spans="1:14" ht="15.75" customHeight="1">
      <c r="M47" s="84"/>
    </row>
    <row r="48" spans="1:14" ht="15.75" customHeight="1">
      <c r="M48" s="84"/>
    </row>
    <row r="49" spans="13:13" ht="15.75" customHeight="1">
      <c r="M49" s="84"/>
    </row>
    <row r="50" spans="13:13" ht="15.75" customHeight="1">
      <c r="M50" s="84"/>
    </row>
    <row r="51" spans="13:13" ht="15.75" customHeight="1">
      <c r="M51" s="84"/>
    </row>
    <row r="52" spans="13:13" ht="15.75" customHeight="1">
      <c r="M52" s="84"/>
    </row>
    <row r="53" spans="13:13" ht="15.75" customHeight="1">
      <c r="M53" s="84"/>
    </row>
    <row r="54" spans="13:13" ht="15.75" customHeight="1">
      <c r="M54" s="84"/>
    </row>
    <row r="55" spans="13:13" ht="15.75" customHeight="1">
      <c r="M55" s="84"/>
    </row>
    <row r="56" spans="13:13" ht="15.75" customHeight="1">
      <c r="M56" s="84"/>
    </row>
    <row r="57" spans="13:13" ht="15.75" customHeight="1">
      <c r="M57" s="84"/>
    </row>
    <row r="58" spans="13:13" ht="15.75" customHeight="1">
      <c r="M58" s="84"/>
    </row>
    <row r="59" spans="13:13" ht="15.75" customHeight="1">
      <c r="M59" s="84"/>
    </row>
    <row r="60" spans="13:13" ht="15.75" customHeight="1">
      <c r="M60" s="84"/>
    </row>
    <row r="61" spans="13:13" ht="15.75" customHeight="1">
      <c r="M61" s="84"/>
    </row>
    <row r="62" spans="13:13" ht="15.75" customHeight="1">
      <c r="M62" s="84"/>
    </row>
    <row r="63" spans="13:13" ht="15.75" customHeight="1">
      <c r="M63" s="84"/>
    </row>
    <row r="64" spans="13:13" ht="15.75" customHeight="1">
      <c r="M64" s="84"/>
    </row>
    <row r="65" spans="13:13" ht="15.75" customHeight="1">
      <c r="M65" s="84"/>
    </row>
    <row r="66" spans="13:13" ht="15.75" customHeight="1">
      <c r="M66" s="84"/>
    </row>
    <row r="67" spans="13:13" ht="15.75" customHeight="1">
      <c r="M67" s="84"/>
    </row>
    <row r="68" spans="13:13" ht="15.75" customHeight="1">
      <c r="M68" s="84"/>
    </row>
    <row r="69" spans="13:13" ht="15.75" customHeight="1">
      <c r="M69" s="84"/>
    </row>
    <row r="70" spans="13:13" ht="15.75" customHeight="1">
      <c r="M70" s="84"/>
    </row>
    <row r="71" spans="13:13" ht="15.75" customHeight="1">
      <c r="M71" s="84"/>
    </row>
    <row r="72" spans="13:13" ht="15.75" customHeight="1">
      <c r="M72" s="84"/>
    </row>
    <row r="73" spans="13:13" ht="15.75" customHeight="1">
      <c r="M73" s="84"/>
    </row>
    <row r="74" spans="13:13" ht="15.75" customHeight="1">
      <c r="M74" s="84"/>
    </row>
    <row r="75" spans="13:13" ht="15.75" customHeight="1">
      <c r="M75" s="84"/>
    </row>
    <row r="76" spans="13:13" ht="15.75" customHeight="1">
      <c r="M76" s="84"/>
    </row>
    <row r="77" spans="13:13" ht="15.75" customHeight="1">
      <c r="M77" s="84"/>
    </row>
    <row r="78" spans="13:13" ht="15.75" customHeight="1">
      <c r="M78" s="84"/>
    </row>
    <row r="79" spans="13:13" ht="15.75" customHeight="1">
      <c r="M79" s="84"/>
    </row>
    <row r="80" spans="13:13" ht="15.75" customHeight="1">
      <c r="M80" s="84"/>
    </row>
    <row r="81" spans="13:13" ht="15.75" customHeight="1">
      <c r="M81" s="84"/>
    </row>
    <row r="82" spans="13:13" ht="15.75" customHeight="1">
      <c r="M82" s="84"/>
    </row>
    <row r="83" spans="13:13" ht="15.75" customHeight="1">
      <c r="M83" s="84"/>
    </row>
    <row r="84" spans="13:13" ht="15.75" customHeight="1">
      <c r="M84" s="84"/>
    </row>
    <row r="85" spans="13:13" ht="15.75" customHeight="1">
      <c r="M85" s="84"/>
    </row>
    <row r="86" spans="13:13" ht="15.75" customHeight="1">
      <c r="M86" s="84"/>
    </row>
    <row r="87" spans="13:13" ht="15.75" customHeight="1">
      <c r="M87" s="84"/>
    </row>
    <row r="88" spans="13:13" ht="15.75" customHeight="1">
      <c r="M88" s="84"/>
    </row>
    <row r="89" spans="13:13" ht="15.75" customHeight="1">
      <c r="M89" s="84"/>
    </row>
    <row r="90" spans="13:13" ht="15.75" customHeight="1">
      <c r="M90" s="84"/>
    </row>
    <row r="91" spans="13:13" ht="15.75" customHeight="1">
      <c r="M91" s="84"/>
    </row>
    <row r="92" spans="13:13" ht="15.75" customHeight="1">
      <c r="M92" s="84"/>
    </row>
    <row r="93" spans="13:13" ht="15.75" customHeight="1">
      <c r="M93" s="84"/>
    </row>
    <row r="94" spans="13:13" ht="15.75" customHeight="1">
      <c r="M94" s="84"/>
    </row>
    <row r="95" spans="13:13" ht="15.75" customHeight="1">
      <c r="M95" s="84"/>
    </row>
    <row r="96" spans="13:13" ht="15.75" customHeight="1">
      <c r="M96" s="84"/>
    </row>
    <row r="97" spans="13:13" ht="15.75" customHeight="1">
      <c r="M97" s="84"/>
    </row>
    <row r="98" spans="13:13" ht="15.75" customHeight="1">
      <c r="M98" s="84"/>
    </row>
    <row r="99" spans="13:13" ht="15.75" customHeight="1">
      <c r="M99" s="84"/>
    </row>
    <row r="100" spans="13:13" ht="15.75" customHeight="1">
      <c r="M100" s="84"/>
    </row>
    <row r="101" spans="13:13" ht="15.75" customHeight="1">
      <c r="M101" s="84"/>
    </row>
    <row r="102" spans="13:13" ht="15" customHeight="1">
      <c r="M102" s="84"/>
    </row>
  </sheetData>
  <mergeCells count="19">
    <mergeCell ref="A1:M2"/>
    <mergeCell ref="A3:A4"/>
    <mergeCell ref="B3:B4"/>
    <mergeCell ref="C3:C4"/>
    <mergeCell ref="D3:D4"/>
    <mergeCell ref="E3:E4"/>
    <mergeCell ref="F3:F4"/>
    <mergeCell ref="G3:G4"/>
    <mergeCell ref="H3:K3"/>
    <mergeCell ref="L3:L4"/>
    <mergeCell ref="A39:D39"/>
    <mergeCell ref="I39:L39"/>
    <mergeCell ref="M3:M4"/>
    <mergeCell ref="B5:B34"/>
    <mergeCell ref="C5:C34"/>
    <mergeCell ref="A37:D37"/>
    <mergeCell ref="I37:L37"/>
    <mergeCell ref="A38:D38"/>
    <mergeCell ref="I38:L38"/>
  </mergeCells>
  <pageMargins left="0.7" right="0.7" top="0.75" bottom="0.75" header="0" footer="0"/>
  <pageSetup paperSize="9" scale="78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3"/>
  <sheetViews>
    <sheetView tabSelected="1" topLeftCell="A35" zoomScaleNormal="100" workbookViewId="0">
      <selection activeCell="F37" sqref="F37"/>
    </sheetView>
  </sheetViews>
  <sheetFormatPr defaultColWidth="14.42578125" defaultRowHeight="15" customHeight="1"/>
  <cols>
    <col min="1" max="1" width="12.42578125" style="63" customWidth="1"/>
    <col min="2" max="2" width="7" style="63" customWidth="1"/>
    <col min="3" max="3" width="6" style="63" customWidth="1"/>
    <col min="4" max="4" width="10" style="63" customWidth="1"/>
    <col min="5" max="5" width="10.5703125" style="63" customWidth="1"/>
    <col min="6" max="6" width="10.85546875" style="63" customWidth="1"/>
    <col min="7" max="7" width="8.85546875" style="63" customWidth="1"/>
    <col min="8" max="8" width="7.5703125" style="63" customWidth="1"/>
    <col min="9" max="10" width="8.28515625" style="63" customWidth="1"/>
    <col min="11" max="11" width="6.140625" style="63" customWidth="1"/>
    <col min="12" max="12" width="8.5703125" style="63" customWidth="1"/>
    <col min="13" max="13" width="7.7109375" style="63" customWidth="1"/>
    <col min="14" max="16384" width="14.42578125" style="63"/>
  </cols>
  <sheetData>
    <row r="1" spans="1:13" ht="14.25" customHeight="1">
      <c r="A1" s="100" t="s">
        <v>34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2"/>
    </row>
    <row r="2" spans="1:13" ht="15.75" customHeight="1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1:13" ht="14.25" customHeight="1">
      <c r="A3" s="106" t="s">
        <v>0</v>
      </c>
      <c r="B3" s="106" t="s">
        <v>1</v>
      </c>
      <c r="C3" s="106" t="s">
        <v>2</v>
      </c>
      <c r="D3" s="106" t="s">
        <v>28</v>
      </c>
      <c r="E3" s="106" t="s">
        <v>4</v>
      </c>
      <c r="F3" s="106" t="s">
        <v>23</v>
      </c>
      <c r="G3" s="106" t="s">
        <v>5</v>
      </c>
      <c r="H3" s="107" t="s">
        <v>6</v>
      </c>
      <c r="I3" s="108"/>
      <c r="J3" s="108"/>
      <c r="K3" s="108"/>
      <c r="L3" s="106" t="s">
        <v>29</v>
      </c>
      <c r="M3" s="95" t="s">
        <v>8</v>
      </c>
    </row>
    <row r="4" spans="1:13" ht="83.25" customHeight="1">
      <c r="A4" s="96"/>
      <c r="B4" s="96"/>
      <c r="C4" s="96"/>
      <c r="D4" s="96"/>
      <c r="E4" s="96"/>
      <c r="F4" s="96"/>
      <c r="G4" s="96"/>
      <c r="H4" s="64" t="s">
        <v>15</v>
      </c>
      <c r="I4" s="64" t="s">
        <v>30</v>
      </c>
      <c r="J4" s="64" t="s">
        <v>31</v>
      </c>
      <c r="K4" s="64" t="s">
        <v>14</v>
      </c>
      <c r="L4" s="96"/>
      <c r="M4" s="96"/>
    </row>
    <row r="5" spans="1:13" ht="19.5" customHeight="1">
      <c r="A5" s="65">
        <v>45566</v>
      </c>
      <c r="B5" s="97" t="s">
        <v>11</v>
      </c>
      <c r="C5" s="97" t="s">
        <v>12</v>
      </c>
      <c r="D5" s="66">
        <v>213.8</v>
      </c>
      <c r="E5" s="67">
        <v>213.64</v>
      </c>
      <c r="F5" s="66">
        <v>932.46100000000001</v>
      </c>
      <c r="G5" s="68">
        <v>188</v>
      </c>
      <c r="H5" s="69">
        <v>0</v>
      </c>
      <c r="I5" s="69">
        <v>70</v>
      </c>
      <c r="J5" s="69">
        <v>60</v>
      </c>
      <c r="K5" s="69">
        <v>0</v>
      </c>
      <c r="L5" s="70">
        <f>H5+I5+J5+K5</f>
        <v>130</v>
      </c>
      <c r="M5" s="71"/>
    </row>
    <row r="6" spans="1:13" ht="19.5" customHeight="1">
      <c r="A6" s="65">
        <v>45567</v>
      </c>
      <c r="B6" s="98"/>
      <c r="C6" s="98"/>
      <c r="D6" s="66">
        <v>213.8</v>
      </c>
      <c r="E6" s="67">
        <v>213.65</v>
      </c>
      <c r="F6" s="66">
        <v>933.50599999999997</v>
      </c>
      <c r="G6" s="68">
        <v>151</v>
      </c>
      <c r="H6" s="69">
        <v>0</v>
      </c>
      <c r="I6" s="69">
        <v>70</v>
      </c>
      <c r="J6" s="69">
        <v>60</v>
      </c>
      <c r="K6" s="69">
        <v>0</v>
      </c>
      <c r="L6" s="70">
        <f t="shared" ref="L6:L35" si="0">H6+I6+J6+K6</f>
        <v>130</v>
      </c>
      <c r="M6" s="71"/>
    </row>
    <row r="7" spans="1:13" ht="19.5" customHeight="1">
      <c r="A7" s="65">
        <v>45568</v>
      </c>
      <c r="B7" s="98"/>
      <c r="C7" s="98"/>
      <c r="D7" s="66">
        <v>213.8</v>
      </c>
      <c r="E7" s="67">
        <v>213.67</v>
      </c>
      <c r="F7" s="66">
        <v>935.59699999999998</v>
      </c>
      <c r="G7" s="68">
        <v>164</v>
      </c>
      <c r="H7" s="69">
        <v>0</v>
      </c>
      <c r="I7" s="69">
        <v>70</v>
      </c>
      <c r="J7" s="69">
        <v>60</v>
      </c>
      <c r="K7" s="69">
        <v>0</v>
      </c>
      <c r="L7" s="70">
        <f t="shared" si="0"/>
        <v>130</v>
      </c>
      <c r="M7" s="71"/>
    </row>
    <row r="8" spans="1:13" ht="19.5" customHeight="1">
      <c r="A8" s="65">
        <v>45569</v>
      </c>
      <c r="B8" s="98"/>
      <c r="C8" s="98"/>
      <c r="D8" s="66">
        <v>213.8</v>
      </c>
      <c r="E8" s="67">
        <v>213.67</v>
      </c>
      <c r="F8" s="66">
        <v>935.59699999999998</v>
      </c>
      <c r="G8" s="68">
        <v>140</v>
      </c>
      <c r="H8" s="69">
        <v>0</v>
      </c>
      <c r="I8" s="69">
        <v>70</v>
      </c>
      <c r="J8" s="69">
        <v>70</v>
      </c>
      <c r="K8" s="69">
        <v>0</v>
      </c>
      <c r="L8" s="70">
        <f t="shared" si="0"/>
        <v>140</v>
      </c>
      <c r="M8" s="71"/>
    </row>
    <row r="9" spans="1:13" ht="19.5" customHeight="1">
      <c r="A9" s="65">
        <v>45570</v>
      </c>
      <c r="B9" s="98"/>
      <c r="C9" s="98"/>
      <c r="D9" s="66">
        <v>213.8</v>
      </c>
      <c r="E9" s="67">
        <v>213.62</v>
      </c>
      <c r="F9" s="66">
        <v>930.37</v>
      </c>
      <c r="G9" s="68">
        <v>80</v>
      </c>
      <c r="H9" s="69">
        <v>0</v>
      </c>
      <c r="I9" s="69">
        <v>70</v>
      </c>
      <c r="J9" s="69">
        <v>70</v>
      </c>
      <c r="K9" s="69">
        <v>0</v>
      </c>
      <c r="L9" s="70">
        <f t="shared" si="0"/>
        <v>140</v>
      </c>
      <c r="M9" s="71"/>
    </row>
    <row r="10" spans="1:13" ht="19.5" customHeight="1">
      <c r="A10" s="65">
        <v>45571</v>
      </c>
      <c r="B10" s="98"/>
      <c r="C10" s="98"/>
      <c r="D10" s="66">
        <v>213.8</v>
      </c>
      <c r="E10" s="67">
        <v>213.58</v>
      </c>
      <c r="F10" s="66">
        <v>928.18700000000001</v>
      </c>
      <c r="G10" s="68">
        <v>92</v>
      </c>
      <c r="H10" s="69">
        <v>0</v>
      </c>
      <c r="I10" s="69">
        <v>70</v>
      </c>
      <c r="J10" s="69">
        <v>70</v>
      </c>
      <c r="K10" s="69">
        <v>0</v>
      </c>
      <c r="L10" s="70">
        <f t="shared" si="0"/>
        <v>140</v>
      </c>
      <c r="M10" s="71"/>
    </row>
    <row r="11" spans="1:13" ht="19.5" customHeight="1">
      <c r="A11" s="65">
        <v>45572</v>
      </c>
      <c r="B11" s="98"/>
      <c r="C11" s="98"/>
      <c r="D11" s="66">
        <v>213.8</v>
      </c>
      <c r="E11" s="67">
        <v>213.55</v>
      </c>
      <c r="F11" s="66">
        <v>923.05100000000004</v>
      </c>
      <c r="G11" s="68">
        <v>103</v>
      </c>
      <c r="H11" s="69">
        <v>0</v>
      </c>
      <c r="I11" s="69">
        <v>70</v>
      </c>
      <c r="J11" s="69">
        <v>70</v>
      </c>
      <c r="K11" s="69">
        <v>0</v>
      </c>
      <c r="L11" s="70">
        <f t="shared" si="0"/>
        <v>140</v>
      </c>
      <c r="M11" s="71"/>
    </row>
    <row r="12" spans="1:13" ht="19.5" customHeight="1">
      <c r="A12" s="65">
        <v>45573</v>
      </c>
      <c r="B12" s="98"/>
      <c r="C12" s="98"/>
      <c r="D12" s="66">
        <v>213.8</v>
      </c>
      <c r="E12" s="67">
        <v>213.5</v>
      </c>
      <c r="F12" s="66">
        <v>917.82299999999998</v>
      </c>
      <c r="G12" s="68">
        <v>80</v>
      </c>
      <c r="H12" s="69">
        <v>0</v>
      </c>
      <c r="I12" s="69">
        <v>70</v>
      </c>
      <c r="J12" s="69">
        <v>70</v>
      </c>
      <c r="K12" s="69">
        <v>0</v>
      </c>
      <c r="L12" s="70">
        <f t="shared" si="0"/>
        <v>140</v>
      </c>
      <c r="M12" s="71"/>
    </row>
    <row r="13" spans="1:13" ht="19.5" customHeight="1">
      <c r="A13" s="65">
        <v>45574</v>
      </c>
      <c r="B13" s="98"/>
      <c r="C13" s="98"/>
      <c r="D13" s="66">
        <v>213.8</v>
      </c>
      <c r="E13" s="67">
        <v>213.5</v>
      </c>
      <c r="F13" s="66">
        <v>917.82299999999998</v>
      </c>
      <c r="G13" s="68">
        <v>140</v>
      </c>
      <c r="H13" s="69">
        <v>0</v>
      </c>
      <c r="I13" s="69">
        <v>70</v>
      </c>
      <c r="J13" s="69">
        <v>70</v>
      </c>
      <c r="K13" s="69">
        <v>0</v>
      </c>
      <c r="L13" s="70">
        <f t="shared" si="0"/>
        <v>140</v>
      </c>
      <c r="M13" s="71"/>
    </row>
    <row r="14" spans="1:13" ht="19.5" customHeight="1">
      <c r="A14" s="65">
        <v>45575</v>
      </c>
      <c r="B14" s="98"/>
      <c r="C14" s="98"/>
      <c r="D14" s="66">
        <v>213.8</v>
      </c>
      <c r="E14" s="67">
        <v>213.44</v>
      </c>
      <c r="F14" s="66">
        <v>911.54899999999998</v>
      </c>
      <c r="G14" s="68">
        <v>67</v>
      </c>
      <c r="H14" s="69">
        <v>0</v>
      </c>
      <c r="I14" s="69">
        <v>70</v>
      </c>
      <c r="J14" s="69">
        <v>70</v>
      </c>
      <c r="K14" s="69">
        <v>0</v>
      </c>
      <c r="L14" s="70">
        <f t="shared" si="0"/>
        <v>140</v>
      </c>
      <c r="M14" s="71"/>
    </row>
    <row r="15" spans="1:13" ht="19.5" customHeight="1">
      <c r="A15" s="65">
        <v>45576</v>
      </c>
      <c r="B15" s="98"/>
      <c r="C15" s="98"/>
      <c r="D15" s="66">
        <v>213.8</v>
      </c>
      <c r="E15" s="67">
        <v>213.38</v>
      </c>
      <c r="F15" s="66">
        <v>905.27599999999995</v>
      </c>
      <c r="G15" s="68">
        <v>67</v>
      </c>
      <c r="H15" s="69">
        <v>0</v>
      </c>
      <c r="I15" s="69">
        <v>70</v>
      </c>
      <c r="J15" s="69">
        <v>70</v>
      </c>
      <c r="K15" s="69">
        <v>0</v>
      </c>
      <c r="L15" s="70">
        <f t="shared" si="0"/>
        <v>140</v>
      </c>
      <c r="M15" s="71"/>
    </row>
    <row r="16" spans="1:13" ht="19.5" customHeight="1">
      <c r="A16" s="65">
        <v>45577</v>
      </c>
      <c r="B16" s="98"/>
      <c r="C16" s="98"/>
      <c r="D16" s="66">
        <v>213.8</v>
      </c>
      <c r="E16" s="67">
        <v>213.37</v>
      </c>
      <c r="F16" s="66">
        <v>904.23</v>
      </c>
      <c r="G16" s="68">
        <v>128</v>
      </c>
      <c r="H16" s="69">
        <v>0</v>
      </c>
      <c r="I16" s="69">
        <v>70</v>
      </c>
      <c r="J16" s="69">
        <v>70</v>
      </c>
      <c r="K16" s="69">
        <v>0</v>
      </c>
      <c r="L16" s="70">
        <f t="shared" si="0"/>
        <v>140</v>
      </c>
      <c r="M16" s="71"/>
    </row>
    <row r="17" spans="1:14" ht="19.5" customHeight="1">
      <c r="A17" s="65">
        <v>45578</v>
      </c>
      <c r="B17" s="98"/>
      <c r="C17" s="98"/>
      <c r="D17" s="66">
        <v>213.8</v>
      </c>
      <c r="E17" s="67">
        <v>213.3</v>
      </c>
      <c r="F17" s="66">
        <v>896.91099999999994</v>
      </c>
      <c r="G17" s="68">
        <v>55</v>
      </c>
      <c r="H17" s="69">
        <v>0</v>
      </c>
      <c r="I17" s="69">
        <v>70</v>
      </c>
      <c r="J17" s="69">
        <v>70</v>
      </c>
      <c r="K17" s="69">
        <v>0</v>
      </c>
      <c r="L17" s="70">
        <f t="shared" si="0"/>
        <v>140</v>
      </c>
      <c r="M17" s="71"/>
    </row>
    <row r="18" spans="1:14" ht="19.5" customHeight="1">
      <c r="A18" s="65">
        <v>45579</v>
      </c>
      <c r="B18" s="98"/>
      <c r="C18" s="98"/>
      <c r="D18" s="66">
        <v>213.8</v>
      </c>
      <c r="E18" s="67">
        <v>213.25</v>
      </c>
      <c r="F18" s="66">
        <v>891.68399999999997</v>
      </c>
      <c r="G18" s="68">
        <v>80</v>
      </c>
      <c r="H18" s="69">
        <v>0</v>
      </c>
      <c r="I18" s="69">
        <v>70</v>
      </c>
      <c r="J18" s="69">
        <v>70</v>
      </c>
      <c r="K18" s="69">
        <v>0</v>
      </c>
      <c r="L18" s="70">
        <f t="shared" si="0"/>
        <v>140</v>
      </c>
      <c r="M18" s="71"/>
    </row>
    <row r="19" spans="1:14" ht="19.5" customHeight="1">
      <c r="A19" s="65">
        <v>45580</v>
      </c>
      <c r="B19" s="98"/>
      <c r="C19" s="98"/>
      <c r="D19" s="66">
        <v>213.8</v>
      </c>
      <c r="E19" s="67">
        <v>213.18</v>
      </c>
      <c r="F19" s="66">
        <v>884.36500000000001</v>
      </c>
      <c r="G19" s="68">
        <v>55</v>
      </c>
      <c r="H19" s="69">
        <v>0</v>
      </c>
      <c r="I19" s="69">
        <v>70</v>
      </c>
      <c r="J19" s="69">
        <v>70</v>
      </c>
      <c r="K19" s="69">
        <v>0</v>
      </c>
      <c r="L19" s="70">
        <f t="shared" si="0"/>
        <v>140</v>
      </c>
      <c r="M19" s="71"/>
    </row>
    <row r="20" spans="1:14" ht="19.5" customHeight="1">
      <c r="A20" s="65">
        <v>45581</v>
      </c>
      <c r="B20" s="98"/>
      <c r="C20" s="98"/>
      <c r="D20" s="66">
        <v>213.8</v>
      </c>
      <c r="E20" s="67">
        <v>213.15</v>
      </c>
      <c r="F20" s="66">
        <v>881.22799999999995</v>
      </c>
      <c r="G20" s="68">
        <v>104</v>
      </c>
      <c r="H20" s="69">
        <v>0</v>
      </c>
      <c r="I20" s="69">
        <v>70</v>
      </c>
      <c r="J20" s="69">
        <v>70</v>
      </c>
      <c r="K20" s="69">
        <v>0</v>
      </c>
      <c r="L20" s="70">
        <f t="shared" si="0"/>
        <v>140</v>
      </c>
      <c r="M20" s="71"/>
    </row>
    <row r="21" spans="1:14" ht="19.5" customHeight="1">
      <c r="A21" s="65">
        <v>45582</v>
      </c>
      <c r="B21" s="98"/>
      <c r="C21" s="98"/>
      <c r="D21" s="66">
        <v>213.8</v>
      </c>
      <c r="E21" s="67">
        <v>213.1</v>
      </c>
      <c r="F21" s="66">
        <v>876</v>
      </c>
      <c r="G21" s="68">
        <v>79</v>
      </c>
      <c r="H21" s="69">
        <v>0</v>
      </c>
      <c r="I21" s="69">
        <v>70</v>
      </c>
      <c r="J21" s="69">
        <v>70</v>
      </c>
      <c r="K21" s="69">
        <v>0</v>
      </c>
      <c r="L21" s="70">
        <f t="shared" si="0"/>
        <v>140</v>
      </c>
      <c r="M21" s="71"/>
    </row>
    <row r="22" spans="1:14" ht="19.5" customHeight="1">
      <c r="A22" s="65">
        <v>45583</v>
      </c>
      <c r="B22" s="98"/>
      <c r="C22" s="98"/>
      <c r="D22" s="66">
        <v>213.8</v>
      </c>
      <c r="E22" s="67">
        <v>213.05</v>
      </c>
      <c r="F22" s="66">
        <v>870.77</v>
      </c>
      <c r="G22" s="68">
        <v>80</v>
      </c>
      <c r="H22" s="69">
        <v>0</v>
      </c>
      <c r="I22" s="69">
        <v>70</v>
      </c>
      <c r="J22" s="69">
        <v>70</v>
      </c>
      <c r="K22" s="69">
        <v>0</v>
      </c>
      <c r="L22" s="70">
        <f t="shared" si="0"/>
        <v>140</v>
      </c>
      <c r="M22" s="71"/>
    </row>
    <row r="23" spans="1:14" ht="19.5" customHeight="1">
      <c r="A23" s="65">
        <v>45584</v>
      </c>
      <c r="B23" s="98"/>
      <c r="C23" s="98"/>
      <c r="D23" s="66">
        <v>213.8</v>
      </c>
      <c r="E23" s="67">
        <v>213.05</v>
      </c>
      <c r="F23" s="66">
        <v>870.77</v>
      </c>
      <c r="G23" s="68">
        <v>140</v>
      </c>
      <c r="H23" s="69">
        <v>0</v>
      </c>
      <c r="I23" s="69">
        <v>70</v>
      </c>
      <c r="J23" s="69">
        <v>70</v>
      </c>
      <c r="K23" s="69">
        <v>0</v>
      </c>
      <c r="L23" s="70">
        <f t="shared" si="0"/>
        <v>140</v>
      </c>
      <c r="M23" s="71"/>
    </row>
    <row r="24" spans="1:14" ht="19.5" customHeight="1">
      <c r="A24" s="65">
        <v>45585</v>
      </c>
      <c r="B24" s="98"/>
      <c r="C24" s="98"/>
      <c r="D24" s="66">
        <v>213.8</v>
      </c>
      <c r="E24" s="67">
        <v>212.97800000000001</v>
      </c>
      <c r="F24" s="66">
        <v>862.40800000000002</v>
      </c>
      <c r="G24" s="68">
        <v>43</v>
      </c>
      <c r="H24" s="69">
        <v>0</v>
      </c>
      <c r="I24" s="69">
        <v>70</v>
      </c>
      <c r="J24" s="69">
        <v>70</v>
      </c>
      <c r="K24" s="69">
        <v>0</v>
      </c>
      <c r="L24" s="70">
        <f t="shared" si="0"/>
        <v>140</v>
      </c>
      <c r="M24" s="71"/>
    </row>
    <row r="25" spans="1:14" ht="19.5" customHeight="1">
      <c r="A25" s="65">
        <v>45586</v>
      </c>
      <c r="B25" s="98"/>
      <c r="C25" s="98"/>
      <c r="D25" s="66">
        <v>213.8</v>
      </c>
      <c r="E25" s="67">
        <v>212.89</v>
      </c>
      <c r="F25" s="66">
        <v>854.04300000000001</v>
      </c>
      <c r="G25" s="68">
        <v>43</v>
      </c>
      <c r="H25" s="69">
        <v>0</v>
      </c>
      <c r="I25" s="69">
        <v>70</v>
      </c>
      <c r="J25" s="69">
        <v>70</v>
      </c>
      <c r="K25" s="69">
        <v>0</v>
      </c>
      <c r="L25" s="70">
        <f t="shared" si="0"/>
        <v>140</v>
      </c>
      <c r="M25" s="71"/>
    </row>
    <row r="26" spans="1:14" ht="19.5" customHeight="1">
      <c r="A26" s="65">
        <v>45587</v>
      </c>
      <c r="B26" s="98"/>
      <c r="C26" s="98"/>
      <c r="D26" s="66">
        <v>213.8</v>
      </c>
      <c r="E26" s="67">
        <v>212.83</v>
      </c>
      <c r="F26" s="66">
        <v>847.77</v>
      </c>
      <c r="G26" s="68">
        <v>67</v>
      </c>
      <c r="H26" s="69">
        <v>0</v>
      </c>
      <c r="I26" s="69">
        <v>70</v>
      </c>
      <c r="J26" s="69">
        <v>70</v>
      </c>
      <c r="K26" s="69">
        <v>0</v>
      </c>
      <c r="L26" s="70">
        <f t="shared" si="0"/>
        <v>140</v>
      </c>
      <c r="M26" s="71"/>
      <c r="N26" s="72"/>
    </row>
    <row r="27" spans="1:14" ht="19.5" customHeight="1">
      <c r="A27" s="65">
        <v>45588</v>
      </c>
      <c r="B27" s="98"/>
      <c r="C27" s="98"/>
      <c r="D27" s="66">
        <v>213.8</v>
      </c>
      <c r="E27" s="67">
        <v>212.74</v>
      </c>
      <c r="F27" s="66">
        <v>838.35799999999995</v>
      </c>
      <c r="G27" s="68">
        <v>31</v>
      </c>
      <c r="H27" s="69">
        <v>0</v>
      </c>
      <c r="I27" s="69">
        <v>70</v>
      </c>
      <c r="J27" s="69">
        <v>70</v>
      </c>
      <c r="K27" s="69">
        <v>0</v>
      </c>
      <c r="L27" s="70">
        <f t="shared" si="0"/>
        <v>140</v>
      </c>
      <c r="M27" s="71"/>
    </row>
    <row r="28" spans="1:14" ht="19.5" customHeight="1">
      <c r="A28" s="65">
        <v>45589</v>
      </c>
      <c r="B28" s="98"/>
      <c r="C28" s="98"/>
      <c r="D28" s="66">
        <v>213.8</v>
      </c>
      <c r="E28" s="67">
        <v>212.68</v>
      </c>
      <c r="F28" s="66">
        <v>832.08600000000001</v>
      </c>
      <c r="G28" s="68">
        <v>67</v>
      </c>
      <c r="H28" s="69">
        <v>0</v>
      </c>
      <c r="I28" s="69">
        <v>70</v>
      </c>
      <c r="J28" s="69">
        <v>70</v>
      </c>
      <c r="K28" s="69">
        <v>0</v>
      </c>
      <c r="L28" s="70">
        <f t="shared" si="0"/>
        <v>140</v>
      </c>
      <c r="M28" s="71"/>
    </row>
    <row r="29" spans="1:14" ht="19.5" customHeight="1">
      <c r="A29" s="65">
        <v>45590</v>
      </c>
      <c r="B29" s="98"/>
      <c r="C29" s="98"/>
      <c r="D29" s="66">
        <v>213.8</v>
      </c>
      <c r="E29" s="67">
        <v>212.64</v>
      </c>
      <c r="F29" s="66">
        <v>827.904</v>
      </c>
      <c r="G29" s="68">
        <v>92</v>
      </c>
      <c r="H29" s="69">
        <v>0</v>
      </c>
      <c r="I29" s="69">
        <v>70</v>
      </c>
      <c r="J29" s="69">
        <v>70</v>
      </c>
      <c r="K29" s="69">
        <v>0</v>
      </c>
      <c r="L29" s="70">
        <f t="shared" si="0"/>
        <v>140</v>
      </c>
      <c r="M29" s="71"/>
    </row>
    <row r="30" spans="1:14" ht="19.5" customHeight="1">
      <c r="A30" s="65">
        <v>45591</v>
      </c>
      <c r="B30" s="98"/>
      <c r="C30" s="98"/>
      <c r="D30" s="66">
        <v>213.8</v>
      </c>
      <c r="E30" s="67">
        <v>212.56</v>
      </c>
      <c r="F30" s="66">
        <v>819.53899999999999</v>
      </c>
      <c r="G30" s="68">
        <v>43</v>
      </c>
      <c r="H30" s="69">
        <v>0</v>
      </c>
      <c r="I30" s="69">
        <v>70</v>
      </c>
      <c r="J30" s="69">
        <v>70</v>
      </c>
      <c r="K30" s="69">
        <v>0</v>
      </c>
      <c r="L30" s="70">
        <f t="shared" si="0"/>
        <v>140</v>
      </c>
      <c r="M30" s="71"/>
    </row>
    <row r="31" spans="1:14" ht="21" customHeight="1">
      <c r="A31" s="65">
        <v>45592</v>
      </c>
      <c r="B31" s="98"/>
      <c r="C31" s="98"/>
      <c r="D31" s="66">
        <v>213.8</v>
      </c>
      <c r="E31" s="67">
        <v>212.5</v>
      </c>
      <c r="F31" s="66">
        <v>813.26599999999996</v>
      </c>
      <c r="G31" s="68">
        <v>67</v>
      </c>
      <c r="H31" s="69">
        <v>0</v>
      </c>
      <c r="I31" s="69">
        <v>70</v>
      </c>
      <c r="J31" s="69">
        <v>70</v>
      </c>
      <c r="K31" s="69">
        <v>0</v>
      </c>
      <c r="L31" s="70">
        <f t="shared" si="0"/>
        <v>140</v>
      </c>
      <c r="M31" s="71"/>
    </row>
    <row r="32" spans="1:14" ht="21" customHeight="1">
      <c r="A32" s="65">
        <v>45593</v>
      </c>
      <c r="B32" s="98"/>
      <c r="C32" s="98"/>
      <c r="D32" s="66">
        <v>213.8</v>
      </c>
      <c r="E32" s="67">
        <v>212.44</v>
      </c>
      <c r="F32" s="66">
        <v>806.99199999999996</v>
      </c>
      <c r="G32" s="68">
        <v>67</v>
      </c>
      <c r="H32" s="69">
        <v>0</v>
      </c>
      <c r="I32" s="69">
        <v>70</v>
      </c>
      <c r="J32" s="69">
        <v>70</v>
      </c>
      <c r="K32" s="69">
        <v>0</v>
      </c>
      <c r="L32" s="70">
        <f t="shared" si="0"/>
        <v>140</v>
      </c>
      <c r="M32" s="71"/>
    </row>
    <row r="33" spans="1:14" ht="21" customHeight="1">
      <c r="A33" s="65">
        <v>45594</v>
      </c>
      <c r="B33" s="98"/>
      <c r="C33" s="98"/>
      <c r="D33" s="66">
        <v>213.8</v>
      </c>
      <c r="E33" s="67">
        <v>212.4</v>
      </c>
      <c r="F33" s="66">
        <v>802.81</v>
      </c>
      <c r="G33" s="68">
        <v>67</v>
      </c>
      <c r="H33" s="69">
        <v>0</v>
      </c>
      <c r="I33" s="69">
        <v>70</v>
      </c>
      <c r="J33" s="69">
        <v>70</v>
      </c>
      <c r="K33" s="69">
        <v>0</v>
      </c>
      <c r="L33" s="70">
        <f t="shared" si="0"/>
        <v>140</v>
      </c>
      <c r="M33" s="71"/>
    </row>
    <row r="34" spans="1:14" ht="21" customHeight="1">
      <c r="A34" s="65">
        <v>45595</v>
      </c>
      <c r="B34" s="98"/>
      <c r="C34" s="98"/>
      <c r="D34" s="66">
        <v>213.8</v>
      </c>
      <c r="E34" s="67">
        <v>212.34</v>
      </c>
      <c r="F34" s="66">
        <v>796.53700000000003</v>
      </c>
      <c r="G34" s="68">
        <v>67</v>
      </c>
      <c r="H34" s="69">
        <v>0</v>
      </c>
      <c r="I34" s="69">
        <v>70</v>
      </c>
      <c r="J34" s="69">
        <v>70</v>
      </c>
      <c r="K34" s="69">
        <v>0</v>
      </c>
      <c r="L34" s="70">
        <f t="shared" si="0"/>
        <v>140</v>
      </c>
      <c r="M34" s="71"/>
    </row>
    <row r="35" spans="1:14" ht="21" customHeight="1">
      <c r="A35" s="65">
        <v>45596</v>
      </c>
      <c r="B35" s="98"/>
      <c r="C35" s="98"/>
      <c r="D35" s="66">
        <v>213.8</v>
      </c>
      <c r="E35" s="67">
        <v>212.27</v>
      </c>
      <c r="F35" s="66">
        <v>789.21799999999996</v>
      </c>
      <c r="G35" s="68">
        <v>55</v>
      </c>
      <c r="H35" s="69">
        <v>0</v>
      </c>
      <c r="I35" s="69">
        <v>70</v>
      </c>
      <c r="J35" s="69">
        <v>70</v>
      </c>
      <c r="K35" s="69">
        <v>0</v>
      </c>
      <c r="L35" s="70">
        <f t="shared" si="0"/>
        <v>140</v>
      </c>
      <c r="M35" s="71"/>
    </row>
    <row r="36" spans="1:14" ht="21" customHeight="1">
      <c r="A36" s="73"/>
      <c r="B36" s="74"/>
      <c r="C36" s="74"/>
      <c r="D36" s="75"/>
      <c r="E36" s="76"/>
      <c r="F36" s="75"/>
      <c r="G36" s="77">
        <f t="shared" ref="G36:L36" si="1">SUM(G5:G35)</f>
        <v>2702</v>
      </c>
      <c r="H36" s="77">
        <f t="shared" si="1"/>
        <v>0</v>
      </c>
      <c r="I36" s="77">
        <f t="shared" si="1"/>
        <v>2170</v>
      </c>
      <c r="J36" s="77">
        <f t="shared" si="1"/>
        <v>2140</v>
      </c>
      <c r="K36" s="77">
        <f t="shared" si="1"/>
        <v>0</v>
      </c>
      <c r="L36" s="77">
        <f t="shared" si="1"/>
        <v>4310</v>
      </c>
      <c r="N36" s="78"/>
    </row>
    <row r="37" spans="1:14" ht="47.25" customHeight="1">
      <c r="A37" s="79"/>
      <c r="B37" s="80"/>
      <c r="C37" s="81"/>
      <c r="D37" s="81"/>
      <c r="E37" s="81"/>
      <c r="F37" s="81"/>
      <c r="G37" s="151">
        <f>G36/11574</f>
        <v>0.23345429410748228</v>
      </c>
      <c r="H37" s="151"/>
      <c r="I37" s="151">
        <f>I36/11574</f>
        <v>0.18748919993087956</v>
      </c>
      <c r="J37" s="151">
        <f>J36/11574</f>
        <v>0.18489718334197339</v>
      </c>
      <c r="K37" s="82"/>
      <c r="L37" s="82"/>
      <c r="M37" s="83"/>
    </row>
    <row r="38" spans="1:14" ht="15.75" customHeight="1">
      <c r="A38" s="111" t="s">
        <v>9</v>
      </c>
      <c r="B38" s="110"/>
      <c r="C38" s="110"/>
      <c r="D38" s="110"/>
      <c r="I38" s="111" t="s">
        <v>10</v>
      </c>
      <c r="J38" s="110"/>
      <c r="K38" s="110"/>
      <c r="L38" s="110"/>
      <c r="M38" s="84"/>
    </row>
    <row r="39" spans="1:14" ht="15.75" customHeight="1">
      <c r="A39" s="111" t="s">
        <v>16</v>
      </c>
      <c r="B39" s="110"/>
      <c r="C39" s="110"/>
      <c r="D39" s="110"/>
      <c r="I39" s="111" t="s">
        <v>16</v>
      </c>
      <c r="J39" s="110"/>
      <c r="K39" s="110"/>
      <c r="L39" s="110"/>
      <c r="M39" s="84"/>
    </row>
    <row r="40" spans="1:14" ht="15.75" customHeight="1">
      <c r="A40" s="109" t="s">
        <v>17</v>
      </c>
      <c r="B40" s="110"/>
      <c r="C40" s="110"/>
      <c r="D40" s="110"/>
      <c r="I40" s="109" t="s">
        <v>17</v>
      </c>
      <c r="J40" s="110"/>
      <c r="K40" s="110"/>
      <c r="L40" s="110"/>
      <c r="M40" s="84"/>
    </row>
    <row r="41" spans="1:14" ht="15.75" customHeight="1">
      <c r="M41" s="84"/>
    </row>
    <row r="42" spans="1:14" ht="15.75" customHeight="1">
      <c r="M42" s="84"/>
    </row>
    <row r="43" spans="1:14" ht="15.75" customHeight="1">
      <c r="M43" s="84"/>
    </row>
    <row r="44" spans="1:14" ht="15.75" customHeight="1">
      <c r="M44" s="84"/>
    </row>
    <row r="45" spans="1:14" ht="15.75" customHeight="1">
      <c r="M45" s="84"/>
    </row>
    <row r="46" spans="1:14" ht="15.75" customHeight="1">
      <c r="M46" s="84"/>
    </row>
    <row r="47" spans="1:14" ht="15.75" customHeight="1">
      <c r="M47" s="84"/>
    </row>
    <row r="48" spans="1:14" ht="15.75" customHeight="1">
      <c r="M48" s="84"/>
    </row>
    <row r="49" spans="13:13" ht="15.75" customHeight="1">
      <c r="M49" s="84"/>
    </row>
    <row r="50" spans="13:13" ht="15.75" customHeight="1">
      <c r="M50" s="84"/>
    </row>
    <row r="51" spans="13:13" ht="15.75" customHeight="1">
      <c r="M51" s="84"/>
    </row>
    <row r="52" spans="13:13" ht="15.75" customHeight="1">
      <c r="M52" s="84"/>
    </row>
    <row r="53" spans="13:13" ht="15.75" customHeight="1">
      <c r="M53" s="84"/>
    </row>
    <row r="54" spans="13:13" ht="15.75" customHeight="1">
      <c r="M54" s="84"/>
    </row>
    <row r="55" spans="13:13" ht="15.75" customHeight="1">
      <c r="M55" s="84"/>
    </row>
    <row r="56" spans="13:13" ht="15.75" customHeight="1">
      <c r="M56" s="84"/>
    </row>
    <row r="57" spans="13:13" ht="15.75" customHeight="1">
      <c r="M57" s="84"/>
    </row>
    <row r="58" spans="13:13" ht="15.75" customHeight="1">
      <c r="M58" s="84"/>
    </row>
    <row r="59" spans="13:13" ht="15.75" customHeight="1">
      <c r="M59" s="84"/>
    </row>
    <row r="60" spans="13:13" ht="15.75" customHeight="1">
      <c r="M60" s="84"/>
    </row>
    <row r="61" spans="13:13" ht="15.75" customHeight="1">
      <c r="M61" s="84"/>
    </row>
    <row r="62" spans="13:13" ht="15.75" customHeight="1">
      <c r="M62" s="84"/>
    </row>
    <row r="63" spans="13:13" ht="15.75" customHeight="1">
      <c r="M63" s="84"/>
    </row>
    <row r="64" spans="13:13" ht="15.75" customHeight="1">
      <c r="M64" s="84"/>
    </row>
    <row r="65" spans="13:13" ht="15.75" customHeight="1">
      <c r="M65" s="84"/>
    </row>
    <row r="66" spans="13:13" ht="15.75" customHeight="1">
      <c r="M66" s="84"/>
    </row>
    <row r="67" spans="13:13" ht="15.75" customHeight="1">
      <c r="M67" s="84"/>
    </row>
    <row r="68" spans="13:13" ht="15.75" customHeight="1">
      <c r="M68" s="84"/>
    </row>
    <row r="69" spans="13:13" ht="15.75" customHeight="1">
      <c r="M69" s="84"/>
    </row>
    <row r="70" spans="13:13" ht="15.75" customHeight="1">
      <c r="M70" s="84"/>
    </row>
    <row r="71" spans="13:13" ht="15.75" customHeight="1">
      <c r="M71" s="84"/>
    </row>
    <row r="72" spans="13:13" ht="15.75" customHeight="1">
      <c r="M72" s="84"/>
    </row>
    <row r="73" spans="13:13" ht="15.75" customHeight="1">
      <c r="M73" s="84"/>
    </row>
    <row r="74" spans="13:13" ht="15.75" customHeight="1">
      <c r="M74" s="84"/>
    </row>
    <row r="75" spans="13:13" ht="15.75" customHeight="1">
      <c r="M75" s="84"/>
    </row>
    <row r="76" spans="13:13" ht="15.75" customHeight="1">
      <c r="M76" s="84"/>
    </row>
    <row r="77" spans="13:13" ht="15.75" customHeight="1">
      <c r="M77" s="84"/>
    </row>
    <row r="78" spans="13:13" ht="15.75" customHeight="1">
      <c r="M78" s="84"/>
    </row>
    <row r="79" spans="13:13" ht="15.75" customHeight="1">
      <c r="M79" s="84"/>
    </row>
    <row r="80" spans="13:13" ht="15.75" customHeight="1">
      <c r="M80" s="84"/>
    </row>
    <row r="81" spans="13:13" ht="15.75" customHeight="1">
      <c r="M81" s="84"/>
    </row>
    <row r="82" spans="13:13" ht="15.75" customHeight="1">
      <c r="M82" s="84"/>
    </row>
    <row r="83" spans="13:13" ht="15.75" customHeight="1">
      <c r="M83" s="84"/>
    </row>
    <row r="84" spans="13:13" ht="15.75" customHeight="1">
      <c r="M84" s="84"/>
    </row>
    <row r="85" spans="13:13" ht="15.75" customHeight="1">
      <c r="M85" s="84"/>
    </row>
    <row r="86" spans="13:13" ht="15.75" customHeight="1">
      <c r="M86" s="84"/>
    </row>
    <row r="87" spans="13:13" ht="15.75" customHeight="1">
      <c r="M87" s="84"/>
    </row>
    <row r="88" spans="13:13" ht="15.75" customHeight="1">
      <c r="M88" s="84"/>
    </row>
    <row r="89" spans="13:13" ht="15.75" customHeight="1">
      <c r="M89" s="84"/>
    </row>
    <row r="90" spans="13:13" ht="15.75" customHeight="1">
      <c r="M90" s="84"/>
    </row>
    <row r="91" spans="13:13" ht="15.75" customHeight="1">
      <c r="M91" s="84"/>
    </row>
    <row r="92" spans="13:13" ht="15.75" customHeight="1">
      <c r="M92" s="84"/>
    </row>
    <row r="93" spans="13:13" ht="15.75" customHeight="1">
      <c r="M93" s="84"/>
    </row>
    <row r="94" spans="13:13" ht="15.75" customHeight="1">
      <c r="M94" s="84"/>
    </row>
    <row r="95" spans="13:13" ht="15.75" customHeight="1">
      <c r="M95" s="84"/>
    </row>
    <row r="96" spans="13:13" ht="15.75" customHeight="1">
      <c r="M96" s="84"/>
    </row>
    <row r="97" spans="13:13" ht="15.75" customHeight="1">
      <c r="M97" s="84"/>
    </row>
    <row r="98" spans="13:13" ht="15.75" customHeight="1">
      <c r="M98" s="84"/>
    </row>
    <row r="99" spans="13:13" ht="15.75" customHeight="1">
      <c r="M99" s="84"/>
    </row>
    <row r="100" spans="13:13" ht="15.75" customHeight="1">
      <c r="M100" s="84"/>
    </row>
    <row r="101" spans="13:13" ht="15.75" customHeight="1">
      <c r="M101" s="84"/>
    </row>
    <row r="102" spans="13:13" ht="15.75" customHeight="1">
      <c r="M102" s="84"/>
    </row>
    <row r="103" spans="13:13" ht="15" customHeight="1">
      <c r="M103" s="84"/>
    </row>
  </sheetData>
  <mergeCells count="19">
    <mergeCell ref="A1:M2"/>
    <mergeCell ref="A3:A4"/>
    <mergeCell ref="B3:B4"/>
    <mergeCell ref="C3:C4"/>
    <mergeCell ref="D3:D4"/>
    <mergeCell ref="E3:E4"/>
    <mergeCell ref="F3:F4"/>
    <mergeCell ref="G3:G4"/>
    <mergeCell ref="H3:K3"/>
    <mergeCell ref="L3:L4"/>
    <mergeCell ref="A40:D40"/>
    <mergeCell ref="I40:L40"/>
    <mergeCell ref="M3:M4"/>
    <mergeCell ref="B5:B35"/>
    <mergeCell ref="C5:C35"/>
    <mergeCell ref="A38:D38"/>
    <mergeCell ref="I38:L38"/>
    <mergeCell ref="A39:D39"/>
    <mergeCell ref="I39:L39"/>
  </mergeCells>
  <pageMargins left="0.7" right="0.7" top="0.75" bottom="0.75" header="0" footer="0"/>
  <pageSetup paperSize="9"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2"/>
  <sheetViews>
    <sheetView topLeftCell="A34" workbookViewId="0">
      <selection activeCell="G36" sqref="G36:J36"/>
    </sheetView>
  </sheetViews>
  <sheetFormatPr defaultColWidth="14.42578125" defaultRowHeight="15" customHeight="1"/>
  <cols>
    <col min="1" max="1" width="12.42578125" style="63" customWidth="1"/>
    <col min="2" max="2" width="7" style="63" customWidth="1"/>
    <col min="3" max="3" width="6" style="63" customWidth="1"/>
    <col min="4" max="4" width="10" style="63" customWidth="1"/>
    <col min="5" max="5" width="8.7109375" style="63" customWidth="1"/>
    <col min="6" max="6" width="9.7109375" style="63" customWidth="1"/>
    <col min="7" max="7" width="8.85546875" style="63" customWidth="1"/>
    <col min="8" max="8" width="10" style="63" customWidth="1"/>
    <col min="9" max="10" width="8.28515625" style="63" customWidth="1"/>
    <col min="11" max="11" width="6.140625" style="63" customWidth="1"/>
    <col min="12" max="12" width="8.5703125" style="63" customWidth="1"/>
    <col min="13" max="13" width="7.7109375" style="63" customWidth="1"/>
    <col min="14" max="16384" width="14.42578125" style="63"/>
  </cols>
  <sheetData>
    <row r="1" spans="1:13" ht="14.25" customHeight="1">
      <c r="A1" s="100" t="s">
        <v>33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2"/>
    </row>
    <row r="2" spans="1:13" ht="15.75" customHeight="1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1:13" ht="14.25" customHeight="1">
      <c r="A3" s="106" t="s">
        <v>0</v>
      </c>
      <c r="B3" s="106" t="s">
        <v>1</v>
      </c>
      <c r="C3" s="106" t="s">
        <v>2</v>
      </c>
      <c r="D3" s="106" t="s">
        <v>28</v>
      </c>
      <c r="E3" s="106" t="s">
        <v>4</v>
      </c>
      <c r="F3" s="106" t="s">
        <v>23</v>
      </c>
      <c r="G3" s="106" t="s">
        <v>5</v>
      </c>
      <c r="H3" s="107" t="s">
        <v>6</v>
      </c>
      <c r="I3" s="108"/>
      <c r="J3" s="108"/>
      <c r="K3" s="108"/>
      <c r="L3" s="106" t="s">
        <v>29</v>
      </c>
      <c r="M3" s="95" t="s">
        <v>8</v>
      </c>
    </row>
    <row r="4" spans="1:13" ht="83.25" customHeight="1">
      <c r="A4" s="96"/>
      <c r="B4" s="96"/>
      <c r="C4" s="96"/>
      <c r="D4" s="96"/>
      <c r="E4" s="96"/>
      <c r="F4" s="96"/>
      <c r="G4" s="96"/>
      <c r="H4" s="64" t="s">
        <v>15</v>
      </c>
      <c r="I4" s="64" t="s">
        <v>30</v>
      </c>
      <c r="J4" s="64" t="s">
        <v>31</v>
      </c>
      <c r="K4" s="64" t="s">
        <v>14</v>
      </c>
      <c r="L4" s="96"/>
      <c r="M4" s="96"/>
    </row>
    <row r="5" spans="1:13" ht="19.5" customHeight="1">
      <c r="A5" s="65">
        <v>45536</v>
      </c>
      <c r="B5" s="97" t="s">
        <v>11</v>
      </c>
      <c r="C5" s="97" t="s">
        <v>12</v>
      </c>
      <c r="D5" s="66">
        <v>213.8</v>
      </c>
      <c r="E5" s="67">
        <v>213.62</v>
      </c>
      <c r="F5" s="66">
        <v>928.279</v>
      </c>
      <c r="G5" s="68">
        <v>245</v>
      </c>
      <c r="H5" s="69"/>
      <c r="I5" s="69">
        <v>70</v>
      </c>
      <c r="J5" s="69">
        <v>30</v>
      </c>
      <c r="K5" s="69"/>
      <c r="L5" s="70">
        <f>H5+I5+J5+K5</f>
        <v>100</v>
      </c>
      <c r="M5" s="71"/>
    </row>
    <row r="6" spans="1:13" ht="19.5" customHeight="1">
      <c r="A6" s="65">
        <v>45537</v>
      </c>
      <c r="B6" s="98"/>
      <c r="C6" s="98"/>
      <c r="D6" s="66">
        <v>213.8</v>
      </c>
      <c r="E6" s="67">
        <v>213.5</v>
      </c>
      <c r="F6" s="66">
        <v>917.82299999999998</v>
      </c>
      <c r="G6" s="68">
        <v>374</v>
      </c>
      <c r="H6" s="69">
        <v>300</v>
      </c>
      <c r="I6" s="69">
        <v>0</v>
      </c>
      <c r="J6" s="69">
        <v>50</v>
      </c>
      <c r="K6" s="69"/>
      <c r="L6" s="70">
        <f t="shared" ref="L6:L34" si="0">H6+I6+J6+K6</f>
        <v>350</v>
      </c>
      <c r="M6" s="71"/>
    </row>
    <row r="7" spans="1:13" ht="19.5" customHeight="1">
      <c r="A7" s="65">
        <v>45538</v>
      </c>
      <c r="B7" s="98"/>
      <c r="C7" s="98"/>
      <c r="D7" s="66">
        <v>213.8</v>
      </c>
      <c r="E7" s="67">
        <v>213.5</v>
      </c>
      <c r="F7" s="66">
        <v>917.82299999999998</v>
      </c>
      <c r="G7" s="68">
        <v>140</v>
      </c>
      <c r="H7" s="69"/>
      <c r="I7" s="69">
        <v>70</v>
      </c>
      <c r="J7" s="69">
        <v>70</v>
      </c>
      <c r="K7" s="69"/>
      <c r="L7" s="70">
        <f t="shared" si="0"/>
        <v>140</v>
      </c>
      <c r="M7" s="71"/>
    </row>
    <row r="8" spans="1:13" ht="19.5" customHeight="1">
      <c r="A8" s="65">
        <v>45539</v>
      </c>
      <c r="B8" s="98"/>
      <c r="C8" s="98"/>
      <c r="D8" s="66">
        <v>213.8</v>
      </c>
      <c r="E8" s="67">
        <v>213.5</v>
      </c>
      <c r="F8" s="66">
        <v>917.82299999999998</v>
      </c>
      <c r="G8" s="68">
        <v>340</v>
      </c>
      <c r="H8" s="69">
        <v>200</v>
      </c>
      <c r="I8" s="69">
        <v>70</v>
      </c>
      <c r="J8" s="69">
        <v>70</v>
      </c>
      <c r="K8" s="69"/>
      <c r="L8" s="70">
        <f t="shared" si="0"/>
        <v>340</v>
      </c>
      <c r="M8" s="71"/>
    </row>
    <row r="9" spans="1:13" ht="19.5" customHeight="1">
      <c r="A9" s="65">
        <v>45540</v>
      </c>
      <c r="B9" s="98"/>
      <c r="C9" s="98"/>
      <c r="D9" s="66">
        <v>213.8</v>
      </c>
      <c r="E9" s="67">
        <v>213.54</v>
      </c>
      <c r="F9" s="66">
        <v>922.005</v>
      </c>
      <c r="G9" s="68">
        <v>188</v>
      </c>
      <c r="H9" s="69"/>
      <c r="I9" s="69">
        <v>70</v>
      </c>
      <c r="J9" s="69">
        <v>70</v>
      </c>
      <c r="K9" s="69"/>
      <c r="L9" s="70">
        <f t="shared" si="0"/>
        <v>140</v>
      </c>
      <c r="M9" s="71"/>
    </row>
    <row r="10" spans="1:13" ht="19.5" customHeight="1">
      <c r="A10" s="65">
        <v>45541</v>
      </c>
      <c r="B10" s="98"/>
      <c r="C10" s="98"/>
      <c r="D10" s="66">
        <v>213.8</v>
      </c>
      <c r="E10" s="67">
        <v>213.45</v>
      </c>
      <c r="F10" s="66">
        <v>912.59500000000003</v>
      </c>
      <c r="G10" s="68">
        <v>1031</v>
      </c>
      <c r="H10" s="69">
        <v>1000</v>
      </c>
      <c r="I10" s="69">
        <v>70</v>
      </c>
      <c r="J10" s="69">
        <v>70</v>
      </c>
      <c r="K10" s="69"/>
      <c r="L10" s="70">
        <f t="shared" si="0"/>
        <v>1140</v>
      </c>
      <c r="M10" s="71"/>
    </row>
    <row r="11" spans="1:13" ht="19.5" customHeight="1">
      <c r="A11" s="65">
        <v>45542</v>
      </c>
      <c r="B11" s="98"/>
      <c r="C11" s="98"/>
      <c r="D11" s="66">
        <v>213.8</v>
      </c>
      <c r="E11" s="67">
        <v>213.37</v>
      </c>
      <c r="F11" s="66">
        <v>904.23</v>
      </c>
      <c r="G11" s="68">
        <v>623</v>
      </c>
      <c r="H11" s="69">
        <v>600</v>
      </c>
      <c r="I11" s="69">
        <v>70</v>
      </c>
      <c r="J11" s="69">
        <v>50</v>
      </c>
      <c r="K11" s="69"/>
      <c r="L11" s="70">
        <f t="shared" si="0"/>
        <v>720</v>
      </c>
      <c r="M11" s="71"/>
    </row>
    <row r="12" spans="1:13" ht="19.5" customHeight="1">
      <c r="A12" s="65">
        <v>45543</v>
      </c>
      <c r="B12" s="98"/>
      <c r="C12" s="98"/>
      <c r="D12" s="66">
        <v>213.8</v>
      </c>
      <c r="E12" s="67">
        <v>213.3</v>
      </c>
      <c r="F12" s="66">
        <v>896.91099999999994</v>
      </c>
      <c r="G12" s="68">
        <v>287</v>
      </c>
      <c r="H12" s="69">
        <v>200</v>
      </c>
      <c r="I12" s="69">
        <v>70</v>
      </c>
      <c r="J12" s="69">
        <v>30</v>
      </c>
      <c r="K12" s="69"/>
      <c r="L12" s="70">
        <f t="shared" si="0"/>
        <v>300</v>
      </c>
      <c r="M12" s="71"/>
    </row>
    <row r="13" spans="1:13" ht="19.5" customHeight="1">
      <c r="A13" s="65">
        <v>45544</v>
      </c>
      <c r="B13" s="98"/>
      <c r="C13" s="98"/>
      <c r="D13" s="66">
        <v>213.8</v>
      </c>
      <c r="E13" s="67">
        <v>213.33</v>
      </c>
      <c r="F13" s="66">
        <v>900.048</v>
      </c>
      <c r="G13" s="68">
        <v>287</v>
      </c>
      <c r="H13" s="69">
        <v>200</v>
      </c>
      <c r="I13" s="69">
        <v>70</v>
      </c>
      <c r="J13" s="69">
        <v>30</v>
      </c>
      <c r="K13" s="69"/>
      <c r="L13" s="70">
        <f t="shared" si="0"/>
        <v>300</v>
      </c>
      <c r="M13" s="71"/>
    </row>
    <row r="14" spans="1:13" ht="19.5" customHeight="1">
      <c r="A14" s="65">
        <v>45545</v>
      </c>
      <c r="B14" s="98"/>
      <c r="C14" s="98"/>
      <c r="D14" s="66">
        <v>213.8</v>
      </c>
      <c r="E14" s="67">
        <v>213.31</v>
      </c>
      <c r="F14" s="66">
        <v>897.95699999999999</v>
      </c>
      <c r="G14" s="68">
        <v>330</v>
      </c>
      <c r="H14" s="69">
        <v>200</v>
      </c>
      <c r="I14" s="69">
        <v>70</v>
      </c>
      <c r="J14" s="69">
        <v>60</v>
      </c>
      <c r="K14" s="69"/>
      <c r="L14" s="70">
        <f t="shared" si="0"/>
        <v>330</v>
      </c>
      <c r="M14" s="71"/>
    </row>
    <row r="15" spans="1:13" ht="19.5" customHeight="1">
      <c r="A15" s="65">
        <v>45546</v>
      </c>
      <c r="B15" s="98"/>
      <c r="C15" s="98"/>
      <c r="D15" s="66">
        <v>213.8</v>
      </c>
      <c r="E15" s="67">
        <v>213.5</v>
      </c>
      <c r="F15" s="66">
        <v>917.82299999999998</v>
      </c>
      <c r="G15" s="68">
        <v>359</v>
      </c>
      <c r="H15" s="69">
        <v>130</v>
      </c>
      <c r="I15" s="69">
        <v>70</v>
      </c>
      <c r="J15" s="69">
        <v>60</v>
      </c>
      <c r="K15" s="69"/>
      <c r="L15" s="70">
        <f t="shared" si="0"/>
        <v>260</v>
      </c>
      <c r="M15" s="71"/>
    </row>
    <row r="16" spans="1:13" ht="19.5" customHeight="1">
      <c r="A16" s="65">
        <v>45547</v>
      </c>
      <c r="B16" s="98"/>
      <c r="C16" s="98"/>
      <c r="D16" s="66">
        <v>213.8</v>
      </c>
      <c r="E16" s="67">
        <v>213.64</v>
      </c>
      <c r="F16" s="66">
        <v>932.46100000000001</v>
      </c>
      <c r="G16" s="68">
        <v>299</v>
      </c>
      <c r="H16" s="69"/>
      <c r="I16" s="69">
        <v>70</v>
      </c>
      <c r="J16" s="69">
        <v>60</v>
      </c>
      <c r="K16" s="69"/>
      <c r="L16" s="70">
        <f t="shared" si="0"/>
        <v>130</v>
      </c>
      <c r="M16" s="71"/>
    </row>
    <row r="17" spans="1:14" ht="19.5" customHeight="1">
      <c r="A17" s="65">
        <v>45548</v>
      </c>
      <c r="B17" s="98"/>
      <c r="C17" s="98"/>
      <c r="D17" s="66">
        <v>213.8</v>
      </c>
      <c r="E17" s="67">
        <v>213.73</v>
      </c>
      <c r="F17" s="66">
        <v>941.87099999999998</v>
      </c>
      <c r="G17" s="68">
        <v>238</v>
      </c>
      <c r="H17" s="69"/>
      <c r="I17" s="69">
        <v>70</v>
      </c>
      <c r="J17" s="69">
        <v>60</v>
      </c>
      <c r="K17" s="69"/>
      <c r="L17" s="70">
        <f t="shared" si="0"/>
        <v>130</v>
      </c>
      <c r="M17" s="71"/>
    </row>
    <row r="18" spans="1:14" ht="19.5" customHeight="1">
      <c r="A18" s="65">
        <v>45549</v>
      </c>
      <c r="B18" s="98"/>
      <c r="C18" s="98"/>
      <c r="D18" s="66">
        <v>213.8</v>
      </c>
      <c r="E18" s="67">
        <v>213.39</v>
      </c>
      <c r="F18" s="66">
        <v>906.32100000000003</v>
      </c>
      <c r="G18" s="68">
        <v>218</v>
      </c>
      <c r="H18" s="69">
        <v>500</v>
      </c>
      <c r="I18" s="69">
        <v>70</v>
      </c>
      <c r="J18" s="69">
        <v>60</v>
      </c>
      <c r="K18" s="69"/>
      <c r="L18" s="70">
        <f t="shared" si="0"/>
        <v>630</v>
      </c>
      <c r="M18" s="71"/>
    </row>
    <row r="19" spans="1:14" ht="19.5" customHeight="1">
      <c r="A19" s="65">
        <v>45550</v>
      </c>
      <c r="B19" s="98"/>
      <c r="C19" s="98"/>
      <c r="D19" s="66">
        <v>213.8</v>
      </c>
      <c r="E19" s="67">
        <v>213.49</v>
      </c>
      <c r="F19" s="66">
        <v>916.77700000000004</v>
      </c>
      <c r="G19" s="68">
        <v>251</v>
      </c>
      <c r="H19" s="69"/>
      <c r="I19" s="69">
        <v>70</v>
      </c>
      <c r="J19" s="69">
        <v>60</v>
      </c>
      <c r="K19" s="69"/>
      <c r="L19" s="70">
        <f t="shared" si="0"/>
        <v>130</v>
      </c>
      <c r="M19" s="71"/>
    </row>
    <row r="20" spans="1:14" ht="19.5" customHeight="1">
      <c r="A20" s="65">
        <v>45551</v>
      </c>
      <c r="B20" s="98"/>
      <c r="C20" s="98"/>
      <c r="D20" s="66">
        <v>213.8</v>
      </c>
      <c r="E20" s="67">
        <v>213.47</v>
      </c>
      <c r="F20" s="66">
        <v>914.68600000000004</v>
      </c>
      <c r="G20" s="68">
        <v>106</v>
      </c>
      <c r="H20" s="69"/>
      <c r="I20" s="69">
        <v>70</v>
      </c>
      <c r="J20" s="69">
        <v>60</v>
      </c>
      <c r="K20" s="69"/>
      <c r="L20" s="70">
        <f t="shared" si="0"/>
        <v>130</v>
      </c>
      <c r="M20" s="71"/>
    </row>
    <row r="21" spans="1:14" ht="19.5" customHeight="1">
      <c r="A21" s="65">
        <v>45552</v>
      </c>
      <c r="B21" s="98"/>
      <c r="C21" s="98"/>
      <c r="D21" s="66">
        <v>213.8</v>
      </c>
      <c r="E21" s="67">
        <v>213.48</v>
      </c>
      <c r="F21" s="66">
        <v>915.73199999999997</v>
      </c>
      <c r="G21" s="68">
        <v>142</v>
      </c>
      <c r="H21" s="69"/>
      <c r="I21" s="69">
        <v>70</v>
      </c>
      <c r="J21" s="69">
        <v>60</v>
      </c>
      <c r="K21" s="69"/>
      <c r="L21" s="70">
        <f t="shared" si="0"/>
        <v>130</v>
      </c>
      <c r="M21" s="71"/>
    </row>
    <row r="22" spans="1:14" ht="19.5" customHeight="1">
      <c r="A22" s="65">
        <v>45553</v>
      </c>
      <c r="B22" s="98"/>
      <c r="C22" s="98"/>
      <c r="D22" s="66">
        <v>213.8</v>
      </c>
      <c r="E22" s="67">
        <v>213.48</v>
      </c>
      <c r="F22" s="66">
        <v>915.73199999999997</v>
      </c>
      <c r="G22" s="68">
        <v>130</v>
      </c>
      <c r="H22" s="69"/>
      <c r="I22" s="69">
        <v>70</v>
      </c>
      <c r="J22" s="69">
        <v>60</v>
      </c>
      <c r="K22" s="69"/>
      <c r="L22" s="70">
        <f t="shared" si="0"/>
        <v>130</v>
      </c>
      <c r="M22" s="71"/>
    </row>
    <row r="23" spans="1:14" ht="19.5" customHeight="1">
      <c r="A23" s="65">
        <v>45554</v>
      </c>
      <c r="B23" s="98"/>
      <c r="C23" s="98"/>
      <c r="D23" s="66">
        <v>213.8</v>
      </c>
      <c r="E23" s="67">
        <v>213.48</v>
      </c>
      <c r="F23" s="66">
        <v>915.73199999999997</v>
      </c>
      <c r="G23" s="68">
        <v>130</v>
      </c>
      <c r="H23" s="69"/>
      <c r="I23" s="69">
        <v>70</v>
      </c>
      <c r="J23" s="69">
        <v>60</v>
      </c>
      <c r="K23" s="69"/>
      <c r="L23" s="70">
        <f t="shared" si="0"/>
        <v>130</v>
      </c>
      <c r="M23" s="71"/>
    </row>
    <row r="24" spans="1:14" ht="19.5" customHeight="1">
      <c r="A24" s="65">
        <v>45555</v>
      </c>
      <c r="B24" s="98"/>
      <c r="C24" s="98"/>
      <c r="D24" s="66">
        <v>213.8</v>
      </c>
      <c r="E24" s="67">
        <v>213.64</v>
      </c>
      <c r="F24" s="66">
        <v>932.46100000000001</v>
      </c>
      <c r="G24" s="68">
        <v>324</v>
      </c>
      <c r="H24" s="69"/>
      <c r="I24" s="69">
        <v>70</v>
      </c>
      <c r="J24" s="69">
        <v>60</v>
      </c>
      <c r="K24" s="69"/>
      <c r="L24" s="70">
        <f t="shared" si="0"/>
        <v>130</v>
      </c>
      <c r="M24" s="71"/>
    </row>
    <row r="25" spans="1:14" ht="19.5" customHeight="1">
      <c r="A25" s="65">
        <v>45556</v>
      </c>
      <c r="B25" s="98"/>
      <c r="C25" s="98"/>
      <c r="D25" s="66">
        <v>213.8</v>
      </c>
      <c r="E25" s="67">
        <v>213.69</v>
      </c>
      <c r="F25" s="66">
        <v>937.68899999999996</v>
      </c>
      <c r="G25" s="68">
        <v>191</v>
      </c>
      <c r="H25" s="69"/>
      <c r="I25" s="69">
        <v>70</v>
      </c>
      <c r="J25" s="69">
        <v>60</v>
      </c>
      <c r="K25" s="69"/>
      <c r="L25" s="70">
        <f t="shared" si="0"/>
        <v>130</v>
      </c>
      <c r="M25" s="71"/>
    </row>
    <row r="26" spans="1:14" ht="19.5" customHeight="1">
      <c r="A26" s="65">
        <v>45557</v>
      </c>
      <c r="B26" s="98"/>
      <c r="C26" s="98"/>
      <c r="D26" s="66">
        <v>213.8</v>
      </c>
      <c r="E26" s="67">
        <v>213.69</v>
      </c>
      <c r="F26" s="66">
        <v>937.68899999999996</v>
      </c>
      <c r="G26" s="68">
        <v>130</v>
      </c>
      <c r="H26" s="69"/>
      <c r="I26" s="69">
        <v>70</v>
      </c>
      <c r="J26" s="69">
        <v>60</v>
      </c>
      <c r="K26" s="69"/>
      <c r="L26" s="70">
        <f t="shared" si="0"/>
        <v>130</v>
      </c>
      <c r="M26" s="71"/>
      <c r="N26" s="72"/>
    </row>
    <row r="27" spans="1:14" ht="19.5" customHeight="1">
      <c r="A27" s="65">
        <v>45558</v>
      </c>
      <c r="B27" s="98"/>
      <c r="C27" s="98"/>
      <c r="D27" s="66">
        <v>213.8</v>
      </c>
      <c r="E27" s="67">
        <v>213.69</v>
      </c>
      <c r="F27" s="66">
        <v>937.68899999999996</v>
      </c>
      <c r="G27" s="68">
        <v>130</v>
      </c>
      <c r="H27" s="69"/>
      <c r="I27" s="69">
        <v>70</v>
      </c>
      <c r="J27" s="69">
        <v>60</v>
      </c>
      <c r="K27" s="69"/>
      <c r="L27" s="70">
        <f t="shared" si="0"/>
        <v>130</v>
      </c>
      <c r="M27" s="71"/>
    </row>
    <row r="28" spans="1:14" ht="19.5" customHeight="1">
      <c r="A28" s="65">
        <v>45559</v>
      </c>
      <c r="B28" s="98"/>
      <c r="C28" s="98"/>
      <c r="D28" s="66">
        <v>213.8</v>
      </c>
      <c r="E28" s="67">
        <v>213.73</v>
      </c>
      <c r="F28" s="66">
        <v>941.87099999999998</v>
      </c>
      <c r="G28" s="68">
        <v>178</v>
      </c>
      <c r="H28" s="69"/>
      <c r="I28" s="69">
        <v>70</v>
      </c>
      <c r="J28" s="69">
        <v>60</v>
      </c>
      <c r="K28" s="69"/>
      <c r="L28" s="70">
        <f t="shared" si="0"/>
        <v>130</v>
      </c>
      <c r="M28" s="71"/>
    </row>
    <row r="29" spans="1:14" ht="19.5" customHeight="1">
      <c r="A29" s="65">
        <v>45560</v>
      </c>
      <c r="B29" s="98"/>
      <c r="C29" s="98"/>
      <c r="D29" s="66">
        <v>213.8</v>
      </c>
      <c r="E29" s="67">
        <v>213.49</v>
      </c>
      <c r="F29" s="66">
        <v>916.77700000000004</v>
      </c>
      <c r="G29" s="68">
        <v>139</v>
      </c>
      <c r="H29" s="69"/>
      <c r="I29" s="69">
        <v>70</v>
      </c>
      <c r="J29" s="69">
        <v>60</v>
      </c>
      <c r="K29" s="69"/>
      <c r="L29" s="70">
        <f t="shared" si="0"/>
        <v>130</v>
      </c>
      <c r="M29" s="71"/>
    </row>
    <row r="30" spans="1:14" ht="19.5" customHeight="1">
      <c r="A30" s="65">
        <v>45561</v>
      </c>
      <c r="B30" s="98"/>
      <c r="C30" s="98"/>
      <c r="D30" s="66">
        <v>213.8</v>
      </c>
      <c r="E30" s="67">
        <v>213.49</v>
      </c>
      <c r="F30" s="66">
        <v>916.77700000000004</v>
      </c>
      <c r="G30" s="68">
        <v>130</v>
      </c>
      <c r="H30" s="69"/>
      <c r="I30" s="69">
        <v>70</v>
      </c>
      <c r="J30" s="69">
        <v>60</v>
      </c>
      <c r="K30" s="69"/>
      <c r="L30" s="70">
        <f t="shared" si="0"/>
        <v>130</v>
      </c>
      <c r="M30" s="71"/>
    </row>
    <row r="31" spans="1:14" ht="21" customHeight="1">
      <c r="A31" s="65">
        <v>45562</v>
      </c>
      <c r="B31" s="98"/>
      <c r="C31" s="98"/>
      <c r="D31" s="66">
        <v>213.8</v>
      </c>
      <c r="E31" s="67">
        <v>213.49</v>
      </c>
      <c r="F31" s="66">
        <v>916.77700000000004</v>
      </c>
      <c r="G31" s="68">
        <v>130</v>
      </c>
      <c r="H31" s="69"/>
      <c r="I31" s="69">
        <v>70</v>
      </c>
      <c r="J31" s="69">
        <v>60</v>
      </c>
      <c r="K31" s="69"/>
      <c r="L31" s="70">
        <f t="shared" si="0"/>
        <v>130</v>
      </c>
      <c r="M31" s="71"/>
    </row>
    <row r="32" spans="1:14" ht="21" customHeight="1">
      <c r="A32" s="65">
        <v>45563</v>
      </c>
      <c r="B32" s="98"/>
      <c r="C32" s="98"/>
      <c r="D32" s="66">
        <v>213.8</v>
      </c>
      <c r="E32" s="67">
        <v>213.49</v>
      </c>
      <c r="F32" s="66">
        <v>916.77700000000004</v>
      </c>
      <c r="G32" s="68">
        <v>130</v>
      </c>
      <c r="H32" s="69"/>
      <c r="I32" s="69">
        <v>70</v>
      </c>
      <c r="J32" s="69">
        <v>60</v>
      </c>
      <c r="K32" s="69"/>
      <c r="L32" s="70">
        <f t="shared" si="0"/>
        <v>130</v>
      </c>
      <c r="M32" s="71"/>
    </row>
    <row r="33" spans="1:14" ht="21" customHeight="1">
      <c r="A33" s="65">
        <v>45564</v>
      </c>
      <c r="B33" s="98"/>
      <c r="C33" s="98"/>
      <c r="D33" s="66">
        <v>213.8</v>
      </c>
      <c r="E33" s="67">
        <v>213.49</v>
      </c>
      <c r="F33" s="66">
        <v>916.77700000000004</v>
      </c>
      <c r="G33" s="68">
        <v>130</v>
      </c>
      <c r="H33" s="69"/>
      <c r="I33" s="69">
        <v>70</v>
      </c>
      <c r="J33" s="69">
        <v>60</v>
      </c>
      <c r="K33" s="69"/>
      <c r="L33" s="70">
        <f t="shared" si="0"/>
        <v>130</v>
      </c>
      <c r="M33" s="71"/>
    </row>
    <row r="34" spans="1:14" ht="21" customHeight="1">
      <c r="A34" s="65">
        <v>45565</v>
      </c>
      <c r="B34" s="98"/>
      <c r="C34" s="98"/>
      <c r="D34" s="66">
        <v>213.8</v>
      </c>
      <c r="E34" s="67">
        <v>213.6</v>
      </c>
      <c r="F34" s="66">
        <v>928.27800000000002</v>
      </c>
      <c r="G34" s="68">
        <v>263</v>
      </c>
      <c r="H34" s="69"/>
      <c r="I34" s="69">
        <v>70</v>
      </c>
      <c r="J34" s="69">
        <v>60</v>
      </c>
      <c r="K34" s="69"/>
      <c r="L34" s="70">
        <f t="shared" si="0"/>
        <v>130</v>
      </c>
      <c r="M34" s="71"/>
    </row>
    <row r="35" spans="1:14" ht="21" customHeight="1">
      <c r="A35" s="73"/>
      <c r="B35" s="74"/>
      <c r="C35" s="74"/>
      <c r="D35" s="75"/>
      <c r="E35" s="76"/>
      <c r="F35" s="75"/>
      <c r="G35" s="77">
        <f t="shared" ref="G35:L35" si="1">SUM(G5:G34)</f>
        <v>7593</v>
      </c>
      <c r="H35" s="77">
        <f t="shared" si="1"/>
        <v>3330</v>
      </c>
      <c r="I35" s="77">
        <f t="shared" si="1"/>
        <v>2030</v>
      </c>
      <c r="J35" s="77">
        <f t="shared" si="1"/>
        <v>1730</v>
      </c>
      <c r="K35" s="77">
        <f t="shared" si="1"/>
        <v>0</v>
      </c>
      <c r="L35" s="77">
        <f t="shared" si="1"/>
        <v>7090</v>
      </c>
      <c r="N35" s="78"/>
    </row>
    <row r="36" spans="1:14" ht="47.25" customHeight="1">
      <c r="A36" s="79"/>
      <c r="B36" s="80"/>
      <c r="C36" s="81"/>
      <c r="D36" s="81"/>
      <c r="E36" s="81"/>
      <c r="F36" s="81"/>
      <c r="G36" s="151">
        <f>G35/11574</f>
        <v>0.65603939865215133</v>
      </c>
      <c r="H36" s="151"/>
      <c r="I36" s="151">
        <f>I35/11574</f>
        <v>0.1753931225159841</v>
      </c>
      <c r="J36" s="151">
        <f>J35/11574</f>
        <v>0.14947295662692242</v>
      </c>
      <c r="K36" s="82"/>
      <c r="L36" s="82"/>
      <c r="M36" s="83"/>
    </row>
    <row r="37" spans="1:14" ht="15.75" customHeight="1">
      <c r="A37" s="111" t="s">
        <v>9</v>
      </c>
      <c r="B37" s="110"/>
      <c r="C37" s="110"/>
      <c r="D37" s="110"/>
      <c r="I37" s="111" t="s">
        <v>10</v>
      </c>
      <c r="J37" s="110"/>
      <c r="K37" s="110"/>
      <c r="L37" s="110"/>
      <c r="M37" s="84"/>
    </row>
    <row r="38" spans="1:14" ht="15.75" customHeight="1">
      <c r="A38" s="111" t="s">
        <v>16</v>
      </c>
      <c r="B38" s="110"/>
      <c r="C38" s="110"/>
      <c r="D38" s="110"/>
      <c r="I38" s="111" t="s">
        <v>16</v>
      </c>
      <c r="J38" s="110"/>
      <c r="K38" s="110"/>
      <c r="L38" s="110"/>
      <c r="M38" s="84"/>
    </row>
    <row r="39" spans="1:14" ht="15.75" customHeight="1">
      <c r="A39" s="109" t="s">
        <v>17</v>
      </c>
      <c r="B39" s="110"/>
      <c r="C39" s="110"/>
      <c r="D39" s="110"/>
      <c r="I39" s="109" t="s">
        <v>17</v>
      </c>
      <c r="J39" s="110"/>
      <c r="K39" s="110"/>
      <c r="L39" s="110"/>
      <c r="M39" s="84"/>
    </row>
    <row r="40" spans="1:14" ht="15.75" customHeight="1">
      <c r="M40" s="84"/>
    </row>
    <row r="41" spans="1:14" ht="15.75" customHeight="1">
      <c r="M41" s="84"/>
    </row>
    <row r="42" spans="1:14" ht="15.75" customHeight="1">
      <c r="M42" s="84"/>
    </row>
    <row r="43" spans="1:14" ht="15.75" customHeight="1">
      <c r="M43" s="84"/>
    </row>
    <row r="44" spans="1:14" ht="15.75" customHeight="1">
      <c r="M44" s="84"/>
    </row>
    <row r="45" spans="1:14" ht="15.75" customHeight="1">
      <c r="M45" s="84"/>
    </row>
    <row r="46" spans="1:14" ht="15.75" customHeight="1">
      <c r="M46" s="84"/>
    </row>
    <row r="47" spans="1:14" ht="15.75" customHeight="1">
      <c r="M47" s="84"/>
    </row>
    <row r="48" spans="1:14" ht="15.75" customHeight="1">
      <c r="M48" s="84"/>
    </row>
    <row r="49" spans="13:13" ht="15.75" customHeight="1">
      <c r="M49" s="84"/>
    </row>
    <row r="50" spans="13:13" ht="15.75" customHeight="1">
      <c r="M50" s="84"/>
    </row>
    <row r="51" spans="13:13" ht="15.75" customHeight="1">
      <c r="M51" s="84"/>
    </row>
    <row r="52" spans="13:13" ht="15.75" customHeight="1">
      <c r="M52" s="84"/>
    </row>
    <row r="53" spans="13:13" ht="15.75" customHeight="1">
      <c r="M53" s="84"/>
    </row>
    <row r="54" spans="13:13" ht="15.75" customHeight="1">
      <c r="M54" s="84"/>
    </row>
    <row r="55" spans="13:13" ht="15.75" customHeight="1">
      <c r="M55" s="84"/>
    </row>
    <row r="56" spans="13:13" ht="15.75" customHeight="1">
      <c r="M56" s="84"/>
    </row>
    <row r="57" spans="13:13" ht="15.75" customHeight="1">
      <c r="M57" s="84"/>
    </row>
    <row r="58" spans="13:13" ht="15.75" customHeight="1">
      <c r="M58" s="84"/>
    </row>
    <row r="59" spans="13:13" ht="15.75" customHeight="1">
      <c r="M59" s="84"/>
    </row>
    <row r="60" spans="13:13" ht="15.75" customHeight="1">
      <c r="M60" s="84"/>
    </row>
    <row r="61" spans="13:13" ht="15.75" customHeight="1">
      <c r="M61" s="84"/>
    </row>
    <row r="62" spans="13:13" ht="15.75" customHeight="1">
      <c r="M62" s="84"/>
    </row>
    <row r="63" spans="13:13" ht="15.75" customHeight="1">
      <c r="M63" s="84"/>
    </row>
    <row r="64" spans="13:13" ht="15.75" customHeight="1">
      <c r="M64" s="84"/>
    </row>
    <row r="65" spans="13:13" ht="15.75" customHeight="1">
      <c r="M65" s="84"/>
    </row>
    <row r="66" spans="13:13" ht="15.75" customHeight="1">
      <c r="M66" s="84"/>
    </row>
    <row r="67" spans="13:13" ht="15.75" customHeight="1">
      <c r="M67" s="84"/>
    </row>
    <row r="68" spans="13:13" ht="15.75" customHeight="1">
      <c r="M68" s="84"/>
    </row>
    <row r="69" spans="13:13" ht="15.75" customHeight="1">
      <c r="M69" s="84"/>
    </row>
    <row r="70" spans="13:13" ht="15.75" customHeight="1">
      <c r="M70" s="84"/>
    </row>
    <row r="71" spans="13:13" ht="15.75" customHeight="1">
      <c r="M71" s="84"/>
    </row>
    <row r="72" spans="13:13" ht="15.75" customHeight="1">
      <c r="M72" s="84"/>
    </row>
    <row r="73" spans="13:13" ht="15.75" customHeight="1">
      <c r="M73" s="84"/>
    </row>
    <row r="74" spans="13:13" ht="15.75" customHeight="1">
      <c r="M74" s="84"/>
    </row>
    <row r="75" spans="13:13" ht="15.75" customHeight="1">
      <c r="M75" s="84"/>
    </row>
    <row r="76" spans="13:13" ht="15.75" customHeight="1">
      <c r="M76" s="84"/>
    </row>
    <row r="77" spans="13:13" ht="15.75" customHeight="1">
      <c r="M77" s="84"/>
    </row>
    <row r="78" spans="13:13" ht="15.75" customHeight="1">
      <c r="M78" s="84"/>
    </row>
    <row r="79" spans="13:13" ht="15.75" customHeight="1">
      <c r="M79" s="84"/>
    </row>
    <row r="80" spans="13:13" ht="15.75" customHeight="1">
      <c r="M80" s="84"/>
    </row>
    <row r="81" spans="13:13" ht="15.75" customHeight="1">
      <c r="M81" s="84"/>
    </row>
    <row r="82" spans="13:13" ht="15.75" customHeight="1">
      <c r="M82" s="84"/>
    </row>
    <row r="83" spans="13:13" ht="15.75" customHeight="1">
      <c r="M83" s="84"/>
    </row>
    <row r="84" spans="13:13" ht="15.75" customHeight="1">
      <c r="M84" s="84"/>
    </row>
    <row r="85" spans="13:13" ht="15.75" customHeight="1">
      <c r="M85" s="84"/>
    </row>
    <row r="86" spans="13:13" ht="15.75" customHeight="1">
      <c r="M86" s="84"/>
    </row>
    <row r="87" spans="13:13" ht="15.75" customHeight="1">
      <c r="M87" s="84"/>
    </row>
    <row r="88" spans="13:13" ht="15.75" customHeight="1">
      <c r="M88" s="84"/>
    </row>
    <row r="89" spans="13:13" ht="15.75" customHeight="1">
      <c r="M89" s="84"/>
    </row>
    <row r="90" spans="13:13" ht="15.75" customHeight="1">
      <c r="M90" s="84"/>
    </row>
    <row r="91" spans="13:13" ht="15.75" customHeight="1">
      <c r="M91" s="84"/>
    </row>
    <row r="92" spans="13:13" ht="15.75" customHeight="1">
      <c r="M92" s="84"/>
    </row>
    <row r="93" spans="13:13" ht="15.75" customHeight="1">
      <c r="M93" s="84"/>
    </row>
    <row r="94" spans="13:13" ht="15.75" customHeight="1">
      <c r="M94" s="84"/>
    </row>
    <row r="95" spans="13:13" ht="15.75" customHeight="1">
      <c r="M95" s="84"/>
    </row>
    <row r="96" spans="13:13" ht="15.75" customHeight="1">
      <c r="M96" s="84"/>
    </row>
    <row r="97" spans="13:13" ht="15.75" customHeight="1">
      <c r="M97" s="84"/>
    </row>
    <row r="98" spans="13:13" ht="15.75" customHeight="1">
      <c r="M98" s="84"/>
    </row>
    <row r="99" spans="13:13" ht="15.75" customHeight="1">
      <c r="M99" s="84"/>
    </row>
    <row r="100" spans="13:13" ht="15.75" customHeight="1">
      <c r="M100" s="84"/>
    </row>
    <row r="101" spans="13:13" ht="15.75" customHeight="1">
      <c r="M101" s="84"/>
    </row>
    <row r="102" spans="13:13" ht="15" customHeight="1">
      <c r="M102" s="84"/>
    </row>
  </sheetData>
  <mergeCells count="19">
    <mergeCell ref="A1:M2"/>
    <mergeCell ref="A3:A4"/>
    <mergeCell ref="B3:B4"/>
    <mergeCell ref="C3:C4"/>
    <mergeCell ref="D3:D4"/>
    <mergeCell ref="E3:E4"/>
    <mergeCell ref="F3:F4"/>
    <mergeCell ref="G3:G4"/>
    <mergeCell ref="H3:K3"/>
    <mergeCell ref="L3:L4"/>
    <mergeCell ref="A39:D39"/>
    <mergeCell ref="I39:L39"/>
    <mergeCell ref="M3:M4"/>
    <mergeCell ref="B5:B34"/>
    <mergeCell ref="C5:C34"/>
    <mergeCell ref="A37:D37"/>
    <mergeCell ref="I37:L37"/>
    <mergeCell ref="A38:D38"/>
    <mergeCell ref="I38:L38"/>
  </mergeCells>
  <pageMargins left="0.7" right="0.7" top="0.75" bottom="0.75" header="0" footer="0"/>
  <pageSetup paperSize="9" scale="78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3"/>
  <sheetViews>
    <sheetView topLeftCell="A31" workbookViewId="0">
      <selection activeCell="G37" sqref="G37:J37"/>
    </sheetView>
  </sheetViews>
  <sheetFormatPr defaultColWidth="14.42578125" defaultRowHeight="15" customHeight="1"/>
  <cols>
    <col min="1" max="1" width="12.42578125" style="63" customWidth="1"/>
    <col min="2" max="2" width="7" style="63" customWidth="1"/>
    <col min="3" max="3" width="6" style="63" customWidth="1"/>
    <col min="4" max="4" width="10" style="63" customWidth="1"/>
    <col min="5" max="5" width="8.7109375" style="63" customWidth="1"/>
    <col min="6" max="6" width="9.7109375" style="63" customWidth="1"/>
    <col min="7" max="7" width="8.85546875" style="63" customWidth="1"/>
    <col min="8" max="8" width="10" style="63" customWidth="1"/>
    <col min="9" max="10" width="8.28515625" style="63" customWidth="1"/>
    <col min="11" max="11" width="6.140625" style="63" customWidth="1"/>
    <col min="12" max="12" width="8.5703125" style="63" customWidth="1"/>
    <col min="13" max="13" width="7.7109375" style="63" customWidth="1"/>
    <col min="14" max="16384" width="14.42578125" style="63"/>
  </cols>
  <sheetData>
    <row r="1" spans="1:13" ht="14.25" customHeight="1">
      <c r="A1" s="100" t="s">
        <v>32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2"/>
    </row>
    <row r="2" spans="1:13" ht="15.75" customHeight="1">
      <c r="A2" s="103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5"/>
    </row>
    <row r="3" spans="1:13" ht="14.25" customHeight="1">
      <c r="A3" s="106" t="s">
        <v>0</v>
      </c>
      <c r="B3" s="106" t="s">
        <v>1</v>
      </c>
      <c r="C3" s="106" t="s">
        <v>2</v>
      </c>
      <c r="D3" s="106" t="s">
        <v>28</v>
      </c>
      <c r="E3" s="106" t="s">
        <v>4</v>
      </c>
      <c r="F3" s="106" t="s">
        <v>23</v>
      </c>
      <c r="G3" s="106" t="s">
        <v>5</v>
      </c>
      <c r="H3" s="107" t="s">
        <v>6</v>
      </c>
      <c r="I3" s="108"/>
      <c r="J3" s="108"/>
      <c r="K3" s="108"/>
      <c r="L3" s="106" t="s">
        <v>29</v>
      </c>
      <c r="M3" s="95" t="s">
        <v>8</v>
      </c>
    </row>
    <row r="4" spans="1:13" ht="83.25" customHeight="1">
      <c r="A4" s="96"/>
      <c r="B4" s="96"/>
      <c r="C4" s="96"/>
      <c r="D4" s="96"/>
      <c r="E4" s="96"/>
      <c r="F4" s="96"/>
      <c r="G4" s="96"/>
      <c r="H4" s="64" t="s">
        <v>15</v>
      </c>
      <c r="I4" s="64" t="s">
        <v>30</v>
      </c>
      <c r="J4" s="64" t="s">
        <v>31</v>
      </c>
      <c r="K4" s="64" t="s">
        <v>14</v>
      </c>
      <c r="L4" s="96"/>
      <c r="M4" s="96"/>
    </row>
    <row r="5" spans="1:13" ht="19.5" customHeight="1">
      <c r="A5" s="65">
        <v>45505</v>
      </c>
      <c r="B5" s="97" t="s">
        <v>11</v>
      </c>
      <c r="C5" s="97" t="s">
        <v>12</v>
      </c>
      <c r="D5" s="66">
        <v>213.8</v>
      </c>
      <c r="E5" s="67">
        <v>213.6</v>
      </c>
      <c r="F5" s="66">
        <v>928.279</v>
      </c>
      <c r="G5" s="68">
        <v>111</v>
      </c>
      <c r="H5" s="69"/>
      <c r="I5" s="69"/>
      <c r="J5" s="69"/>
      <c r="K5" s="69">
        <v>15</v>
      </c>
      <c r="L5" s="70">
        <f>H5+I5+J5+K5</f>
        <v>15</v>
      </c>
      <c r="M5" s="71"/>
    </row>
    <row r="6" spans="1:13" ht="19.5" customHeight="1">
      <c r="A6" s="65">
        <v>45506</v>
      </c>
      <c r="B6" s="98"/>
      <c r="C6" s="98"/>
      <c r="D6" s="66">
        <v>213.8</v>
      </c>
      <c r="E6" s="67">
        <v>213.59</v>
      </c>
      <c r="F6" s="66">
        <v>927.23199999999997</v>
      </c>
      <c r="G6" s="68">
        <v>73</v>
      </c>
      <c r="H6" s="69"/>
      <c r="I6" s="69"/>
      <c r="J6" s="69">
        <v>70</v>
      </c>
      <c r="K6" s="69">
        <v>15</v>
      </c>
      <c r="L6" s="70">
        <f t="shared" ref="L6:L35" si="0">H6+I6+J6+K6</f>
        <v>85</v>
      </c>
      <c r="M6" s="71"/>
    </row>
    <row r="7" spans="1:13" ht="19.5" customHeight="1">
      <c r="A7" s="65">
        <v>45507</v>
      </c>
      <c r="B7" s="98"/>
      <c r="C7" s="98"/>
      <c r="D7" s="66">
        <v>213.8</v>
      </c>
      <c r="E7" s="67">
        <v>213.58</v>
      </c>
      <c r="F7" s="66">
        <v>926.18700000000001</v>
      </c>
      <c r="G7" s="68">
        <v>72</v>
      </c>
      <c r="H7" s="69"/>
      <c r="I7" s="69"/>
      <c r="J7" s="69">
        <v>70</v>
      </c>
      <c r="K7" s="69">
        <v>15</v>
      </c>
      <c r="L7" s="70">
        <f t="shared" si="0"/>
        <v>85</v>
      </c>
      <c r="M7" s="71"/>
    </row>
    <row r="8" spans="1:13" ht="19.5" customHeight="1">
      <c r="A8" s="65">
        <v>45508</v>
      </c>
      <c r="B8" s="98"/>
      <c r="C8" s="98"/>
      <c r="D8" s="66">
        <v>213.8</v>
      </c>
      <c r="E8" s="67">
        <v>213.6</v>
      </c>
      <c r="F8" s="66">
        <v>928.27800000000002</v>
      </c>
      <c r="G8" s="68">
        <v>109</v>
      </c>
      <c r="H8" s="69"/>
      <c r="I8" s="69"/>
      <c r="J8" s="69">
        <v>70</v>
      </c>
      <c r="K8" s="69">
        <v>15</v>
      </c>
      <c r="L8" s="70">
        <f t="shared" si="0"/>
        <v>85</v>
      </c>
      <c r="M8" s="71"/>
    </row>
    <row r="9" spans="1:13" ht="19.5" customHeight="1">
      <c r="A9" s="65">
        <v>45509</v>
      </c>
      <c r="B9" s="98"/>
      <c r="C9" s="98"/>
      <c r="D9" s="66">
        <v>213.8</v>
      </c>
      <c r="E9" s="67">
        <v>213.6</v>
      </c>
      <c r="F9" s="66">
        <v>928.27800000000002</v>
      </c>
      <c r="G9" s="68">
        <v>85</v>
      </c>
      <c r="H9" s="69"/>
      <c r="I9" s="69"/>
      <c r="J9" s="69">
        <v>70</v>
      </c>
      <c r="K9" s="69">
        <v>15</v>
      </c>
      <c r="L9" s="70">
        <f t="shared" si="0"/>
        <v>85</v>
      </c>
      <c r="M9" s="71"/>
    </row>
    <row r="10" spans="1:13" ht="19.5" customHeight="1">
      <c r="A10" s="65">
        <v>45510</v>
      </c>
      <c r="B10" s="98"/>
      <c r="C10" s="98"/>
      <c r="D10" s="66">
        <v>213.8</v>
      </c>
      <c r="E10" s="67">
        <v>213.58</v>
      </c>
      <c r="F10" s="66">
        <v>926.18700000000001</v>
      </c>
      <c r="G10" s="68">
        <v>61</v>
      </c>
      <c r="H10" s="69"/>
      <c r="I10" s="69"/>
      <c r="J10" s="69">
        <v>70</v>
      </c>
      <c r="K10" s="69">
        <v>15</v>
      </c>
      <c r="L10" s="70">
        <f t="shared" si="0"/>
        <v>85</v>
      </c>
      <c r="M10" s="71"/>
    </row>
    <row r="11" spans="1:13" ht="19.5" customHeight="1">
      <c r="A11" s="65">
        <v>45511</v>
      </c>
      <c r="B11" s="98"/>
      <c r="C11" s="98"/>
      <c r="D11" s="66">
        <v>213.8</v>
      </c>
      <c r="E11" s="67">
        <v>213.52</v>
      </c>
      <c r="F11" s="66">
        <v>917.82299999999998</v>
      </c>
      <c r="G11" s="68">
        <v>43</v>
      </c>
      <c r="H11" s="69"/>
      <c r="I11" s="69">
        <v>70</v>
      </c>
      <c r="J11" s="69">
        <v>70</v>
      </c>
      <c r="K11" s="69"/>
      <c r="L11" s="70">
        <f t="shared" si="0"/>
        <v>140</v>
      </c>
      <c r="M11" s="71"/>
    </row>
    <row r="12" spans="1:13" ht="19.5" customHeight="1">
      <c r="A12" s="65">
        <v>45512</v>
      </c>
      <c r="B12" s="98"/>
      <c r="C12" s="98"/>
      <c r="D12" s="66">
        <v>213.8</v>
      </c>
      <c r="E12" s="67">
        <v>213.53</v>
      </c>
      <c r="F12" s="66">
        <v>920.95899999999995</v>
      </c>
      <c r="G12" s="68">
        <v>173</v>
      </c>
      <c r="H12" s="69"/>
      <c r="I12" s="69">
        <v>70</v>
      </c>
      <c r="J12" s="69">
        <v>70</v>
      </c>
      <c r="K12" s="69"/>
      <c r="L12" s="70">
        <f t="shared" si="0"/>
        <v>140</v>
      </c>
      <c r="M12" s="71"/>
    </row>
    <row r="13" spans="1:13" ht="19.5" customHeight="1">
      <c r="A13" s="65">
        <v>45513</v>
      </c>
      <c r="B13" s="98"/>
      <c r="C13" s="98"/>
      <c r="D13" s="66">
        <v>213.8</v>
      </c>
      <c r="E13" s="67">
        <v>213.53</v>
      </c>
      <c r="F13" s="66">
        <v>920.95899999999995</v>
      </c>
      <c r="G13" s="68">
        <v>140</v>
      </c>
      <c r="H13" s="69"/>
      <c r="I13" s="69">
        <v>70</v>
      </c>
      <c r="J13" s="69">
        <v>70</v>
      </c>
      <c r="K13" s="69"/>
      <c r="L13" s="70">
        <f t="shared" si="0"/>
        <v>140</v>
      </c>
      <c r="M13" s="71"/>
    </row>
    <row r="14" spans="1:13" ht="19.5" customHeight="1">
      <c r="A14" s="65">
        <v>45514</v>
      </c>
      <c r="B14" s="98"/>
      <c r="C14" s="98"/>
      <c r="D14" s="66">
        <v>213.8</v>
      </c>
      <c r="E14" s="67">
        <v>213.53</v>
      </c>
      <c r="F14" s="66">
        <v>920.95899999999995</v>
      </c>
      <c r="G14" s="68">
        <v>140</v>
      </c>
      <c r="H14" s="69"/>
      <c r="I14" s="69">
        <v>70</v>
      </c>
      <c r="J14" s="69">
        <v>70</v>
      </c>
      <c r="K14" s="69"/>
      <c r="L14" s="70">
        <f t="shared" si="0"/>
        <v>140</v>
      </c>
      <c r="M14" s="71"/>
    </row>
    <row r="15" spans="1:13" ht="19.5" customHeight="1">
      <c r="A15" s="65">
        <v>45515</v>
      </c>
      <c r="B15" s="98"/>
      <c r="C15" s="98"/>
      <c r="D15" s="66">
        <v>213.8</v>
      </c>
      <c r="E15" s="67">
        <v>213.53</v>
      </c>
      <c r="F15" s="66">
        <v>920.95899999999995</v>
      </c>
      <c r="G15" s="68">
        <v>140</v>
      </c>
      <c r="H15" s="69"/>
      <c r="I15" s="69">
        <v>70</v>
      </c>
      <c r="J15" s="69">
        <v>70</v>
      </c>
      <c r="K15" s="69"/>
      <c r="L15" s="70">
        <f t="shared" si="0"/>
        <v>140</v>
      </c>
      <c r="M15" s="71"/>
    </row>
    <row r="16" spans="1:13" ht="19.5" customHeight="1">
      <c r="A16" s="65">
        <v>45516</v>
      </c>
      <c r="B16" s="98"/>
      <c r="C16" s="98"/>
      <c r="D16" s="66">
        <v>213.8</v>
      </c>
      <c r="E16" s="67">
        <v>213.48</v>
      </c>
      <c r="F16" s="66">
        <v>915.73199999999997</v>
      </c>
      <c r="G16" s="68">
        <v>79</v>
      </c>
      <c r="H16" s="69"/>
      <c r="I16" s="69">
        <v>70</v>
      </c>
      <c r="J16" s="69">
        <v>70</v>
      </c>
      <c r="K16" s="69"/>
      <c r="L16" s="70">
        <f t="shared" si="0"/>
        <v>140</v>
      </c>
      <c r="M16" s="71"/>
    </row>
    <row r="17" spans="1:14" ht="19.5" customHeight="1">
      <c r="A17" s="65">
        <v>45517</v>
      </c>
      <c r="B17" s="98"/>
      <c r="C17" s="98"/>
      <c r="D17" s="66">
        <v>213.8</v>
      </c>
      <c r="E17" s="67">
        <v>213.43</v>
      </c>
      <c r="F17" s="66">
        <v>910.50400000000002</v>
      </c>
      <c r="G17" s="68">
        <v>79</v>
      </c>
      <c r="H17" s="69"/>
      <c r="I17" s="69">
        <v>70</v>
      </c>
      <c r="J17" s="69">
        <v>70</v>
      </c>
      <c r="K17" s="69"/>
      <c r="L17" s="70">
        <f t="shared" si="0"/>
        <v>140</v>
      </c>
      <c r="M17" s="71"/>
    </row>
    <row r="18" spans="1:14" ht="19.5" customHeight="1">
      <c r="A18" s="65">
        <v>45518</v>
      </c>
      <c r="B18" s="98"/>
      <c r="C18" s="98"/>
      <c r="D18" s="66">
        <v>213.8</v>
      </c>
      <c r="E18" s="67">
        <v>213.4</v>
      </c>
      <c r="F18" s="66">
        <v>907.36699999999996</v>
      </c>
      <c r="G18" s="68">
        <v>103</v>
      </c>
      <c r="H18" s="69"/>
      <c r="I18" s="69">
        <v>70</v>
      </c>
      <c r="J18" s="69">
        <v>70</v>
      </c>
      <c r="K18" s="69"/>
      <c r="L18" s="70">
        <f t="shared" si="0"/>
        <v>140</v>
      </c>
      <c r="M18" s="71"/>
    </row>
    <row r="19" spans="1:14" ht="19.5" customHeight="1">
      <c r="A19" s="65">
        <v>45519</v>
      </c>
      <c r="B19" s="98"/>
      <c r="C19" s="98"/>
      <c r="D19" s="66">
        <v>213.8</v>
      </c>
      <c r="E19" s="67">
        <v>213.35</v>
      </c>
      <c r="F19" s="66">
        <v>902.13900000000001</v>
      </c>
      <c r="G19" s="68">
        <v>79</v>
      </c>
      <c r="H19" s="69"/>
      <c r="I19" s="69">
        <v>70</v>
      </c>
      <c r="J19" s="69">
        <v>70</v>
      </c>
      <c r="K19" s="69"/>
      <c r="L19" s="70">
        <f t="shared" si="0"/>
        <v>140</v>
      </c>
      <c r="M19" s="71"/>
    </row>
    <row r="20" spans="1:14" ht="19.5" customHeight="1">
      <c r="A20" s="65">
        <v>45520</v>
      </c>
      <c r="B20" s="98"/>
      <c r="C20" s="98"/>
      <c r="D20" s="66">
        <v>213.8</v>
      </c>
      <c r="E20" s="67">
        <v>213.3</v>
      </c>
      <c r="F20" s="66">
        <v>896.91099999999994</v>
      </c>
      <c r="G20" s="68">
        <v>79</v>
      </c>
      <c r="H20" s="69"/>
      <c r="I20" s="69">
        <v>70</v>
      </c>
      <c r="J20" s="69">
        <v>70</v>
      </c>
      <c r="K20" s="69"/>
      <c r="L20" s="70">
        <f t="shared" si="0"/>
        <v>140</v>
      </c>
      <c r="M20" s="71"/>
    </row>
    <row r="21" spans="1:14" ht="19.5" customHeight="1">
      <c r="A21" s="65">
        <v>45521</v>
      </c>
      <c r="B21" s="98"/>
      <c r="C21" s="98"/>
      <c r="D21" s="66">
        <v>213.8</v>
      </c>
      <c r="E21" s="67">
        <v>213.35</v>
      </c>
      <c r="F21" s="66">
        <v>902.13900000000001</v>
      </c>
      <c r="G21" s="68">
        <v>200</v>
      </c>
      <c r="H21" s="69"/>
      <c r="I21" s="69">
        <v>70</v>
      </c>
      <c r="J21" s="69">
        <v>70</v>
      </c>
      <c r="K21" s="69"/>
      <c r="L21" s="70">
        <f t="shared" si="0"/>
        <v>140</v>
      </c>
      <c r="M21" s="71"/>
    </row>
    <row r="22" spans="1:14" ht="19.5" customHeight="1">
      <c r="A22" s="65">
        <v>45522</v>
      </c>
      <c r="B22" s="98"/>
      <c r="C22" s="98"/>
      <c r="D22" s="66">
        <v>213.8</v>
      </c>
      <c r="E22" s="67">
        <v>213.39</v>
      </c>
      <c r="F22" s="66">
        <v>906.32100000000003</v>
      </c>
      <c r="G22" s="68">
        <v>188</v>
      </c>
      <c r="H22" s="69"/>
      <c r="I22" s="69">
        <v>70</v>
      </c>
      <c r="J22" s="69">
        <v>70</v>
      </c>
      <c r="K22" s="69"/>
      <c r="L22" s="70">
        <f t="shared" si="0"/>
        <v>140</v>
      </c>
      <c r="M22" s="71"/>
    </row>
    <row r="23" spans="1:14" ht="19.5" customHeight="1">
      <c r="A23" s="65">
        <v>45523</v>
      </c>
      <c r="B23" s="98"/>
      <c r="C23" s="98"/>
      <c r="D23" s="66">
        <v>213.8</v>
      </c>
      <c r="E23" s="67">
        <v>213.39</v>
      </c>
      <c r="F23" s="66">
        <v>906.32100000000003</v>
      </c>
      <c r="G23" s="68">
        <v>140</v>
      </c>
      <c r="H23" s="69"/>
      <c r="I23" s="69">
        <v>70</v>
      </c>
      <c r="J23" s="69">
        <v>70</v>
      </c>
      <c r="K23" s="69"/>
      <c r="L23" s="70">
        <f t="shared" si="0"/>
        <v>140</v>
      </c>
      <c r="M23" s="71"/>
    </row>
    <row r="24" spans="1:14" ht="19.5" customHeight="1">
      <c r="A24" s="65">
        <v>45524</v>
      </c>
      <c r="B24" s="98"/>
      <c r="C24" s="98"/>
      <c r="D24" s="66">
        <v>213.8</v>
      </c>
      <c r="E24" s="67">
        <v>213.39</v>
      </c>
      <c r="F24" s="66">
        <v>906.32100000000003</v>
      </c>
      <c r="G24" s="68">
        <v>140</v>
      </c>
      <c r="H24" s="69"/>
      <c r="I24" s="69">
        <v>70</v>
      </c>
      <c r="J24" s="69">
        <v>70</v>
      </c>
      <c r="K24" s="69"/>
      <c r="L24" s="70">
        <f t="shared" si="0"/>
        <v>140</v>
      </c>
      <c r="M24" s="71"/>
    </row>
    <row r="25" spans="1:14" ht="19.5" customHeight="1">
      <c r="A25" s="65">
        <v>45525</v>
      </c>
      <c r="B25" s="98"/>
      <c r="C25" s="98"/>
      <c r="D25" s="66">
        <v>213.8</v>
      </c>
      <c r="E25" s="67">
        <v>213.39</v>
      </c>
      <c r="F25" s="66">
        <v>906.32100000000003</v>
      </c>
      <c r="G25" s="68">
        <v>140</v>
      </c>
      <c r="H25" s="69"/>
      <c r="I25" s="69">
        <v>70</v>
      </c>
      <c r="J25" s="69">
        <v>70</v>
      </c>
      <c r="K25" s="69"/>
      <c r="L25" s="70">
        <f t="shared" si="0"/>
        <v>140</v>
      </c>
      <c r="M25" s="71"/>
    </row>
    <row r="26" spans="1:14" ht="19.5" customHeight="1">
      <c r="A26" s="65">
        <v>45526</v>
      </c>
      <c r="B26" s="98"/>
      <c r="C26" s="98"/>
      <c r="D26" s="66">
        <v>213.8</v>
      </c>
      <c r="E26" s="67">
        <v>213.39</v>
      </c>
      <c r="F26" s="66">
        <v>906.32100000000003</v>
      </c>
      <c r="G26" s="68">
        <v>140</v>
      </c>
      <c r="H26" s="69"/>
      <c r="I26" s="69">
        <v>70</v>
      </c>
      <c r="J26" s="69">
        <v>70</v>
      </c>
      <c r="K26" s="69"/>
      <c r="L26" s="70">
        <f t="shared" si="0"/>
        <v>140</v>
      </c>
      <c r="M26" s="71"/>
      <c r="N26" s="72"/>
    </row>
    <row r="27" spans="1:14" ht="19.5" customHeight="1">
      <c r="A27" s="65">
        <v>45527</v>
      </c>
      <c r="B27" s="98"/>
      <c r="C27" s="98"/>
      <c r="D27" s="66">
        <v>213.8</v>
      </c>
      <c r="E27" s="67">
        <v>213.44</v>
      </c>
      <c r="F27" s="66">
        <v>911.54899999999998</v>
      </c>
      <c r="G27" s="68">
        <v>200</v>
      </c>
      <c r="H27" s="69"/>
      <c r="I27" s="69">
        <v>70</v>
      </c>
      <c r="J27" s="69">
        <v>70</v>
      </c>
      <c r="K27" s="69"/>
      <c r="L27" s="70">
        <f t="shared" si="0"/>
        <v>140</v>
      </c>
      <c r="M27" s="71"/>
    </row>
    <row r="28" spans="1:14" ht="19.5" customHeight="1">
      <c r="A28" s="65">
        <v>45528</v>
      </c>
      <c r="B28" s="98"/>
      <c r="C28" s="98"/>
      <c r="D28" s="66">
        <v>213.8</v>
      </c>
      <c r="E28" s="67">
        <v>213.48</v>
      </c>
      <c r="F28" s="66">
        <v>915.73199999999997</v>
      </c>
      <c r="G28" s="68">
        <v>188</v>
      </c>
      <c r="H28" s="69"/>
      <c r="I28" s="69">
        <v>70</v>
      </c>
      <c r="J28" s="69">
        <v>70</v>
      </c>
      <c r="K28" s="69"/>
      <c r="L28" s="70">
        <f t="shared" si="0"/>
        <v>140</v>
      </c>
      <c r="M28" s="71"/>
    </row>
    <row r="29" spans="1:14" ht="19.5" customHeight="1">
      <c r="A29" s="65">
        <v>45529</v>
      </c>
      <c r="B29" s="98"/>
      <c r="C29" s="98"/>
      <c r="D29" s="66">
        <v>213.8</v>
      </c>
      <c r="E29" s="67">
        <v>213.48</v>
      </c>
      <c r="F29" s="66">
        <v>915.73199999999997</v>
      </c>
      <c r="G29" s="68">
        <v>140</v>
      </c>
      <c r="H29" s="69"/>
      <c r="I29" s="69">
        <v>70</v>
      </c>
      <c r="J29" s="69">
        <v>70</v>
      </c>
      <c r="K29" s="69"/>
      <c r="L29" s="70">
        <f t="shared" si="0"/>
        <v>140</v>
      </c>
      <c r="M29" s="71"/>
    </row>
    <row r="30" spans="1:14" ht="19.5" customHeight="1">
      <c r="A30" s="65">
        <v>45530</v>
      </c>
      <c r="B30" s="98"/>
      <c r="C30" s="98"/>
      <c r="D30" s="66">
        <v>213.8</v>
      </c>
      <c r="E30" s="67">
        <v>213.48</v>
      </c>
      <c r="F30" s="66">
        <v>915.73199999999997</v>
      </c>
      <c r="G30" s="68">
        <v>140</v>
      </c>
      <c r="H30" s="69"/>
      <c r="I30" s="69">
        <v>70</v>
      </c>
      <c r="J30" s="69">
        <v>70</v>
      </c>
      <c r="K30" s="69"/>
      <c r="L30" s="70">
        <f t="shared" si="0"/>
        <v>140</v>
      </c>
      <c r="M30" s="71"/>
    </row>
    <row r="31" spans="1:14" ht="21" customHeight="1">
      <c r="A31" s="65">
        <v>45531</v>
      </c>
      <c r="B31" s="98"/>
      <c r="C31" s="98"/>
      <c r="D31" s="66">
        <v>213.8</v>
      </c>
      <c r="E31" s="67">
        <v>213.48</v>
      </c>
      <c r="F31" s="66">
        <v>915.73199999999997</v>
      </c>
      <c r="G31" s="68">
        <v>140</v>
      </c>
      <c r="H31" s="69"/>
      <c r="I31" s="69">
        <v>70</v>
      </c>
      <c r="J31" s="69">
        <v>70</v>
      </c>
      <c r="K31" s="69"/>
      <c r="L31" s="70">
        <f t="shared" si="0"/>
        <v>140</v>
      </c>
      <c r="M31" s="71"/>
    </row>
    <row r="32" spans="1:14" ht="21" customHeight="1">
      <c r="A32" s="65">
        <v>45532</v>
      </c>
      <c r="B32" s="98"/>
      <c r="C32" s="98"/>
      <c r="D32" s="66">
        <v>213.8</v>
      </c>
      <c r="E32" s="67">
        <v>213.48</v>
      </c>
      <c r="F32" s="66">
        <v>915.73199999999997</v>
      </c>
      <c r="G32" s="68">
        <v>140</v>
      </c>
      <c r="H32" s="69"/>
      <c r="I32" s="69">
        <v>70</v>
      </c>
      <c r="J32" s="69">
        <v>70</v>
      </c>
      <c r="K32" s="69"/>
      <c r="L32" s="70">
        <f t="shared" si="0"/>
        <v>140</v>
      </c>
      <c r="M32" s="71"/>
    </row>
    <row r="33" spans="1:14" ht="21" customHeight="1">
      <c r="A33" s="65">
        <v>45533</v>
      </c>
      <c r="B33" s="98"/>
      <c r="C33" s="98"/>
      <c r="D33" s="66">
        <v>213.8</v>
      </c>
      <c r="E33" s="67">
        <v>213.48</v>
      </c>
      <c r="F33" s="66">
        <v>915.73199999999997</v>
      </c>
      <c r="G33" s="68">
        <v>140</v>
      </c>
      <c r="H33" s="69"/>
      <c r="I33" s="69">
        <v>70</v>
      </c>
      <c r="J33" s="69">
        <v>70</v>
      </c>
      <c r="K33" s="69"/>
      <c r="L33" s="70">
        <f t="shared" si="0"/>
        <v>140</v>
      </c>
      <c r="M33" s="71"/>
    </row>
    <row r="34" spans="1:14" ht="21" customHeight="1">
      <c r="A34" s="65">
        <v>45534</v>
      </c>
      <c r="B34" s="98"/>
      <c r="C34" s="98"/>
      <c r="D34" s="66">
        <v>213.8</v>
      </c>
      <c r="E34" s="67">
        <v>213.48</v>
      </c>
      <c r="F34" s="66">
        <v>915.73199999999997</v>
      </c>
      <c r="G34" s="68">
        <v>140</v>
      </c>
      <c r="H34" s="69"/>
      <c r="I34" s="69">
        <v>70</v>
      </c>
      <c r="J34" s="69">
        <v>70</v>
      </c>
      <c r="K34" s="69"/>
      <c r="L34" s="70">
        <f t="shared" si="0"/>
        <v>140</v>
      </c>
      <c r="M34" s="71"/>
    </row>
    <row r="35" spans="1:14" ht="21" customHeight="1">
      <c r="A35" s="65">
        <v>45535</v>
      </c>
      <c r="B35" s="98"/>
      <c r="C35" s="98"/>
      <c r="D35" s="66">
        <v>213.8</v>
      </c>
      <c r="E35" s="67">
        <v>213.48</v>
      </c>
      <c r="F35" s="66">
        <v>915.73199999999997</v>
      </c>
      <c r="G35" s="68">
        <v>140</v>
      </c>
      <c r="H35" s="69"/>
      <c r="I35" s="69">
        <v>70</v>
      </c>
      <c r="J35" s="69">
        <v>70</v>
      </c>
      <c r="K35" s="69"/>
      <c r="L35" s="70">
        <f t="shared" si="0"/>
        <v>140</v>
      </c>
      <c r="M35" s="71"/>
    </row>
    <row r="36" spans="1:14" ht="21" customHeight="1">
      <c r="A36" s="73"/>
      <c r="B36" s="74"/>
      <c r="C36" s="74"/>
      <c r="D36" s="75"/>
      <c r="E36" s="76"/>
      <c r="F36" s="75"/>
      <c r="G36" s="77">
        <f t="shared" ref="G36:L36" si="1">SUM(G5:G35)</f>
        <v>3882</v>
      </c>
      <c r="H36" s="77">
        <f t="shared" si="1"/>
        <v>0</v>
      </c>
      <c r="I36" s="77">
        <f t="shared" si="1"/>
        <v>1750</v>
      </c>
      <c r="J36" s="77">
        <f t="shared" si="1"/>
        <v>2100</v>
      </c>
      <c r="K36" s="77">
        <f t="shared" si="1"/>
        <v>90</v>
      </c>
      <c r="L36" s="77">
        <f t="shared" si="1"/>
        <v>3940</v>
      </c>
      <c r="N36" s="78"/>
    </row>
    <row r="37" spans="1:14" ht="47.25" customHeight="1">
      <c r="A37" s="79"/>
      <c r="B37" s="80"/>
      <c r="C37" s="81"/>
      <c r="D37" s="81"/>
      <c r="E37" s="81"/>
      <c r="F37" s="81"/>
      <c r="G37" s="151">
        <f>G36/11574</f>
        <v>0.33540694660445824</v>
      </c>
      <c r="H37" s="151"/>
      <c r="I37" s="151">
        <f>I36/11574</f>
        <v>0.15120096768619321</v>
      </c>
      <c r="J37" s="151">
        <f>J36/11574</f>
        <v>0.18144116122343182</v>
      </c>
      <c r="K37" s="82"/>
      <c r="L37" s="82"/>
      <c r="M37" s="83"/>
    </row>
    <row r="38" spans="1:14" ht="15.75" customHeight="1">
      <c r="A38" s="111" t="s">
        <v>9</v>
      </c>
      <c r="B38" s="110"/>
      <c r="C38" s="110"/>
      <c r="D38" s="110"/>
      <c r="I38" s="111" t="s">
        <v>10</v>
      </c>
      <c r="J38" s="110"/>
      <c r="K38" s="110"/>
      <c r="L38" s="110"/>
      <c r="M38" s="84"/>
    </row>
    <row r="39" spans="1:14" ht="15.75" customHeight="1">
      <c r="A39" s="111" t="s">
        <v>16</v>
      </c>
      <c r="B39" s="110"/>
      <c r="C39" s="110"/>
      <c r="D39" s="110"/>
      <c r="I39" s="111" t="s">
        <v>16</v>
      </c>
      <c r="J39" s="110"/>
      <c r="K39" s="110"/>
      <c r="L39" s="110"/>
      <c r="M39" s="84"/>
    </row>
    <row r="40" spans="1:14" ht="15.75" customHeight="1">
      <c r="A40" s="109" t="s">
        <v>17</v>
      </c>
      <c r="B40" s="110"/>
      <c r="C40" s="110"/>
      <c r="D40" s="110"/>
      <c r="I40" s="109" t="s">
        <v>17</v>
      </c>
      <c r="J40" s="110"/>
      <c r="K40" s="110"/>
      <c r="L40" s="110"/>
      <c r="M40" s="84"/>
    </row>
    <row r="41" spans="1:14" ht="15.75" customHeight="1">
      <c r="M41" s="84"/>
    </row>
    <row r="42" spans="1:14" ht="15.75" customHeight="1">
      <c r="M42" s="84"/>
    </row>
    <row r="43" spans="1:14" ht="15.75" customHeight="1">
      <c r="M43" s="84"/>
    </row>
    <row r="44" spans="1:14" ht="15.75" customHeight="1">
      <c r="M44" s="84"/>
    </row>
    <row r="45" spans="1:14" ht="15.75" customHeight="1">
      <c r="M45" s="84"/>
    </row>
    <row r="46" spans="1:14" ht="15.75" customHeight="1">
      <c r="M46" s="84"/>
    </row>
    <row r="47" spans="1:14" ht="15.75" customHeight="1">
      <c r="M47" s="84"/>
    </row>
    <row r="48" spans="1:14" ht="15.75" customHeight="1">
      <c r="M48" s="84"/>
    </row>
    <row r="49" spans="13:13" ht="15.75" customHeight="1">
      <c r="M49" s="84"/>
    </row>
    <row r="50" spans="13:13" ht="15.75" customHeight="1">
      <c r="M50" s="84"/>
    </row>
    <row r="51" spans="13:13" ht="15.75" customHeight="1">
      <c r="M51" s="84"/>
    </row>
    <row r="52" spans="13:13" ht="15.75" customHeight="1">
      <c r="M52" s="84"/>
    </row>
    <row r="53" spans="13:13" ht="15.75" customHeight="1">
      <c r="M53" s="84"/>
    </row>
    <row r="54" spans="13:13" ht="15.75" customHeight="1">
      <c r="M54" s="84"/>
    </row>
    <row r="55" spans="13:13" ht="15.75" customHeight="1">
      <c r="M55" s="84"/>
    </row>
    <row r="56" spans="13:13" ht="15.75" customHeight="1">
      <c r="M56" s="84"/>
    </row>
    <row r="57" spans="13:13" ht="15.75" customHeight="1">
      <c r="M57" s="84"/>
    </row>
    <row r="58" spans="13:13" ht="15.75" customHeight="1">
      <c r="M58" s="84"/>
    </row>
    <row r="59" spans="13:13" ht="15.75" customHeight="1">
      <c r="M59" s="84"/>
    </row>
    <row r="60" spans="13:13" ht="15.75" customHeight="1">
      <c r="M60" s="84"/>
    </row>
    <row r="61" spans="13:13" ht="15.75" customHeight="1">
      <c r="M61" s="84"/>
    </row>
    <row r="62" spans="13:13" ht="15.75" customHeight="1">
      <c r="M62" s="84"/>
    </row>
    <row r="63" spans="13:13" ht="15.75" customHeight="1">
      <c r="M63" s="84"/>
    </row>
    <row r="64" spans="13:13" ht="15.75" customHeight="1">
      <c r="M64" s="84"/>
    </row>
    <row r="65" spans="13:13" ht="15.75" customHeight="1">
      <c r="M65" s="84"/>
    </row>
    <row r="66" spans="13:13" ht="15.75" customHeight="1">
      <c r="M66" s="84"/>
    </row>
    <row r="67" spans="13:13" ht="15.75" customHeight="1">
      <c r="M67" s="84"/>
    </row>
    <row r="68" spans="13:13" ht="15.75" customHeight="1">
      <c r="M68" s="84"/>
    </row>
    <row r="69" spans="13:13" ht="15.75" customHeight="1">
      <c r="M69" s="84"/>
    </row>
    <row r="70" spans="13:13" ht="15.75" customHeight="1">
      <c r="M70" s="84"/>
    </row>
    <row r="71" spans="13:13" ht="15.75" customHeight="1">
      <c r="M71" s="84"/>
    </row>
    <row r="72" spans="13:13" ht="15.75" customHeight="1">
      <c r="M72" s="84"/>
    </row>
    <row r="73" spans="13:13" ht="15.75" customHeight="1">
      <c r="M73" s="84"/>
    </row>
    <row r="74" spans="13:13" ht="15.75" customHeight="1">
      <c r="M74" s="84"/>
    </row>
    <row r="75" spans="13:13" ht="15.75" customHeight="1">
      <c r="M75" s="84"/>
    </row>
    <row r="76" spans="13:13" ht="15.75" customHeight="1">
      <c r="M76" s="84"/>
    </row>
    <row r="77" spans="13:13" ht="15.75" customHeight="1">
      <c r="M77" s="84"/>
    </row>
    <row r="78" spans="13:13" ht="15.75" customHeight="1">
      <c r="M78" s="84"/>
    </row>
    <row r="79" spans="13:13" ht="15.75" customHeight="1">
      <c r="M79" s="84"/>
    </row>
    <row r="80" spans="13:13" ht="15.75" customHeight="1">
      <c r="M80" s="84"/>
    </row>
    <row r="81" spans="13:13" ht="15.75" customHeight="1">
      <c r="M81" s="84"/>
    </row>
    <row r="82" spans="13:13" ht="15.75" customHeight="1">
      <c r="M82" s="84"/>
    </row>
    <row r="83" spans="13:13" ht="15.75" customHeight="1">
      <c r="M83" s="84"/>
    </row>
    <row r="84" spans="13:13" ht="15.75" customHeight="1">
      <c r="M84" s="84"/>
    </row>
    <row r="85" spans="13:13" ht="15.75" customHeight="1">
      <c r="M85" s="84"/>
    </row>
    <row r="86" spans="13:13" ht="15.75" customHeight="1">
      <c r="M86" s="84"/>
    </row>
    <row r="87" spans="13:13" ht="15.75" customHeight="1">
      <c r="M87" s="84"/>
    </row>
    <row r="88" spans="13:13" ht="15.75" customHeight="1">
      <c r="M88" s="84"/>
    </row>
    <row r="89" spans="13:13" ht="15.75" customHeight="1">
      <c r="M89" s="84"/>
    </row>
    <row r="90" spans="13:13" ht="15.75" customHeight="1">
      <c r="M90" s="84"/>
    </row>
    <row r="91" spans="13:13" ht="15.75" customHeight="1">
      <c r="M91" s="84"/>
    </row>
    <row r="92" spans="13:13" ht="15.75" customHeight="1">
      <c r="M92" s="84"/>
    </row>
    <row r="93" spans="13:13" ht="15.75" customHeight="1">
      <c r="M93" s="84"/>
    </row>
    <row r="94" spans="13:13" ht="15.75" customHeight="1">
      <c r="M94" s="84"/>
    </row>
    <row r="95" spans="13:13" ht="15.75" customHeight="1">
      <c r="M95" s="84"/>
    </row>
    <row r="96" spans="13:13" ht="15.75" customHeight="1">
      <c r="M96" s="84"/>
    </row>
    <row r="97" spans="13:13" ht="15.75" customHeight="1">
      <c r="M97" s="84"/>
    </row>
    <row r="98" spans="13:13" ht="15.75" customHeight="1">
      <c r="M98" s="84"/>
    </row>
    <row r="99" spans="13:13" ht="15.75" customHeight="1">
      <c r="M99" s="84"/>
    </row>
    <row r="100" spans="13:13" ht="15.75" customHeight="1">
      <c r="M100" s="84"/>
    </row>
    <row r="101" spans="13:13" ht="15.75" customHeight="1">
      <c r="M101" s="84"/>
    </row>
    <row r="102" spans="13:13" ht="15.75" customHeight="1">
      <c r="M102" s="84"/>
    </row>
    <row r="103" spans="13:13" ht="15" customHeight="1">
      <c r="M103" s="84"/>
    </row>
  </sheetData>
  <mergeCells count="19">
    <mergeCell ref="A1:M2"/>
    <mergeCell ref="A3:A4"/>
    <mergeCell ref="B3:B4"/>
    <mergeCell ref="C3:C4"/>
    <mergeCell ref="D3:D4"/>
    <mergeCell ref="E3:E4"/>
    <mergeCell ref="F3:F4"/>
    <mergeCell ref="G3:G4"/>
    <mergeCell ref="H3:K3"/>
    <mergeCell ref="L3:L4"/>
    <mergeCell ref="A40:D40"/>
    <mergeCell ref="I40:L40"/>
    <mergeCell ref="M3:M4"/>
    <mergeCell ref="B5:B35"/>
    <mergeCell ref="C5:C35"/>
    <mergeCell ref="A38:D38"/>
    <mergeCell ref="I38:L38"/>
    <mergeCell ref="A39:D39"/>
    <mergeCell ref="I39:L39"/>
  </mergeCells>
  <pageMargins left="0.7" right="0.7" top="0.75" bottom="0.75" header="0" footer="0"/>
  <pageSetup paperSize="9" scale="7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3"/>
  <sheetViews>
    <sheetView topLeftCell="A31" workbookViewId="0">
      <selection activeCell="G37" sqref="G37:J37"/>
    </sheetView>
  </sheetViews>
  <sheetFormatPr defaultColWidth="14.42578125" defaultRowHeight="15" customHeight="1"/>
  <cols>
    <col min="1" max="1" width="12.42578125" style="29" customWidth="1"/>
    <col min="2" max="2" width="7" style="29" customWidth="1"/>
    <col min="3" max="3" width="6" style="29" customWidth="1"/>
    <col min="4" max="4" width="10" style="29" customWidth="1"/>
    <col min="5" max="5" width="8.7109375" style="29" customWidth="1"/>
    <col min="6" max="6" width="9.7109375" style="29" customWidth="1"/>
    <col min="7" max="7" width="8.85546875" style="29" customWidth="1"/>
    <col min="8" max="8" width="10" style="29" customWidth="1"/>
    <col min="9" max="10" width="8.28515625" style="29" customWidth="1"/>
    <col min="11" max="11" width="6.140625" style="29" customWidth="1"/>
    <col min="12" max="12" width="8.5703125" style="29" customWidth="1"/>
    <col min="13" max="13" width="7.7109375" style="29" customWidth="1"/>
    <col min="14" max="16384" width="14.42578125" style="29"/>
  </cols>
  <sheetData>
    <row r="1" spans="1:13" ht="14.25" customHeight="1">
      <c r="A1" s="119" t="s">
        <v>27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ht="15.75" customHeight="1">
      <c r="A2" s="122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4"/>
    </row>
    <row r="3" spans="1:13" ht="14.25" customHeight="1">
      <c r="A3" s="125" t="s">
        <v>0</v>
      </c>
      <c r="B3" s="125" t="s">
        <v>1</v>
      </c>
      <c r="C3" s="125" t="s">
        <v>2</v>
      </c>
      <c r="D3" s="125" t="s">
        <v>28</v>
      </c>
      <c r="E3" s="125" t="s">
        <v>4</v>
      </c>
      <c r="F3" s="125" t="s">
        <v>23</v>
      </c>
      <c r="G3" s="125" t="s">
        <v>5</v>
      </c>
      <c r="H3" s="126" t="s">
        <v>6</v>
      </c>
      <c r="I3" s="127"/>
      <c r="J3" s="127"/>
      <c r="K3" s="127"/>
      <c r="L3" s="125" t="s">
        <v>29</v>
      </c>
      <c r="M3" s="114" t="s">
        <v>8</v>
      </c>
    </row>
    <row r="4" spans="1:13" ht="83.25" customHeight="1">
      <c r="A4" s="115"/>
      <c r="B4" s="115"/>
      <c r="C4" s="115"/>
      <c r="D4" s="115"/>
      <c r="E4" s="115"/>
      <c r="F4" s="115"/>
      <c r="G4" s="115"/>
      <c r="H4" s="53" t="s">
        <v>15</v>
      </c>
      <c r="I4" s="53" t="s">
        <v>30</v>
      </c>
      <c r="J4" s="53" t="s">
        <v>31</v>
      </c>
      <c r="K4" s="53" t="s">
        <v>14</v>
      </c>
      <c r="L4" s="115"/>
      <c r="M4" s="115"/>
    </row>
    <row r="5" spans="1:13" ht="19.5" customHeight="1">
      <c r="A5" s="54">
        <v>45474</v>
      </c>
      <c r="B5" s="116" t="s">
        <v>11</v>
      </c>
      <c r="C5" s="116" t="s">
        <v>12</v>
      </c>
      <c r="D5" s="55">
        <v>213.8</v>
      </c>
      <c r="E5" s="56">
        <v>213.1</v>
      </c>
      <c r="F5" s="55">
        <v>876</v>
      </c>
      <c r="G5" s="57">
        <v>63</v>
      </c>
      <c r="H5" s="62"/>
      <c r="I5" s="62"/>
      <c r="J5" s="62"/>
      <c r="K5" s="62">
        <v>15</v>
      </c>
      <c r="L5" s="58"/>
      <c r="M5" s="59"/>
    </row>
    <row r="6" spans="1:13" ht="19.5" customHeight="1">
      <c r="A6" s="54">
        <v>45475</v>
      </c>
      <c r="B6" s="117"/>
      <c r="C6" s="117"/>
      <c r="D6" s="55">
        <v>213.8</v>
      </c>
      <c r="E6" s="56">
        <v>213.12</v>
      </c>
      <c r="F6" s="55">
        <v>878.09100000000001</v>
      </c>
      <c r="G6" s="57">
        <v>39</v>
      </c>
      <c r="H6" s="62"/>
      <c r="I6" s="62"/>
      <c r="J6" s="62"/>
      <c r="K6" s="62">
        <v>15</v>
      </c>
      <c r="L6" s="58"/>
      <c r="M6" s="59"/>
    </row>
    <row r="7" spans="1:13" ht="19.5" customHeight="1">
      <c r="A7" s="54">
        <v>45476</v>
      </c>
      <c r="B7" s="117"/>
      <c r="C7" s="117"/>
      <c r="D7" s="55">
        <v>213.8</v>
      </c>
      <c r="E7" s="56">
        <v>213.13</v>
      </c>
      <c r="F7" s="55">
        <v>879.13699999999994</v>
      </c>
      <c r="G7" s="57">
        <v>27</v>
      </c>
      <c r="H7" s="62"/>
      <c r="I7" s="62"/>
      <c r="J7" s="62"/>
      <c r="K7" s="62">
        <v>15</v>
      </c>
      <c r="L7" s="58"/>
      <c r="M7" s="59"/>
    </row>
    <row r="8" spans="1:13" ht="19.5" customHeight="1">
      <c r="A8" s="54">
        <v>45477</v>
      </c>
      <c r="B8" s="117"/>
      <c r="C8" s="117"/>
      <c r="D8" s="55">
        <v>213.8</v>
      </c>
      <c r="E8" s="56">
        <v>213.13</v>
      </c>
      <c r="F8" s="55">
        <v>789.13699999999994</v>
      </c>
      <c r="G8" s="57">
        <v>15</v>
      </c>
      <c r="H8" s="62"/>
      <c r="I8" s="62"/>
      <c r="J8" s="62"/>
      <c r="K8" s="62">
        <v>15</v>
      </c>
      <c r="L8" s="58"/>
      <c r="M8" s="59"/>
    </row>
    <row r="9" spans="1:13" ht="19.5" customHeight="1">
      <c r="A9" s="54">
        <v>45478</v>
      </c>
      <c r="B9" s="117"/>
      <c r="C9" s="117"/>
      <c r="D9" s="55">
        <v>213.8</v>
      </c>
      <c r="E9" s="56">
        <v>213.13</v>
      </c>
      <c r="F9" s="55">
        <v>789.13699999999994</v>
      </c>
      <c r="G9" s="57">
        <v>15</v>
      </c>
      <c r="H9" s="62"/>
      <c r="I9" s="62"/>
      <c r="J9" s="62"/>
      <c r="K9" s="62">
        <v>15</v>
      </c>
      <c r="L9" s="58"/>
      <c r="M9" s="59"/>
    </row>
    <row r="10" spans="1:13" ht="19.5" customHeight="1">
      <c r="A10" s="54">
        <v>45479</v>
      </c>
      <c r="B10" s="117"/>
      <c r="C10" s="117"/>
      <c r="D10" s="55">
        <v>213.8</v>
      </c>
      <c r="E10" s="56">
        <v>213.13</v>
      </c>
      <c r="F10" s="55">
        <v>789.13699999999994</v>
      </c>
      <c r="G10" s="57">
        <v>15</v>
      </c>
      <c r="H10" s="62"/>
      <c r="I10" s="62"/>
      <c r="J10" s="62"/>
      <c r="K10" s="62">
        <v>15</v>
      </c>
      <c r="L10" s="58"/>
      <c r="M10" s="59"/>
    </row>
    <row r="11" spans="1:13" ht="19.5" customHeight="1">
      <c r="A11" s="54">
        <v>45480</v>
      </c>
      <c r="B11" s="117"/>
      <c r="C11" s="117"/>
      <c r="D11" s="55">
        <v>213.8</v>
      </c>
      <c r="E11" s="56">
        <v>213.13</v>
      </c>
      <c r="F11" s="55">
        <v>789.13699999999994</v>
      </c>
      <c r="G11" s="57">
        <v>15</v>
      </c>
      <c r="H11" s="62"/>
      <c r="I11" s="62"/>
      <c r="J11" s="62"/>
      <c r="K11" s="62">
        <v>15</v>
      </c>
      <c r="L11" s="58"/>
      <c r="M11" s="59"/>
    </row>
    <row r="12" spans="1:13" ht="19.5" customHeight="1">
      <c r="A12" s="54">
        <v>45481</v>
      </c>
      <c r="B12" s="117"/>
      <c r="C12" s="117"/>
      <c r="D12" s="55">
        <v>213.8</v>
      </c>
      <c r="E12" s="56">
        <v>213.13</v>
      </c>
      <c r="F12" s="55">
        <v>789.13699999999994</v>
      </c>
      <c r="G12" s="57">
        <v>15</v>
      </c>
      <c r="H12" s="62"/>
      <c r="I12" s="62"/>
      <c r="J12" s="62"/>
      <c r="K12" s="62">
        <v>15</v>
      </c>
      <c r="L12" s="58"/>
      <c r="M12" s="59"/>
    </row>
    <row r="13" spans="1:13" ht="19.5" customHeight="1">
      <c r="A13" s="54">
        <v>45482</v>
      </c>
      <c r="B13" s="117"/>
      <c r="C13" s="117"/>
      <c r="D13" s="55">
        <v>213.8</v>
      </c>
      <c r="E13" s="56">
        <v>213.13</v>
      </c>
      <c r="F13" s="55">
        <v>789.13699999999994</v>
      </c>
      <c r="G13" s="57">
        <v>15</v>
      </c>
      <c r="H13" s="62"/>
      <c r="I13" s="62"/>
      <c r="J13" s="62"/>
      <c r="K13" s="62">
        <v>15</v>
      </c>
      <c r="L13" s="58"/>
      <c r="M13" s="59"/>
    </row>
    <row r="14" spans="1:13" ht="19.5" customHeight="1">
      <c r="A14" s="54">
        <v>45483</v>
      </c>
      <c r="B14" s="117"/>
      <c r="C14" s="117"/>
      <c r="D14" s="55">
        <v>213.8</v>
      </c>
      <c r="E14" s="56">
        <v>213.15</v>
      </c>
      <c r="F14" s="60">
        <v>881.22799999999995</v>
      </c>
      <c r="G14" s="57">
        <v>39</v>
      </c>
      <c r="H14" s="62"/>
      <c r="I14" s="62"/>
      <c r="J14" s="62"/>
      <c r="K14" s="62">
        <v>15</v>
      </c>
      <c r="L14" s="58"/>
      <c r="M14" s="59"/>
    </row>
    <row r="15" spans="1:13" ht="19.5" customHeight="1">
      <c r="A15" s="54">
        <v>45484</v>
      </c>
      <c r="B15" s="117"/>
      <c r="C15" s="117"/>
      <c r="D15" s="55">
        <v>213.8</v>
      </c>
      <c r="E15" s="56">
        <v>213.16</v>
      </c>
      <c r="F15" s="55">
        <v>882.27300000000002</v>
      </c>
      <c r="G15" s="57">
        <v>27</v>
      </c>
      <c r="H15" s="62"/>
      <c r="I15" s="62"/>
      <c r="J15" s="62"/>
      <c r="K15" s="62">
        <v>15</v>
      </c>
      <c r="L15" s="58"/>
      <c r="M15" s="59"/>
    </row>
    <row r="16" spans="1:13" ht="19.5" customHeight="1">
      <c r="A16" s="54">
        <v>45485</v>
      </c>
      <c r="B16" s="117"/>
      <c r="C16" s="117"/>
      <c r="D16" s="55">
        <v>213.8</v>
      </c>
      <c r="E16" s="56">
        <v>213.17</v>
      </c>
      <c r="F16" s="55">
        <v>883.31899999999996</v>
      </c>
      <c r="G16" s="57">
        <v>27</v>
      </c>
      <c r="H16" s="62"/>
      <c r="I16" s="62"/>
      <c r="J16" s="62"/>
      <c r="K16" s="62">
        <v>15</v>
      </c>
      <c r="L16" s="58"/>
      <c r="M16" s="59"/>
    </row>
    <row r="17" spans="1:14" ht="19.5" customHeight="1">
      <c r="A17" s="54">
        <v>45486</v>
      </c>
      <c r="B17" s="117"/>
      <c r="C17" s="117"/>
      <c r="D17" s="55">
        <v>213.8</v>
      </c>
      <c r="E17" s="56">
        <v>213.19</v>
      </c>
      <c r="F17" s="55">
        <v>885.41</v>
      </c>
      <c r="G17" s="57">
        <v>39</v>
      </c>
      <c r="H17" s="62"/>
      <c r="I17" s="62"/>
      <c r="J17" s="62"/>
      <c r="K17" s="62">
        <v>15</v>
      </c>
      <c r="L17" s="58"/>
      <c r="M17" s="59"/>
    </row>
    <row r="18" spans="1:14" ht="19.5" customHeight="1">
      <c r="A18" s="54">
        <v>45487</v>
      </c>
      <c r="B18" s="117"/>
      <c r="C18" s="117"/>
      <c r="D18" s="55">
        <v>213.8</v>
      </c>
      <c r="E18" s="56">
        <v>213.21</v>
      </c>
      <c r="F18" s="55">
        <v>887.50099999999998</v>
      </c>
      <c r="G18" s="57">
        <v>39</v>
      </c>
      <c r="H18" s="62"/>
      <c r="I18" s="62"/>
      <c r="J18" s="62"/>
      <c r="K18" s="62">
        <v>15</v>
      </c>
      <c r="L18" s="58"/>
      <c r="M18" s="59"/>
    </row>
    <row r="19" spans="1:14" ht="19.5" customHeight="1">
      <c r="A19" s="54">
        <v>45488</v>
      </c>
      <c r="B19" s="117"/>
      <c r="C19" s="117"/>
      <c r="D19" s="55">
        <v>213.8</v>
      </c>
      <c r="E19" s="56">
        <v>213.23</v>
      </c>
      <c r="F19" s="55">
        <v>889.59199999999998</v>
      </c>
      <c r="G19" s="57">
        <v>39</v>
      </c>
      <c r="H19" s="62"/>
      <c r="I19" s="62"/>
      <c r="J19" s="62"/>
      <c r="K19" s="62">
        <v>15</v>
      </c>
      <c r="L19" s="58"/>
      <c r="M19" s="59"/>
    </row>
    <row r="20" spans="1:14" ht="19.5" customHeight="1">
      <c r="A20" s="54">
        <v>45489</v>
      </c>
      <c r="B20" s="117"/>
      <c r="C20" s="117"/>
      <c r="D20" s="55">
        <v>213.8</v>
      </c>
      <c r="E20" s="56">
        <v>213.25</v>
      </c>
      <c r="F20" s="55">
        <v>891.68399999999997</v>
      </c>
      <c r="G20" s="57">
        <v>39</v>
      </c>
      <c r="H20" s="62"/>
      <c r="I20" s="62"/>
      <c r="J20" s="62"/>
      <c r="K20" s="62">
        <v>15</v>
      </c>
      <c r="L20" s="58"/>
      <c r="M20" s="59"/>
    </row>
    <row r="21" spans="1:14" ht="19.5" customHeight="1">
      <c r="A21" s="54">
        <v>45490</v>
      </c>
      <c r="B21" s="117"/>
      <c r="C21" s="117"/>
      <c r="D21" s="55">
        <v>213.8</v>
      </c>
      <c r="E21" s="56">
        <v>213.3</v>
      </c>
      <c r="F21" s="55">
        <v>896.91099999999994</v>
      </c>
      <c r="G21" s="57">
        <v>75</v>
      </c>
      <c r="H21" s="62"/>
      <c r="I21" s="62"/>
      <c r="J21" s="62"/>
      <c r="K21" s="62">
        <v>15</v>
      </c>
      <c r="L21" s="58"/>
      <c r="M21" s="59"/>
    </row>
    <row r="22" spans="1:14" ht="19.5" customHeight="1">
      <c r="A22" s="54">
        <v>45491</v>
      </c>
      <c r="B22" s="117"/>
      <c r="C22" s="117"/>
      <c r="D22" s="55">
        <v>213.8</v>
      </c>
      <c r="E22" s="56">
        <v>213.33</v>
      </c>
      <c r="F22" s="55">
        <v>900.04</v>
      </c>
      <c r="G22" s="57">
        <v>51</v>
      </c>
      <c r="H22" s="62"/>
      <c r="I22" s="62"/>
      <c r="J22" s="62"/>
      <c r="K22" s="62">
        <v>15</v>
      </c>
      <c r="L22" s="58"/>
      <c r="M22" s="59"/>
    </row>
    <row r="23" spans="1:14" ht="19.5" customHeight="1">
      <c r="A23" s="54">
        <v>45492</v>
      </c>
      <c r="B23" s="117"/>
      <c r="C23" s="117"/>
      <c r="D23" s="55">
        <v>213.8</v>
      </c>
      <c r="E23" s="56">
        <v>213.4</v>
      </c>
      <c r="F23" s="55">
        <v>907.36699999999996</v>
      </c>
      <c r="G23" s="57">
        <v>99</v>
      </c>
      <c r="H23" s="62"/>
      <c r="I23" s="62"/>
      <c r="J23" s="62"/>
      <c r="K23" s="62">
        <v>15</v>
      </c>
      <c r="L23" s="58"/>
      <c r="M23" s="59"/>
    </row>
    <row r="24" spans="1:14" ht="19.5" customHeight="1">
      <c r="A24" s="54">
        <v>45493</v>
      </c>
      <c r="B24" s="117"/>
      <c r="C24" s="117"/>
      <c r="D24" s="55">
        <v>213.8</v>
      </c>
      <c r="E24" s="56">
        <v>213.48</v>
      </c>
      <c r="F24" s="55">
        <v>915.73199999999997</v>
      </c>
      <c r="G24" s="57">
        <v>111</v>
      </c>
      <c r="H24" s="62"/>
      <c r="I24" s="62"/>
      <c r="J24" s="62">
        <v>50</v>
      </c>
      <c r="K24" s="62"/>
      <c r="L24" s="58"/>
      <c r="M24" s="59"/>
    </row>
    <row r="25" spans="1:14" ht="19.5" customHeight="1">
      <c r="A25" s="54">
        <v>45494</v>
      </c>
      <c r="B25" s="117"/>
      <c r="C25" s="117"/>
      <c r="D25" s="55">
        <v>213.8</v>
      </c>
      <c r="E25" s="56">
        <v>213.65</v>
      </c>
      <c r="F25" s="55">
        <v>933.50599999999997</v>
      </c>
      <c r="G25" s="57">
        <v>571</v>
      </c>
      <c r="H25" s="62">
        <v>350</v>
      </c>
      <c r="I25" s="62"/>
      <c r="J25" s="62"/>
      <c r="K25" s="62">
        <v>15</v>
      </c>
      <c r="L25" s="58"/>
      <c r="M25" s="59"/>
    </row>
    <row r="26" spans="1:14" ht="19.5" customHeight="1">
      <c r="A26" s="54">
        <v>45495</v>
      </c>
      <c r="B26" s="117"/>
      <c r="C26" s="117"/>
      <c r="D26" s="55">
        <v>213.8</v>
      </c>
      <c r="E26" s="56">
        <v>213.51</v>
      </c>
      <c r="F26" s="55">
        <v>918.86800000000005</v>
      </c>
      <c r="G26" s="57">
        <v>145</v>
      </c>
      <c r="H26" s="62">
        <v>300</v>
      </c>
      <c r="I26" s="62"/>
      <c r="J26" s="62"/>
      <c r="K26" s="62">
        <v>15</v>
      </c>
      <c r="L26" s="58"/>
      <c r="M26" s="59"/>
      <c r="N26" s="19"/>
    </row>
    <row r="27" spans="1:14" ht="19.5" customHeight="1">
      <c r="A27" s="54">
        <v>45496</v>
      </c>
      <c r="B27" s="117"/>
      <c r="C27" s="117"/>
      <c r="D27" s="55">
        <v>213.8</v>
      </c>
      <c r="E27" s="56">
        <v>213.5</v>
      </c>
      <c r="F27" s="55">
        <v>917.82299999999998</v>
      </c>
      <c r="G27" s="57">
        <v>102</v>
      </c>
      <c r="H27" s="62">
        <v>100</v>
      </c>
      <c r="I27" s="62"/>
      <c r="J27" s="62"/>
      <c r="K27" s="62">
        <v>15</v>
      </c>
      <c r="L27" s="58"/>
      <c r="M27" s="59"/>
    </row>
    <row r="28" spans="1:14" ht="19.5" customHeight="1">
      <c r="A28" s="54">
        <v>45497</v>
      </c>
      <c r="B28" s="117"/>
      <c r="C28" s="117"/>
      <c r="D28" s="55">
        <v>213.8</v>
      </c>
      <c r="E28" s="56">
        <v>213.5</v>
      </c>
      <c r="F28" s="55">
        <v>917.82299999999998</v>
      </c>
      <c r="G28" s="57">
        <v>115</v>
      </c>
      <c r="H28" s="62">
        <v>100</v>
      </c>
      <c r="I28" s="62"/>
      <c r="J28" s="62"/>
      <c r="K28" s="62">
        <v>15</v>
      </c>
      <c r="L28" s="58"/>
      <c r="M28" s="59"/>
    </row>
    <row r="29" spans="1:14" ht="19.5" customHeight="1">
      <c r="A29" s="54">
        <v>45498</v>
      </c>
      <c r="B29" s="117"/>
      <c r="C29" s="117"/>
      <c r="D29" s="55">
        <v>213.8</v>
      </c>
      <c r="E29" s="56">
        <v>213.5</v>
      </c>
      <c r="F29" s="55">
        <v>917.82299999999998</v>
      </c>
      <c r="G29" s="57">
        <v>115</v>
      </c>
      <c r="H29" s="62">
        <v>100</v>
      </c>
      <c r="I29" s="62"/>
      <c r="J29" s="62"/>
      <c r="K29" s="62">
        <v>15</v>
      </c>
      <c r="L29" s="58"/>
      <c r="M29" s="59"/>
    </row>
    <row r="30" spans="1:14" ht="19.5" customHeight="1">
      <c r="A30" s="54">
        <v>45499</v>
      </c>
      <c r="B30" s="117"/>
      <c r="C30" s="117"/>
      <c r="D30" s="55">
        <v>213.8</v>
      </c>
      <c r="E30" s="56">
        <v>213.52</v>
      </c>
      <c r="F30" s="55">
        <v>919.91399999999999</v>
      </c>
      <c r="G30" s="57">
        <v>139</v>
      </c>
      <c r="H30" s="62">
        <v>100</v>
      </c>
      <c r="I30" s="62"/>
      <c r="J30" s="62"/>
      <c r="K30" s="62">
        <v>15</v>
      </c>
      <c r="L30" s="58"/>
      <c r="M30" s="59"/>
    </row>
    <row r="31" spans="1:14" ht="21" customHeight="1">
      <c r="A31" s="54">
        <v>45500</v>
      </c>
      <c r="B31" s="117"/>
      <c r="C31" s="117"/>
      <c r="D31" s="55">
        <v>213.8</v>
      </c>
      <c r="E31" s="56">
        <v>213.52</v>
      </c>
      <c r="F31" s="55">
        <v>919.91399999999999</v>
      </c>
      <c r="G31" s="57">
        <v>215</v>
      </c>
      <c r="H31" s="62">
        <v>200</v>
      </c>
      <c r="I31" s="62"/>
      <c r="J31" s="62"/>
      <c r="K31" s="62">
        <v>15</v>
      </c>
      <c r="L31" s="58"/>
      <c r="M31" s="59"/>
    </row>
    <row r="32" spans="1:14" ht="21" customHeight="1">
      <c r="A32" s="54">
        <v>45501</v>
      </c>
      <c r="B32" s="117"/>
      <c r="C32" s="117"/>
      <c r="D32" s="55">
        <v>213.8</v>
      </c>
      <c r="E32" s="56">
        <v>213.52</v>
      </c>
      <c r="F32" s="55">
        <v>919.91399999999999</v>
      </c>
      <c r="G32" s="57">
        <v>115</v>
      </c>
      <c r="H32" s="62">
        <v>100</v>
      </c>
      <c r="I32" s="62"/>
      <c r="J32" s="62"/>
      <c r="K32" s="62">
        <v>15</v>
      </c>
      <c r="L32" s="58"/>
      <c r="M32" s="59"/>
    </row>
    <row r="33" spans="1:14" ht="21" customHeight="1">
      <c r="A33" s="54">
        <v>45502</v>
      </c>
      <c r="B33" s="117"/>
      <c r="C33" s="117"/>
      <c r="D33" s="55">
        <v>213.8</v>
      </c>
      <c r="E33" s="56">
        <v>213.52</v>
      </c>
      <c r="F33" s="55">
        <v>919.91399999999999</v>
      </c>
      <c r="G33" s="57">
        <v>115</v>
      </c>
      <c r="H33" s="62">
        <v>100</v>
      </c>
      <c r="I33" s="62"/>
      <c r="J33" s="62"/>
      <c r="K33" s="62">
        <v>15</v>
      </c>
      <c r="L33" s="58"/>
      <c r="M33" s="59"/>
    </row>
    <row r="34" spans="1:14" ht="21" customHeight="1">
      <c r="A34" s="54">
        <v>45503</v>
      </c>
      <c r="B34" s="117"/>
      <c r="C34" s="117"/>
      <c r="D34" s="55">
        <v>213.8</v>
      </c>
      <c r="E34" s="56">
        <v>213.52</v>
      </c>
      <c r="F34" s="55">
        <v>919.91399999999999</v>
      </c>
      <c r="G34" s="57">
        <v>115</v>
      </c>
      <c r="H34" s="62">
        <v>100</v>
      </c>
      <c r="I34" s="62"/>
      <c r="J34" s="62"/>
      <c r="K34" s="62">
        <v>15</v>
      </c>
      <c r="L34" s="58"/>
      <c r="M34" s="59"/>
    </row>
    <row r="35" spans="1:14" ht="21" customHeight="1">
      <c r="A35" s="54">
        <v>45504</v>
      </c>
      <c r="B35" s="117"/>
      <c r="C35" s="117"/>
      <c r="D35" s="55">
        <v>213.8</v>
      </c>
      <c r="E35" s="56">
        <v>213.52</v>
      </c>
      <c r="F35" s="55">
        <v>919.91399999999999</v>
      </c>
      <c r="G35" s="57">
        <v>115</v>
      </c>
      <c r="H35" s="62">
        <v>100</v>
      </c>
      <c r="I35" s="62"/>
      <c r="J35" s="62"/>
      <c r="K35" s="62">
        <v>15</v>
      </c>
      <c r="L35" s="58"/>
      <c r="M35" s="59"/>
    </row>
    <row r="36" spans="1:14" ht="21" customHeight="1">
      <c r="A36" s="40"/>
      <c r="B36" s="13"/>
      <c r="C36" s="13"/>
      <c r="D36" s="14"/>
      <c r="E36" s="15"/>
      <c r="F36" s="14"/>
      <c r="G36" s="61">
        <f t="shared" ref="G36:L36" si="0">SUM(G5:G35)</f>
        <v>2666</v>
      </c>
      <c r="H36" s="61">
        <f t="shared" si="0"/>
        <v>1650</v>
      </c>
      <c r="I36" s="61">
        <f>SUM(I5:I35)</f>
        <v>0</v>
      </c>
      <c r="J36" s="61">
        <f t="shared" si="0"/>
        <v>50</v>
      </c>
      <c r="K36" s="61">
        <f t="shared" si="0"/>
        <v>450</v>
      </c>
      <c r="L36" s="61">
        <f t="shared" si="0"/>
        <v>0</v>
      </c>
      <c r="N36" s="20"/>
    </row>
    <row r="37" spans="1:14" ht="47.25" customHeight="1">
      <c r="A37" s="42"/>
      <c r="B37" s="43"/>
      <c r="C37" s="5"/>
      <c r="D37" s="5"/>
      <c r="E37" s="5"/>
      <c r="F37" s="5"/>
      <c r="G37" s="150">
        <f>G36/11574</f>
        <v>0.23034387420079488</v>
      </c>
      <c r="H37" s="150"/>
      <c r="I37" s="150">
        <f>I36/11574</f>
        <v>0</v>
      </c>
      <c r="J37" s="150">
        <f>J36/11574</f>
        <v>4.3200276481769485E-3</v>
      </c>
      <c r="K37" s="44"/>
      <c r="L37" s="44"/>
      <c r="M37" s="41"/>
    </row>
    <row r="38" spans="1:14" ht="15.75" customHeight="1">
      <c r="A38" s="118" t="s">
        <v>9</v>
      </c>
      <c r="B38" s="113"/>
      <c r="C38" s="113"/>
      <c r="D38" s="113"/>
      <c r="I38" s="118" t="s">
        <v>10</v>
      </c>
      <c r="J38" s="113"/>
      <c r="K38" s="113"/>
      <c r="L38" s="113"/>
      <c r="M38" s="45"/>
    </row>
    <row r="39" spans="1:14" ht="15.75" customHeight="1">
      <c r="A39" s="118" t="s">
        <v>16</v>
      </c>
      <c r="B39" s="113"/>
      <c r="C39" s="113"/>
      <c r="D39" s="113"/>
      <c r="I39" s="118" t="s">
        <v>16</v>
      </c>
      <c r="J39" s="113"/>
      <c r="K39" s="113"/>
      <c r="L39" s="113"/>
      <c r="M39" s="45"/>
    </row>
    <row r="40" spans="1:14" ht="15.75" customHeight="1">
      <c r="A40" s="112" t="s">
        <v>17</v>
      </c>
      <c r="B40" s="113"/>
      <c r="C40" s="113"/>
      <c r="D40" s="113"/>
      <c r="I40" s="112" t="s">
        <v>17</v>
      </c>
      <c r="J40" s="113"/>
      <c r="K40" s="113"/>
      <c r="L40" s="113"/>
      <c r="M40" s="45"/>
    </row>
    <row r="41" spans="1:14" ht="15.75" customHeight="1">
      <c r="M41" s="45"/>
    </row>
    <row r="42" spans="1:14" ht="15.75" customHeight="1">
      <c r="M42" s="45"/>
    </row>
    <row r="43" spans="1:14" ht="15.75" customHeight="1">
      <c r="M43" s="45"/>
    </row>
    <row r="44" spans="1:14" ht="15.75" customHeight="1">
      <c r="M44" s="45"/>
    </row>
    <row r="45" spans="1:14" ht="15.75" customHeight="1">
      <c r="M45" s="45"/>
    </row>
    <row r="46" spans="1:14" ht="15.75" customHeight="1">
      <c r="M46" s="45"/>
    </row>
    <row r="47" spans="1:14" ht="15.75" customHeight="1">
      <c r="M47" s="45"/>
    </row>
    <row r="48" spans="1:14" ht="15.75" customHeight="1">
      <c r="M48" s="45"/>
    </row>
    <row r="49" spans="13:13" ht="15.75" customHeight="1">
      <c r="M49" s="45"/>
    </row>
    <row r="50" spans="13:13" ht="15.75" customHeight="1">
      <c r="M50" s="45"/>
    </row>
    <row r="51" spans="13:13" ht="15.75" customHeight="1">
      <c r="M51" s="45"/>
    </row>
    <row r="52" spans="13:13" ht="15.75" customHeight="1">
      <c r="M52" s="45"/>
    </row>
    <row r="53" spans="13:13" ht="15.75" customHeight="1">
      <c r="M53" s="45"/>
    </row>
    <row r="54" spans="13:13" ht="15.75" customHeight="1">
      <c r="M54" s="45"/>
    </row>
    <row r="55" spans="13:13" ht="15.75" customHeight="1">
      <c r="M55" s="45"/>
    </row>
    <row r="56" spans="13:13" ht="15.75" customHeight="1">
      <c r="M56" s="45"/>
    </row>
    <row r="57" spans="13:13" ht="15.75" customHeight="1">
      <c r="M57" s="45"/>
    </row>
    <row r="58" spans="13:13" ht="15.75" customHeight="1">
      <c r="M58" s="45"/>
    </row>
    <row r="59" spans="13:13" ht="15.75" customHeight="1">
      <c r="M59" s="45"/>
    </row>
    <row r="60" spans="13:13" ht="15.75" customHeight="1">
      <c r="M60" s="45"/>
    </row>
    <row r="61" spans="13:13" ht="15.75" customHeight="1">
      <c r="M61" s="45"/>
    </row>
    <row r="62" spans="13:13" ht="15.75" customHeight="1">
      <c r="M62" s="45"/>
    </row>
    <row r="63" spans="13:13" ht="15.75" customHeight="1">
      <c r="M63" s="45"/>
    </row>
    <row r="64" spans="13:13" ht="15.75" customHeight="1">
      <c r="M64" s="45"/>
    </row>
    <row r="65" spans="13:13" ht="15.75" customHeight="1">
      <c r="M65" s="45"/>
    </row>
    <row r="66" spans="13:13" ht="15.75" customHeight="1">
      <c r="M66" s="45"/>
    </row>
    <row r="67" spans="13:13" ht="15.75" customHeight="1">
      <c r="M67" s="45"/>
    </row>
    <row r="68" spans="13:13" ht="15.75" customHeight="1">
      <c r="M68" s="45"/>
    </row>
    <row r="69" spans="13:13" ht="15.75" customHeight="1">
      <c r="M69" s="45"/>
    </row>
    <row r="70" spans="13:13" ht="15.75" customHeight="1">
      <c r="M70" s="45"/>
    </row>
    <row r="71" spans="13:13" ht="15.75" customHeight="1">
      <c r="M71" s="45"/>
    </row>
    <row r="72" spans="13:13" ht="15.75" customHeight="1">
      <c r="M72" s="45"/>
    </row>
    <row r="73" spans="13:13" ht="15.75" customHeight="1">
      <c r="M73" s="45"/>
    </row>
    <row r="74" spans="13:13" ht="15.75" customHeight="1">
      <c r="M74" s="45"/>
    </row>
    <row r="75" spans="13:13" ht="15.75" customHeight="1">
      <c r="M75" s="45"/>
    </row>
    <row r="76" spans="13:13" ht="15.75" customHeight="1">
      <c r="M76" s="45"/>
    </row>
    <row r="77" spans="13:13" ht="15.75" customHeight="1">
      <c r="M77" s="45"/>
    </row>
    <row r="78" spans="13:13" ht="15.75" customHeight="1">
      <c r="M78" s="45"/>
    </row>
    <row r="79" spans="13:13" ht="15.75" customHeight="1">
      <c r="M79" s="45"/>
    </row>
    <row r="80" spans="13:13" ht="15.75" customHeight="1">
      <c r="M80" s="45"/>
    </row>
    <row r="81" spans="13:13" ht="15.75" customHeight="1">
      <c r="M81" s="45"/>
    </row>
    <row r="82" spans="13:13" ht="15.75" customHeight="1">
      <c r="M82" s="45"/>
    </row>
    <row r="83" spans="13:13" ht="15.75" customHeight="1">
      <c r="M83" s="45"/>
    </row>
    <row r="84" spans="13:13" ht="15.75" customHeight="1">
      <c r="M84" s="45"/>
    </row>
    <row r="85" spans="13:13" ht="15.75" customHeight="1">
      <c r="M85" s="45"/>
    </row>
    <row r="86" spans="13:13" ht="15.75" customHeight="1">
      <c r="M86" s="45"/>
    </row>
    <row r="87" spans="13:13" ht="15.75" customHeight="1">
      <c r="M87" s="45"/>
    </row>
    <row r="88" spans="13:13" ht="15.75" customHeight="1">
      <c r="M88" s="45"/>
    </row>
    <row r="89" spans="13:13" ht="15.75" customHeight="1">
      <c r="M89" s="45"/>
    </row>
    <row r="90" spans="13:13" ht="15.75" customHeight="1">
      <c r="M90" s="45"/>
    </row>
    <row r="91" spans="13:13" ht="15.75" customHeight="1">
      <c r="M91" s="45"/>
    </row>
    <row r="92" spans="13:13" ht="15.75" customHeight="1">
      <c r="M92" s="45"/>
    </row>
    <row r="93" spans="13:13" ht="15.75" customHeight="1">
      <c r="M93" s="45"/>
    </row>
    <row r="94" spans="13:13" ht="15.75" customHeight="1">
      <c r="M94" s="45"/>
    </row>
    <row r="95" spans="13:13" ht="15.75" customHeight="1">
      <c r="M95" s="45"/>
    </row>
    <row r="96" spans="13:13" ht="15.75" customHeight="1">
      <c r="M96" s="45"/>
    </row>
    <row r="97" spans="13:13" ht="15.75" customHeight="1">
      <c r="M97" s="45"/>
    </row>
    <row r="98" spans="13:13" ht="15.75" customHeight="1">
      <c r="M98" s="45"/>
    </row>
    <row r="99" spans="13:13" ht="15.75" customHeight="1">
      <c r="M99" s="45"/>
    </row>
    <row r="100" spans="13:13" ht="15.75" customHeight="1">
      <c r="M100" s="45"/>
    </row>
    <row r="101" spans="13:13" ht="15.75" customHeight="1">
      <c r="M101" s="45"/>
    </row>
    <row r="102" spans="13:13" ht="15.75" customHeight="1">
      <c r="M102" s="45"/>
    </row>
    <row r="103" spans="13:13" ht="15" customHeight="1">
      <c r="M103" s="45"/>
    </row>
  </sheetData>
  <mergeCells count="19">
    <mergeCell ref="A1:M2"/>
    <mergeCell ref="A3:A4"/>
    <mergeCell ref="B3:B4"/>
    <mergeCell ref="C3:C4"/>
    <mergeCell ref="D3:D4"/>
    <mergeCell ref="E3:E4"/>
    <mergeCell ref="F3:F4"/>
    <mergeCell ref="G3:G4"/>
    <mergeCell ref="H3:K3"/>
    <mergeCell ref="L3:L4"/>
    <mergeCell ref="A40:D40"/>
    <mergeCell ref="I40:L40"/>
    <mergeCell ref="M3:M4"/>
    <mergeCell ref="B5:B35"/>
    <mergeCell ref="C5:C35"/>
    <mergeCell ref="A38:D38"/>
    <mergeCell ref="I38:L38"/>
    <mergeCell ref="A39:D39"/>
    <mergeCell ref="I39:L39"/>
  </mergeCells>
  <pageMargins left="0.7" right="0.7" top="0.75" bottom="0.75" header="0" footer="0"/>
  <pageSetup paperSize="9" scale="7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2"/>
  <sheetViews>
    <sheetView topLeftCell="E28" workbookViewId="0">
      <selection activeCell="G36" sqref="G36:J36"/>
    </sheetView>
  </sheetViews>
  <sheetFormatPr defaultColWidth="14.42578125" defaultRowHeight="15" customHeight="1"/>
  <cols>
    <col min="1" max="1" width="12.42578125" style="29" customWidth="1"/>
    <col min="2" max="2" width="7" style="29" customWidth="1"/>
    <col min="3" max="3" width="6" style="29" customWidth="1"/>
    <col min="4" max="4" width="10" style="29" customWidth="1"/>
    <col min="5" max="5" width="8.7109375" style="29" customWidth="1"/>
    <col min="6" max="6" width="9.7109375" style="29" customWidth="1"/>
    <col min="7" max="7" width="8.85546875" style="29" customWidth="1"/>
    <col min="8" max="8" width="8.7109375" style="29" customWidth="1"/>
    <col min="9" max="9" width="8.42578125" style="29" customWidth="1"/>
    <col min="10" max="10" width="8.7109375" style="29" customWidth="1"/>
    <col min="11" max="11" width="6.42578125" style="29" customWidth="1"/>
    <col min="12" max="12" width="8.5703125" style="29" customWidth="1"/>
    <col min="13" max="13" width="7.7109375" style="29" customWidth="1"/>
    <col min="14" max="14" width="14.42578125" style="29"/>
    <col min="15" max="21" width="0" style="29" hidden="1" customWidth="1"/>
    <col min="22" max="16384" width="14.42578125" style="29"/>
  </cols>
  <sheetData>
    <row r="1" spans="1:13" ht="14.25" customHeight="1">
      <c r="A1" s="119" t="s">
        <v>26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ht="15.75" customHeight="1">
      <c r="A2" s="122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4"/>
    </row>
    <row r="3" spans="1:13" ht="14.25" customHeight="1">
      <c r="A3" s="125" t="s">
        <v>0</v>
      </c>
      <c r="B3" s="125" t="s">
        <v>1</v>
      </c>
      <c r="C3" s="125" t="s">
        <v>2</v>
      </c>
      <c r="D3" s="125" t="s">
        <v>3</v>
      </c>
      <c r="E3" s="125" t="s">
        <v>4</v>
      </c>
      <c r="F3" s="125" t="s">
        <v>23</v>
      </c>
      <c r="G3" s="125" t="s">
        <v>5</v>
      </c>
      <c r="H3" s="126" t="s">
        <v>6</v>
      </c>
      <c r="I3" s="127"/>
      <c r="J3" s="127"/>
      <c r="K3" s="127"/>
      <c r="L3" s="125" t="s">
        <v>7</v>
      </c>
      <c r="M3" s="114" t="s">
        <v>8</v>
      </c>
    </row>
    <row r="4" spans="1:13" ht="83.25" customHeight="1">
      <c r="A4" s="115"/>
      <c r="B4" s="115"/>
      <c r="C4" s="115"/>
      <c r="D4" s="115"/>
      <c r="E4" s="115"/>
      <c r="F4" s="115"/>
      <c r="G4" s="115"/>
      <c r="H4" s="53" t="s">
        <v>15</v>
      </c>
      <c r="I4" s="53" t="s">
        <v>13</v>
      </c>
      <c r="J4" s="53" t="s">
        <v>18</v>
      </c>
      <c r="K4" s="53" t="s">
        <v>14</v>
      </c>
      <c r="L4" s="115"/>
      <c r="M4" s="115"/>
    </row>
    <row r="5" spans="1:13" ht="19.5" customHeight="1">
      <c r="A5" s="54">
        <v>45444</v>
      </c>
      <c r="B5" s="116" t="s">
        <v>11</v>
      </c>
      <c r="C5" s="116" t="s">
        <v>12</v>
      </c>
      <c r="D5" s="55">
        <v>213.8</v>
      </c>
      <c r="E5" s="56">
        <v>212.18</v>
      </c>
      <c r="F5" s="55">
        <v>779.80799999999999</v>
      </c>
      <c r="G5" s="57">
        <v>15</v>
      </c>
      <c r="H5" s="58">
        <v>0</v>
      </c>
      <c r="I5" s="58">
        <v>0</v>
      </c>
      <c r="J5" s="58">
        <v>0</v>
      </c>
      <c r="K5" s="58">
        <v>15</v>
      </c>
      <c r="L5" s="58">
        <f>H5+I5+J5+K5</f>
        <v>15</v>
      </c>
      <c r="M5" s="59"/>
    </row>
    <row r="6" spans="1:13" ht="19.5" customHeight="1">
      <c r="A6" s="54">
        <v>45445</v>
      </c>
      <c r="B6" s="117"/>
      <c r="C6" s="117"/>
      <c r="D6" s="55">
        <v>213.8</v>
      </c>
      <c r="E6" s="56">
        <v>212.18</v>
      </c>
      <c r="F6" s="55">
        <v>779.80799999999999</v>
      </c>
      <c r="G6" s="57">
        <v>15</v>
      </c>
      <c r="H6" s="58">
        <v>0</v>
      </c>
      <c r="I6" s="58">
        <v>0</v>
      </c>
      <c r="J6" s="58">
        <v>0</v>
      </c>
      <c r="K6" s="58">
        <v>15</v>
      </c>
      <c r="L6" s="58">
        <f t="shared" ref="L6:L34" si="0">H6+I6+J6+K6</f>
        <v>15</v>
      </c>
      <c r="M6" s="59"/>
    </row>
    <row r="7" spans="1:13" ht="19.5" customHeight="1">
      <c r="A7" s="54">
        <v>45446</v>
      </c>
      <c r="B7" s="117"/>
      <c r="C7" s="117"/>
      <c r="D7" s="55">
        <v>213.8</v>
      </c>
      <c r="E7" s="56">
        <v>212.18</v>
      </c>
      <c r="F7" s="55">
        <v>779.80799999999999</v>
      </c>
      <c r="G7" s="57">
        <v>15</v>
      </c>
      <c r="H7" s="58">
        <v>0</v>
      </c>
      <c r="I7" s="58">
        <v>0</v>
      </c>
      <c r="J7" s="58">
        <v>0</v>
      </c>
      <c r="K7" s="58">
        <v>15</v>
      </c>
      <c r="L7" s="58">
        <f t="shared" si="0"/>
        <v>15</v>
      </c>
      <c r="M7" s="59"/>
    </row>
    <row r="8" spans="1:13" ht="19.5" customHeight="1">
      <c r="A8" s="54">
        <v>45447</v>
      </c>
      <c r="B8" s="117"/>
      <c r="C8" s="117"/>
      <c r="D8" s="55">
        <v>213.8</v>
      </c>
      <c r="E8" s="56">
        <v>212.17</v>
      </c>
      <c r="F8" s="55">
        <v>778.76199999999994</v>
      </c>
      <c r="G8" s="57">
        <v>2</v>
      </c>
      <c r="H8" s="58">
        <v>0</v>
      </c>
      <c r="I8" s="58">
        <v>0</v>
      </c>
      <c r="J8" s="58">
        <v>0</v>
      </c>
      <c r="K8" s="58">
        <v>15</v>
      </c>
      <c r="L8" s="58">
        <f t="shared" si="0"/>
        <v>15</v>
      </c>
      <c r="M8" s="59"/>
    </row>
    <row r="9" spans="1:13" ht="19.5" customHeight="1">
      <c r="A9" s="54">
        <v>45448</v>
      </c>
      <c r="B9" s="117"/>
      <c r="C9" s="117"/>
      <c r="D9" s="55">
        <v>213.8</v>
      </c>
      <c r="E9" s="56">
        <v>212.16</v>
      </c>
      <c r="F9" s="55">
        <v>777.71600000000001</v>
      </c>
      <c r="G9" s="57">
        <v>2</v>
      </c>
      <c r="H9" s="58">
        <v>0</v>
      </c>
      <c r="I9" s="58">
        <v>0</v>
      </c>
      <c r="J9" s="58">
        <v>0</v>
      </c>
      <c r="K9" s="58">
        <v>15</v>
      </c>
      <c r="L9" s="58">
        <f t="shared" si="0"/>
        <v>15</v>
      </c>
      <c r="M9" s="59"/>
    </row>
    <row r="10" spans="1:13" ht="19.5" customHeight="1">
      <c r="A10" s="54">
        <v>45449</v>
      </c>
      <c r="B10" s="117"/>
      <c r="C10" s="117"/>
      <c r="D10" s="55">
        <v>213.8</v>
      </c>
      <c r="E10" s="56">
        <v>212.16</v>
      </c>
      <c r="F10" s="55">
        <v>777.16</v>
      </c>
      <c r="G10" s="57">
        <v>15</v>
      </c>
      <c r="H10" s="58">
        <v>0</v>
      </c>
      <c r="I10" s="58">
        <v>0</v>
      </c>
      <c r="J10" s="58">
        <v>0</v>
      </c>
      <c r="K10" s="58">
        <v>15</v>
      </c>
      <c r="L10" s="58">
        <f t="shared" si="0"/>
        <v>15</v>
      </c>
      <c r="M10" s="59"/>
    </row>
    <row r="11" spans="1:13" ht="19.5" customHeight="1">
      <c r="A11" s="54">
        <v>45450</v>
      </c>
      <c r="B11" s="117"/>
      <c r="C11" s="117"/>
      <c r="D11" s="55">
        <v>213.8</v>
      </c>
      <c r="E11" s="56">
        <v>212.16</v>
      </c>
      <c r="F11" s="55">
        <v>777.16</v>
      </c>
      <c r="G11" s="57">
        <v>15</v>
      </c>
      <c r="H11" s="58">
        <v>0</v>
      </c>
      <c r="I11" s="58">
        <v>0</v>
      </c>
      <c r="J11" s="58">
        <v>0</v>
      </c>
      <c r="K11" s="58">
        <v>15</v>
      </c>
      <c r="L11" s="58">
        <f t="shared" si="0"/>
        <v>15</v>
      </c>
      <c r="M11" s="59"/>
    </row>
    <row r="12" spans="1:13" ht="19.5" customHeight="1">
      <c r="A12" s="54">
        <v>45451</v>
      </c>
      <c r="B12" s="117"/>
      <c r="C12" s="117"/>
      <c r="D12" s="55">
        <v>213.8</v>
      </c>
      <c r="E12" s="56">
        <v>212.16</v>
      </c>
      <c r="F12" s="55">
        <v>777.16</v>
      </c>
      <c r="G12" s="57">
        <v>15</v>
      </c>
      <c r="H12" s="58">
        <v>0</v>
      </c>
      <c r="I12" s="58">
        <v>0</v>
      </c>
      <c r="J12" s="58">
        <v>0</v>
      </c>
      <c r="K12" s="58">
        <v>15</v>
      </c>
      <c r="L12" s="58">
        <f t="shared" si="0"/>
        <v>15</v>
      </c>
      <c r="M12" s="59"/>
    </row>
    <row r="13" spans="1:13" ht="19.5" customHeight="1">
      <c r="A13" s="54">
        <v>45452</v>
      </c>
      <c r="B13" s="117"/>
      <c r="C13" s="117"/>
      <c r="D13" s="55">
        <v>213.8</v>
      </c>
      <c r="E13" s="56">
        <v>212.16</v>
      </c>
      <c r="F13" s="55">
        <v>777.16</v>
      </c>
      <c r="G13" s="57">
        <v>15</v>
      </c>
      <c r="H13" s="58">
        <v>0</v>
      </c>
      <c r="I13" s="58">
        <v>0</v>
      </c>
      <c r="J13" s="58">
        <v>0</v>
      </c>
      <c r="K13" s="58">
        <v>15</v>
      </c>
      <c r="L13" s="58">
        <f t="shared" si="0"/>
        <v>15</v>
      </c>
      <c r="M13" s="59"/>
    </row>
    <row r="14" spans="1:13" ht="19.5" customHeight="1">
      <c r="A14" s="54">
        <v>45453</v>
      </c>
      <c r="B14" s="117"/>
      <c r="C14" s="117"/>
      <c r="D14" s="55">
        <v>213.8</v>
      </c>
      <c r="E14" s="56">
        <v>212.16</v>
      </c>
      <c r="F14" s="55">
        <v>777.16</v>
      </c>
      <c r="G14" s="57">
        <v>15</v>
      </c>
      <c r="H14" s="58">
        <v>0</v>
      </c>
      <c r="I14" s="58">
        <v>0</v>
      </c>
      <c r="J14" s="58">
        <v>0</v>
      </c>
      <c r="K14" s="58">
        <v>15</v>
      </c>
      <c r="L14" s="58">
        <f t="shared" si="0"/>
        <v>15</v>
      </c>
      <c r="M14" s="59"/>
    </row>
    <row r="15" spans="1:13" ht="19.5" customHeight="1">
      <c r="A15" s="54">
        <v>45454</v>
      </c>
      <c r="B15" s="117"/>
      <c r="C15" s="117"/>
      <c r="D15" s="55">
        <v>213.8</v>
      </c>
      <c r="E15" s="56">
        <v>212.16</v>
      </c>
      <c r="F15" s="55">
        <v>777.16</v>
      </c>
      <c r="G15" s="57">
        <v>15</v>
      </c>
      <c r="H15" s="58">
        <v>0</v>
      </c>
      <c r="I15" s="58">
        <v>0</v>
      </c>
      <c r="J15" s="58">
        <v>0</v>
      </c>
      <c r="K15" s="58">
        <v>15</v>
      </c>
      <c r="L15" s="58">
        <f t="shared" si="0"/>
        <v>15</v>
      </c>
      <c r="M15" s="59"/>
    </row>
    <row r="16" spans="1:13" ht="19.5" customHeight="1">
      <c r="A16" s="54">
        <v>45455</v>
      </c>
      <c r="B16" s="117"/>
      <c r="C16" s="117"/>
      <c r="D16" s="55">
        <v>213.8</v>
      </c>
      <c r="E16" s="56">
        <v>212.16</v>
      </c>
      <c r="F16" s="55">
        <v>777.16</v>
      </c>
      <c r="G16" s="57">
        <v>15</v>
      </c>
      <c r="H16" s="58">
        <v>0</v>
      </c>
      <c r="I16" s="58">
        <v>0</v>
      </c>
      <c r="J16" s="58">
        <v>0</v>
      </c>
      <c r="K16" s="58">
        <v>15</v>
      </c>
      <c r="L16" s="58">
        <f t="shared" si="0"/>
        <v>15</v>
      </c>
      <c r="M16" s="59"/>
    </row>
    <row r="17" spans="1:14" ht="19.5" customHeight="1">
      <c r="A17" s="54">
        <v>45456</v>
      </c>
      <c r="B17" s="117"/>
      <c r="C17" s="117"/>
      <c r="D17" s="55">
        <v>213.8</v>
      </c>
      <c r="E17" s="56">
        <v>212.16</v>
      </c>
      <c r="F17" s="55">
        <v>777.16</v>
      </c>
      <c r="G17" s="57">
        <v>15</v>
      </c>
      <c r="H17" s="58">
        <v>0</v>
      </c>
      <c r="I17" s="58">
        <v>0</v>
      </c>
      <c r="J17" s="58">
        <v>0</v>
      </c>
      <c r="K17" s="58">
        <v>15</v>
      </c>
      <c r="L17" s="58">
        <f t="shared" si="0"/>
        <v>15</v>
      </c>
      <c r="M17" s="59"/>
    </row>
    <row r="18" spans="1:14" ht="19.5" customHeight="1">
      <c r="A18" s="54">
        <v>45457</v>
      </c>
      <c r="B18" s="117"/>
      <c r="C18" s="117"/>
      <c r="D18" s="55">
        <v>213.8</v>
      </c>
      <c r="E18" s="56">
        <v>212.16</v>
      </c>
      <c r="F18" s="55">
        <v>777.16</v>
      </c>
      <c r="G18" s="57">
        <v>15</v>
      </c>
      <c r="H18" s="58">
        <v>0</v>
      </c>
      <c r="I18" s="58">
        <v>0</v>
      </c>
      <c r="J18" s="58">
        <v>0</v>
      </c>
      <c r="K18" s="58">
        <v>15</v>
      </c>
      <c r="L18" s="58">
        <f t="shared" si="0"/>
        <v>15</v>
      </c>
      <c r="M18" s="59"/>
    </row>
    <row r="19" spans="1:14" ht="19.5" customHeight="1">
      <c r="A19" s="54">
        <v>45458</v>
      </c>
      <c r="B19" s="117"/>
      <c r="C19" s="117"/>
      <c r="D19" s="55">
        <v>213.8</v>
      </c>
      <c r="E19" s="56">
        <v>212.16</v>
      </c>
      <c r="F19" s="55">
        <v>777.16</v>
      </c>
      <c r="G19" s="57">
        <v>15</v>
      </c>
      <c r="H19" s="58">
        <v>0</v>
      </c>
      <c r="I19" s="58">
        <v>0</v>
      </c>
      <c r="J19" s="58">
        <v>0</v>
      </c>
      <c r="K19" s="58">
        <v>15</v>
      </c>
      <c r="L19" s="58">
        <f t="shared" si="0"/>
        <v>15</v>
      </c>
      <c r="M19" s="59"/>
    </row>
    <row r="20" spans="1:14" ht="19.5" customHeight="1">
      <c r="A20" s="54">
        <v>45459</v>
      </c>
      <c r="B20" s="117"/>
      <c r="C20" s="117"/>
      <c r="D20" s="55">
        <v>213.8</v>
      </c>
      <c r="E20" s="56">
        <v>212.16</v>
      </c>
      <c r="F20" s="55">
        <v>777.16</v>
      </c>
      <c r="G20" s="57">
        <v>15</v>
      </c>
      <c r="H20" s="58">
        <v>0</v>
      </c>
      <c r="I20" s="58">
        <v>0</v>
      </c>
      <c r="J20" s="58">
        <v>0</v>
      </c>
      <c r="K20" s="58">
        <v>15</v>
      </c>
      <c r="L20" s="58">
        <f t="shared" si="0"/>
        <v>15</v>
      </c>
      <c r="M20" s="59"/>
    </row>
    <row r="21" spans="1:14" ht="19.5" customHeight="1">
      <c r="A21" s="54">
        <v>45460</v>
      </c>
      <c r="B21" s="117"/>
      <c r="C21" s="117"/>
      <c r="D21" s="55">
        <v>213.8</v>
      </c>
      <c r="E21" s="56">
        <v>212.18</v>
      </c>
      <c r="F21" s="55">
        <v>779.80799999999999</v>
      </c>
      <c r="G21" s="57">
        <v>39</v>
      </c>
      <c r="H21" s="58">
        <v>0</v>
      </c>
      <c r="I21" s="58">
        <v>0</v>
      </c>
      <c r="J21" s="58">
        <v>0</v>
      </c>
      <c r="K21" s="58">
        <v>15</v>
      </c>
      <c r="L21" s="58">
        <f t="shared" si="0"/>
        <v>15</v>
      </c>
      <c r="M21" s="59"/>
    </row>
    <row r="22" spans="1:14" ht="19.5" customHeight="1">
      <c r="A22" s="54">
        <v>45461</v>
      </c>
      <c r="B22" s="117"/>
      <c r="C22" s="117"/>
      <c r="D22" s="55">
        <v>213.8</v>
      </c>
      <c r="E22" s="56">
        <v>212.34</v>
      </c>
      <c r="F22" s="55">
        <v>796.53700000000003</v>
      </c>
      <c r="G22" s="57">
        <v>208</v>
      </c>
      <c r="H22" s="58">
        <v>0</v>
      </c>
      <c r="I22" s="58">
        <v>0</v>
      </c>
      <c r="J22" s="58">
        <v>0</v>
      </c>
      <c r="K22" s="58">
        <v>15</v>
      </c>
      <c r="L22" s="58">
        <f t="shared" si="0"/>
        <v>15</v>
      </c>
      <c r="M22" s="59"/>
    </row>
    <row r="23" spans="1:14" ht="19.5" customHeight="1">
      <c r="A23" s="54">
        <v>45462</v>
      </c>
      <c r="B23" s="117"/>
      <c r="C23" s="117"/>
      <c r="D23" s="55">
        <v>213.8</v>
      </c>
      <c r="E23" s="56">
        <v>212.5</v>
      </c>
      <c r="F23" s="55">
        <v>813.26599999999996</v>
      </c>
      <c r="G23" s="57">
        <v>208</v>
      </c>
      <c r="H23" s="58">
        <v>0</v>
      </c>
      <c r="I23" s="58">
        <v>0</v>
      </c>
      <c r="J23" s="58">
        <v>0</v>
      </c>
      <c r="K23" s="58">
        <v>15</v>
      </c>
      <c r="L23" s="58">
        <f t="shared" si="0"/>
        <v>15</v>
      </c>
      <c r="M23" s="59"/>
    </row>
    <row r="24" spans="1:14" ht="19.5" customHeight="1">
      <c r="A24" s="54">
        <v>45463</v>
      </c>
      <c r="B24" s="117"/>
      <c r="C24" s="117"/>
      <c r="D24" s="55">
        <v>213.8</v>
      </c>
      <c r="E24" s="56">
        <v>212.54</v>
      </c>
      <c r="F24" s="55">
        <v>817.44799999999998</v>
      </c>
      <c r="G24" s="57">
        <v>63</v>
      </c>
      <c r="H24" s="58">
        <v>0</v>
      </c>
      <c r="I24" s="58">
        <v>0</v>
      </c>
      <c r="J24" s="58">
        <v>0</v>
      </c>
      <c r="K24" s="58">
        <v>15</v>
      </c>
      <c r="L24" s="58">
        <f t="shared" si="0"/>
        <v>15</v>
      </c>
      <c r="M24" s="59"/>
    </row>
    <row r="25" spans="1:14" ht="19.5" customHeight="1">
      <c r="A25" s="54">
        <v>45464</v>
      </c>
      <c r="B25" s="117"/>
      <c r="C25" s="117"/>
      <c r="D25" s="55">
        <v>213.8</v>
      </c>
      <c r="E25" s="56">
        <v>212.54</v>
      </c>
      <c r="F25" s="55">
        <v>817.44799999999998</v>
      </c>
      <c r="G25" s="57">
        <v>15</v>
      </c>
      <c r="H25" s="58">
        <v>0</v>
      </c>
      <c r="I25" s="58">
        <v>0</v>
      </c>
      <c r="J25" s="58">
        <v>0</v>
      </c>
      <c r="K25" s="58">
        <v>15</v>
      </c>
      <c r="L25" s="58">
        <f t="shared" si="0"/>
        <v>15</v>
      </c>
      <c r="M25" s="59"/>
    </row>
    <row r="26" spans="1:14" ht="19.5" customHeight="1">
      <c r="A26" s="54">
        <v>45465</v>
      </c>
      <c r="B26" s="117"/>
      <c r="C26" s="117"/>
      <c r="D26" s="55">
        <v>213.8</v>
      </c>
      <c r="E26" s="56">
        <v>212.54</v>
      </c>
      <c r="F26" s="55">
        <v>817.44799999999998</v>
      </c>
      <c r="G26" s="57">
        <v>15</v>
      </c>
      <c r="H26" s="58">
        <v>0</v>
      </c>
      <c r="I26" s="58">
        <v>0</v>
      </c>
      <c r="J26" s="58">
        <v>0</v>
      </c>
      <c r="K26" s="58">
        <v>15</v>
      </c>
      <c r="L26" s="58">
        <f t="shared" si="0"/>
        <v>15</v>
      </c>
      <c r="M26" s="59"/>
      <c r="N26" s="19"/>
    </row>
    <row r="27" spans="1:14" ht="19.5" customHeight="1">
      <c r="A27" s="54">
        <v>45466</v>
      </c>
      <c r="B27" s="117"/>
      <c r="C27" s="117"/>
      <c r="D27" s="55">
        <v>213.8</v>
      </c>
      <c r="E27" s="56">
        <v>212.54</v>
      </c>
      <c r="F27" s="55">
        <v>817.44799999999998</v>
      </c>
      <c r="G27" s="57">
        <v>15</v>
      </c>
      <c r="H27" s="58">
        <v>0</v>
      </c>
      <c r="I27" s="58">
        <v>0</v>
      </c>
      <c r="J27" s="58">
        <v>0</v>
      </c>
      <c r="K27" s="58">
        <v>15</v>
      </c>
      <c r="L27" s="58">
        <f t="shared" si="0"/>
        <v>15</v>
      </c>
      <c r="M27" s="59"/>
    </row>
    <row r="28" spans="1:14" ht="19.5" customHeight="1">
      <c r="A28" s="54">
        <v>45467</v>
      </c>
      <c r="B28" s="117"/>
      <c r="C28" s="117"/>
      <c r="D28" s="55">
        <v>213.8</v>
      </c>
      <c r="E28" s="56">
        <v>212.54</v>
      </c>
      <c r="F28" s="55">
        <v>817.44799999999998</v>
      </c>
      <c r="G28" s="57">
        <v>15</v>
      </c>
      <c r="H28" s="58">
        <v>0</v>
      </c>
      <c r="I28" s="58">
        <v>0</v>
      </c>
      <c r="J28" s="58">
        <v>0</v>
      </c>
      <c r="K28" s="58">
        <v>15</v>
      </c>
      <c r="L28" s="58">
        <f t="shared" si="0"/>
        <v>15</v>
      </c>
      <c r="M28" s="59"/>
    </row>
    <row r="29" spans="1:14" ht="19.5" customHeight="1">
      <c r="A29" s="54">
        <v>45468</v>
      </c>
      <c r="B29" s="117"/>
      <c r="C29" s="117"/>
      <c r="D29" s="55">
        <v>213.8</v>
      </c>
      <c r="E29" s="56">
        <v>212.54</v>
      </c>
      <c r="F29" s="55">
        <v>817.44799999999998</v>
      </c>
      <c r="G29" s="57">
        <v>15</v>
      </c>
      <c r="H29" s="58">
        <v>0</v>
      </c>
      <c r="I29" s="58">
        <v>0</v>
      </c>
      <c r="J29" s="58">
        <v>0</v>
      </c>
      <c r="K29" s="58">
        <v>15</v>
      </c>
      <c r="L29" s="58">
        <f t="shared" si="0"/>
        <v>15</v>
      </c>
      <c r="M29" s="59"/>
    </row>
    <row r="30" spans="1:14" ht="19.5" customHeight="1">
      <c r="A30" s="54">
        <v>45469</v>
      </c>
      <c r="B30" s="117"/>
      <c r="C30" s="117"/>
      <c r="D30" s="55">
        <v>213.8</v>
      </c>
      <c r="E30" s="56">
        <v>212.56</v>
      </c>
      <c r="F30" s="55">
        <v>819.53899999999999</v>
      </c>
      <c r="G30" s="57">
        <v>39</v>
      </c>
      <c r="H30" s="58">
        <v>0</v>
      </c>
      <c r="I30" s="58">
        <v>0</v>
      </c>
      <c r="J30" s="58">
        <v>0</v>
      </c>
      <c r="K30" s="58">
        <v>15</v>
      </c>
      <c r="L30" s="58">
        <f t="shared" si="0"/>
        <v>15</v>
      </c>
      <c r="M30" s="59"/>
    </row>
    <row r="31" spans="1:14" ht="21" customHeight="1">
      <c r="A31" s="54">
        <v>45470</v>
      </c>
      <c r="B31" s="117"/>
      <c r="C31" s="117"/>
      <c r="D31" s="55">
        <v>213.8</v>
      </c>
      <c r="E31" s="56">
        <v>212.6</v>
      </c>
      <c r="F31" s="55">
        <v>823.721</v>
      </c>
      <c r="G31" s="57">
        <v>63</v>
      </c>
      <c r="H31" s="58">
        <v>0</v>
      </c>
      <c r="I31" s="58">
        <v>0</v>
      </c>
      <c r="J31" s="58">
        <v>0</v>
      </c>
      <c r="K31" s="58">
        <v>15</v>
      </c>
      <c r="L31" s="58">
        <f t="shared" si="0"/>
        <v>15</v>
      </c>
      <c r="M31" s="59"/>
    </row>
    <row r="32" spans="1:14" ht="21" customHeight="1">
      <c r="A32" s="54">
        <v>45471</v>
      </c>
      <c r="B32" s="117"/>
      <c r="C32" s="117"/>
      <c r="D32" s="55">
        <v>213.8</v>
      </c>
      <c r="E32" s="56">
        <v>212.8</v>
      </c>
      <c r="F32" s="55">
        <v>844.63300000000004</v>
      </c>
      <c r="G32" s="57">
        <v>257</v>
      </c>
      <c r="H32" s="58">
        <v>0</v>
      </c>
      <c r="I32" s="58">
        <v>0</v>
      </c>
      <c r="J32" s="58">
        <v>0</v>
      </c>
      <c r="K32" s="58">
        <v>15</v>
      </c>
      <c r="L32" s="58">
        <f t="shared" si="0"/>
        <v>15</v>
      </c>
      <c r="M32" s="59"/>
    </row>
    <row r="33" spans="1:20" ht="21" customHeight="1">
      <c r="A33" s="54">
        <v>45472</v>
      </c>
      <c r="B33" s="117"/>
      <c r="C33" s="117"/>
      <c r="D33" s="55">
        <v>213.8</v>
      </c>
      <c r="E33" s="56">
        <v>213.01</v>
      </c>
      <c r="F33" s="55">
        <v>866.59</v>
      </c>
      <c r="G33" s="57">
        <v>269</v>
      </c>
      <c r="H33" s="58">
        <v>0</v>
      </c>
      <c r="I33" s="58">
        <v>0</v>
      </c>
      <c r="J33" s="58">
        <v>0</v>
      </c>
      <c r="K33" s="58">
        <v>15</v>
      </c>
      <c r="L33" s="58">
        <f t="shared" si="0"/>
        <v>15</v>
      </c>
      <c r="M33" s="59"/>
    </row>
    <row r="34" spans="1:20" ht="21" customHeight="1">
      <c r="A34" s="54">
        <v>45473</v>
      </c>
      <c r="B34" s="117"/>
      <c r="C34" s="117"/>
      <c r="D34" s="55">
        <v>213.8</v>
      </c>
      <c r="E34" s="56">
        <v>213.06</v>
      </c>
      <c r="F34" s="55">
        <v>871.81799999999998</v>
      </c>
      <c r="G34" s="57">
        <v>75</v>
      </c>
      <c r="H34" s="58">
        <v>0</v>
      </c>
      <c r="I34" s="58">
        <v>0</v>
      </c>
      <c r="J34" s="58">
        <v>0</v>
      </c>
      <c r="K34" s="58">
        <v>15</v>
      </c>
      <c r="L34" s="58">
        <f t="shared" si="0"/>
        <v>15</v>
      </c>
      <c r="M34" s="59"/>
      <c r="O34" s="92">
        <f>+G35+'JULY  2024'!G36+'AUGUST  2024'!G36+'SEPTEMBER 2024'!G35+'OCTOBER 2024'!G36+'November 2024'!G35+'DECEMBER 2024'!G36+'MAY  2024'!G36+'APRIL 2024'!G35+'MARCH 2024'!G36+'FEBRUARY 2024'!G34+'JANUARY 2024'!G36</f>
        <v>24428.3</v>
      </c>
      <c r="P34" s="92">
        <f>+H35+'JULY  2024'!H36+'AUGUST  2024'!H36+'SEPTEMBER 2024'!H35+'OCTOBER 2024'!H36+'November 2024'!H35+'DECEMBER 2024'!H36+'MAY  2024'!H36+'APRIL 2024'!H35+'MARCH 2024'!H36+'FEBRUARY 2024'!H34+'JANUARY 2024'!H36</f>
        <v>4980</v>
      </c>
      <c r="Q34" s="92">
        <f>+I35+'JULY  2024'!I36+'AUGUST  2024'!I36+'SEPTEMBER 2024'!I35+'OCTOBER 2024'!I36+'November 2024'!I35+'DECEMBER 2024'!I36+'MAY  2024'!I36+'APRIL 2024'!I35+'MARCH 2024'!I36+'FEBRUARY 2024'!I34+'JANUARY 2024'!I36</f>
        <v>9030</v>
      </c>
      <c r="R34" s="92">
        <f>+J35+'JULY  2024'!J36+'AUGUST  2024'!J36+'SEPTEMBER 2024'!J35+'OCTOBER 2024'!J36+'November 2024'!J35+'DECEMBER 2024'!J36+'MAY  2024'!J36+'APRIL 2024'!J35+'MARCH 2024'!J36+'FEBRUARY 2024'!J34+'JANUARY 2024'!J36</f>
        <v>7730</v>
      </c>
      <c r="S34" s="92">
        <f>+K35+'JULY  2024'!K36+'AUGUST  2024'!K36+'SEPTEMBER 2024'!K35+'OCTOBER 2024'!K36+'November 2024'!K35+'DECEMBER 2024'!K36+'MAY  2024'!K36+'APRIL 2024'!K35+'MARCH 2024'!K36+'FEBRUARY 2024'!K34+'JANUARY 2024'!K36</f>
        <v>2200</v>
      </c>
      <c r="T34" s="92">
        <v>0</v>
      </c>
    </row>
    <row r="35" spans="1:20" ht="21" customHeight="1">
      <c r="A35" s="40"/>
      <c r="B35" s="13"/>
      <c r="C35" s="13"/>
      <c r="D35" s="14"/>
      <c r="E35" s="15"/>
      <c r="F35" s="14"/>
      <c r="G35" s="61">
        <f t="shared" ref="G35:K35" si="1">SUM(G5:G34)</f>
        <v>1510</v>
      </c>
      <c r="H35" s="61">
        <f t="shared" si="1"/>
        <v>0</v>
      </c>
      <c r="I35" s="61">
        <f t="shared" si="1"/>
        <v>0</v>
      </c>
      <c r="J35" s="61">
        <f t="shared" si="1"/>
        <v>0</v>
      </c>
      <c r="K35" s="61">
        <f t="shared" si="1"/>
        <v>450</v>
      </c>
      <c r="L35" s="61">
        <f>SUM(L5:L34)</f>
        <v>450</v>
      </c>
      <c r="N35" s="20"/>
    </row>
    <row r="36" spans="1:20" ht="47.25" customHeight="1">
      <c r="A36" s="42"/>
      <c r="B36" s="43"/>
      <c r="C36" s="5"/>
      <c r="D36" s="5"/>
      <c r="E36" s="5"/>
      <c r="F36" s="5"/>
      <c r="G36" s="150">
        <f>G35/11574</f>
        <v>0.13046483497494385</v>
      </c>
      <c r="H36" s="150"/>
      <c r="I36" s="150">
        <f>I35/11574</f>
        <v>0</v>
      </c>
      <c r="J36" s="150">
        <f>J35/11574</f>
        <v>0</v>
      </c>
      <c r="K36" s="44"/>
      <c r="L36" s="44"/>
      <c r="M36" s="41"/>
      <c r="Q36" s="29">
        <v>11574</v>
      </c>
    </row>
    <row r="37" spans="1:20" ht="15.75" customHeight="1">
      <c r="A37" s="118" t="s">
        <v>9</v>
      </c>
      <c r="B37" s="113"/>
      <c r="C37" s="113"/>
      <c r="D37" s="113"/>
      <c r="I37" s="118" t="s">
        <v>10</v>
      </c>
      <c r="J37" s="113"/>
      <c r="K37" s="113"/>
      <c r="L37" s="113"/>
      <c r="M37" s="45"/>
      <c r="O37" s="29">
        <f>ROUND(O34/$Q$36,3)</f>
        <v>2.1110000000000002</v>
      </c>
      <c r="P37" s="30">
        <f t="shared" ref="P37:S37" si="2">ROUND(P34/$Q$36,3)</f>
        <v>0.43</v>
      </c>
      <c r="Q37" s="30">
        <f t="shared" si="2"/>
        <v>0.78</v>
      </c>
      <c r="R37" s="30">
        <f t="shared" si="2"/>
        <v>0.66800000000000004</v>
      </c>
      <c r="S37" s="30">
        <f t="shared" si="2"/>
        <v>0.19</v>
      </c>
      <c r="T37" s="30">
        <f>ROUND(T34/$Q$36,3)</f>
        <v>0</v>
      </c>
    </row>
    <row r="38" spans="1:20" ht="15.75" customHeight="1">
      <c r="A38" s="118" t="s">
        <v>16</v>
      </c>
      <c r="B38" s="113"/>
      <c r="C38" s="113"/>
      <c r="D38" s="113"/>
      <c r="I38" s="118" t="s">
        <v>16</v>
      </c>
      <c r="J38" s="113"/>
      <c r="K38" s="113"/>
      <c r="L38" s="113"/>
      <c r="M38" s="45"/>
    </row>
    <row r="39" spans="1:20" ht="15.75" customHeight="1">
      <c r="A39" s="112" t="s">
        <v>17</v>
      </c>
      <c r="B39" s="113"/>
      <c r="C39" s="113"/>
      <c r="D39" s="113"/>
      <c r="I39" s="112" t="s">
        <v>17</v>
      </c>
      <c r="J39" s="113"/>
      <c r="K39" s="113"/>
      <c r="L39" s="113"/>
      <c r="M39" s="45"/>
    </row>
    <row r="40" spans="1:20" ht="15.75" customHeight="1">
      <c r="M40" s="45"/>
    </row>
    <row r="41" spans="1:20" ht="15.75" customHeight="1">
      <c r="M41" s="45"/>
    </row>
    <row r="42" spans="1:20" ht="15.75" customHeight="1">
      <c r="M42" s="45"/>
    </row>
    <row r="43" spans="1:20" ht="15.75" customHeight="1">
      <c r="M43" s="45"/>
    </row>
    <row r="44" spans="1:20" ht="15.75" customHeight="1">
      <c r="M44" s="45"/>
    </row>
    <row r="45" spans="1:20" ht="15.75" customHeight="1">
      <c r="M45" s="45"/>
    </row>
    <row r="46" spans="1:20" ht="15.75" customHeight="1">
      <c r="M46" s="45"/>
    </row>
    <row r="47" spans="1:20" ht="15.75" customHeight="1">
      <c r="M47" s="45"/>
    </row>
    <row r="48" spans="1:20" ht="15.75" customHeight="1">
      <c r="M48" s="45"/>
    </row>
    <row r="49" spans="13:13" ht="15.75" customHeight="1">
      <c r="M49" s="45"/>
    </row>
    <row r="50" spans="13:13" ht="15.75" customHeight="1">
      <c r="M50" s="45"/>
    </row>
    <row r="51" spans="13:13" ht="15.75" customHeight="1">
      <c r="M51" s="45"/>
    </row>
    <row r="52" spans="13:13" ht="15.75" customHeight="1">
      <c r="M52" s="45"/>
    </row>
    <row r="53" spans="13:13" ht="15.75" customHeight="1">
      <c r="M53" s="45"/>
    </row>
    <row r="54" spans="13:13" ht="15.75" customHeight="1">
      <c r="M54" s="45"/>
    </row>
    <row r="55" spans="13:13" ht="15.75" customHeight="1">
      <c r="M55" s="45"/>
    </row>
    <row r="56" spans="13:13" ht="15.75" customHeight="1">
      <c r="M56" s="45"/>
    </row>
    <row r="57" spans="13:13" ht="15.75" customHeight="1">
      <c r="M57" s="45"/>
    </row>
    <row r="58" spans="13:13" ht="15.75" customHeight="1">
      <c r="M58" s="45"/>
    </row>
    <row r="59" spans="13:13" ht="15.75" customHeight="1">
      <c r="M59" s="45"/>
    </row>
    <row r="60" spans="13:13" ht="15.75" customHeight="1">
      <c r="M60" s="45"/>
    </row>
    <row r="61" spans="13:13" ht="15.75" customHeight="1">
      <c r="M61" s="45"/>
    </row>
    <row r="62" spans="13:13" ht="15.75" customHeight="1">
      <c r="M62" s="45"/>
    </row>
    <row r="63" spans="13:13" ht="15.75" customHeight="1">
      <c r="M63" s="45"/>
    </row>
    <row r="64" spans="13:13" ht="15.75" customHeight="1">
      <c r="M64" s="45"/>
    </row>
    <row r="65" spans="13:13" ht="15.75" customHeight="1">
      <c r="M65" s="45"/>
    </row>
    <row r="66" spans="13:13" ht="15.75" customHeight="1">
      <c r="M66" s="45"/>
    </row>
    <row r="67" spans="13:13" ht="15.75" customHeight="1">
      <c r="M67" s="45"/>
    </row>
    <row r="68" spans="13:13" ht="15.75" customHeight="1">
      <c r="M68" s="45"/>
    </row>
    <row r="69" spans="13:13" ht="15.75" customHeight="1">
      <c r="M69" s="45"/>
    </row>
    <row r="70" spans="13:13" ht="15.75" customHeight="1">
      <c r="M70" s="45"/>
    </row>
    <row r="71" spans="13:13" ht="15.75" customHeight="1">
      <c r="M71" s="45"/>
    </row>
    <row r="72" spans="13:13" ht="15.75" customHeight="1">
      <c r="M72" s="45"/>
    </row>
    <row r="73" spans="13:13" ht="15.75" customHeight="1">
      <c r="M73" s="45"/>
    </row>
    <row r="74" spans="13:13" ht="15.75" customHeight="1">
      <c r="M74" s="45"/>
    </row>
    <row r="75" spans="13:13" ht="15.75" customHeight="1">
      <c r="M75" s="45"/>
    </row>
    <row r="76" spans="13:13" ht="15.75" customHeight="1">
      <c r="M76" s="45"/>
    </row>
    <row r="77" spans="13:13" ht="15.75" customHeight="1">
      <c r="M77" s="45"/>
    </row>
    <row r="78" spans="13:13" ht="15.75" customHeight="1">
      <c r="M78" s="45"/>
    </row>
    <row r="79" spans="13:13" ht="15.75" customHeight="1">
      <c r="M79" s="45"/>
    </row>
    <row r="80" spans="13:13" ht="15.75" customHeight="1">
      <c r="M80" s="45"/>
    </row>
    <row r="81" spans="13:13" ht="15.75" customHeight="1">
      <c r="M81" s="45"/>
    </row>
    <row r="82" spans="13:13" ht="15.75" customHeight="1">
      <c r="M82" s="45"/>
    </row>
    <row r="83" spans="13:13" ht="15.75" customHeight="1">
      <c r="M83" s="45"/>
    </row>
    <row r="84" spans="13:13" ht="15.75" customHeight="1">
      <c r="M84" s="45"/>
    </row>
    <row r="85" spans="13:13" ht="15.75" customHeight="1">
      <c r="M85" s="45"/>
    </row>
    <row r="86" spans="13:13" ht="15.75" customHeight="1">
      <c r="M86" s="45"/>
    </row>
    <row r="87" spans="13:13" ht="15.75" customHeight="1">
      <c r="M87" s="45"/>
    </row>
    <row r="88" spans="13:13" ht="15.75" customHeight="1">
      <c r="M88" s="45"/>
    </row>
    <row r="89" spans="13:13" ht="15.75" customHeight="1">
      <c r="M89" s="45"/>
    </row>
    <row r="90" spans="13:13" ht="15.75" customHeight="1">
      <c r="M90" s="45"/>
    </row>
    <row r="91" spans="13:13" ht="15.75" customHeight="1">
      <c r="M91" s="45"/>
    </row>
    <row r="92" spans="13:13" ht="15.75" customHeight="1">
      <c r="M92" s="45"/>
    </row>
    <row r="93" spans="13:13" ht="15.75" customHeight="1">
      <c r="M93" s="45"/>
    </row>
    <row r="94" spans="13:13" ht="15.75" customHeight="1">
      <c r="M94" s="45"/>
    </row>
    <row r="95" spans="13:13" ht="15.75" customHeight="1">
      <c r="M95" s="45"/>
    </row>
    <row r="96" spans="13:13" ht="15.75" customHeight="1">
      <c r="M96" s="45"/>
    </row>
    <row r="97" spans="13:13" ht="15.75" customHeight="1">
      <c r="M97" s="45"/>
    </row>
    <row r="98" spans="13:13" ht="15.75" customHeight="1">
      <c r="M98" s="45"/>
    </row>
    <row r="99" spans="13:13" ht="15.75" customHeight="1">
      <c r="M99" s="45"/>
    </row>
    <row r="100" spans="13:13" ht="15.75" customHeight="1">
      <c r="M100" s="45"/>
    </row>
    <row r="101" spans="13:13" ht="15.75" customHeight="1">
      <c r="M101" s="45"/>
    </row>
    <row r="102" spans="13:13" ht="15" customHeight="1">
      <c r="M102" s="45"/>
    </row>
  </sheetData>
  <mergeCells count="19">
    <mergeCell ref="A1:M2"/>
    <mergeCell ref="A3:A4"/>
    <mergeCell ref="B3:B4"/>
    <mergeCell ref="C3:C4"/>
    <mergeCell ref="D3:D4"/>
    <mergeCell ref="E3:E4"/>
    <mergeCell ref="F3:F4"/>
    <mergeCell ref="G3:G4"/>
    <mergeCell ref="H3:K3"/>
    <mergeCell ref="L3:L4"/>
    <mergeCell ref="A39:D39"/>
    <mergeCell ref="I39:L39"/>
    <mergeCell ref="M3:M4"/>
    <mergeCell ref="B5:B34"/>
    <mergeCell ref="C5:C34"/>
    <mergeCell ref="A37:D37"/>
    <mergeCell ref="I37:L37"/>
    <mergeCell ref="A38:D38"/>
    <mergeCell ref="I38:L38"/>
  </mergeCells>
  <pageMargins left="0.7" right="0.7" top="0.75" bottom="0.75" header="0" footer="0"/>
  <pageSetup paperSize="9" scale="7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3"/>
  <sheetViews>
    <sheetView topLeftCell="A28" workbookViewId="0">
      <selection activeCell="N37" sqref="N37"/>
    </sheetView>
  </sheetViews>
  <sheetFormatPr defaultColWidth="14.42578125" defaultRowHeight="15" customHeight="1"/>
  <cols>
    <col min="1" max="1" width="12.42578125" style="29" customWidth="1"/>
    <col min="2" max="2" width="7" style="29" customWidth="1"/>
    <col min="3" max="3" width="6" style="29" customWidth="1"/>
    <col min="4" max="4" width="10" style="29" customWidth="1"/>
    <col min="5" max="5" width="8.7109375" style="29" customWidth="1"/>
    <col min="6" max="6" width="9.7109375" style="29" customWidth="1"/>
    <col min="7" max="7" width="8.85546875" style="29" customWidth="1"/>
    <col min="8" max="8" width="8.7109375" style="29" customWidth="1"/>
    <col min="9" max="9" width="8.42578125" style="29" customWidth="1"/>
    <col min="10" max="10" width="8.7109375" style="29" customWidth="1"/>
    <col min="11" max="11" width="6.42578125" style="29" customWidth="1"/>
    <col min="12" max="12" width="8.5703125" style="29" customWidth="1"/>
    <col min="13" max="13" width="7.7109375" style="29" customWidth="1"/>
    <col min="14" max="16384" width="14.42578125" style="29"/>
  </cols>
  <sheetData>
    <row r="1" spans="1:13" ht="14.25" customHeight="1">
      <c r="A1" s="119" t="s">
        <v>25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1"/>
    </row>
    <row r="2" spans="1:13" ht="15.75" customHeight="1">
      <c r="A2" s="122"/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4"/>
    </row>
    <row r="3" spans="1:13" ht="14.25" customHeight="1">
      <c r="A3" s="125" t="s">
        <v>0</v>
      </c>
      <c r="B3" s="125" t="s">
        <v>1</v>
      </c>
      <c r="C3" s="125" t="s">
        <v>2</v>
      </c>
      <c r="D3" s="125" t="s">
        <v>3</v>
      </c>
      <c r="E3" s="125" t="s">
        <v>4</v>
      </c>
      <c r="F3" s="125" t="s">
        <v>23</v>
      </c>
      <c r="G3" s="125" t="s">
        <v>5</v>
      </c>
      <c r="H3" s="126" t="s">
        <v>6</v>
      </c>
      <c r="I3" s="127"/>
      <c r="J3" s="127"/>
      <c r="K3" s="127"/>
      <c r="L3" s="125" t="s">
        <v>7</v>
      </c>
      <c r="M3" s="114" t="s">
        <v>8</v>
      </c>
    </row>
    <row r="4" spans="1:13" ht="83.25" customHeight="1">
      <c r="A4" s="115"/>
      <c r="B4" s="115"/>
      <c r="C4" s="115"/>
      <c r="D4" s="115"/>
      <c r="E4" s="115"/>
      <c r="F4" s="115"/>
      <c r="G4" s="115"/>
      <c r="H4" s="53" t="s">
        <v>15</v>
      </c>
      <c r="I4" s="53" t="s">
        <v>13</v>
      </c>
      <c r="J4" s="53" t="s">
        <v>18</v>
      </c>
      <c r="K4" s="53" t="s">
        <v>14</v>
      </c>
      <c r="L4" s="115"/>
      <c r="M4" s="115"/>
    </row>
    <row r="5" spans="1:13" ht="19.5" customHeight="1">
      <c r="A5" s="54">
        <v>45413</v>
      </c>
      <c r="B5" s="116" t="s">
        <v>11</v>
      </c>
      <c r="C5" s="116" t="s">
        <v>12</v>
      </c>
      <c r="D5" s="55">
        <v>213.8</v>
      </c>
      <c r="E5" s="56">
        <v>212.03</v>
      </c>
      <c r="F5" s="55">
        <v>764.12400000000002</v>
      </c>
      <c r="G5" s="57">
        <v>56.3</v>
      </c>
      <c r="H5" s="58">
        <v>0</v>
      </c>
      <c r="I5" s="58">
        <v>0</v>
      </c>
      <c r="J5" s="58">
        <v>0</v>
      </c>
      <c r="K5" s="58">
        <v>20</v>
      </c>
      <c r="L5" s="58">
        <f>H5+I5+J5+K5</f>
        <v>20</v>
      </c>
      <c r="M5" s="59"/>
    </row>
    <row r="6" spans="1:13" ht="19.5" customHeight="1">
      <c r="A6" s="54">
        <v>45414</v>
      </c>
      <c r="B6" s="117"/>
      <c r="C6" s="117"/>
      <c r="D6" s="55">
        <v>213.8</v>
      </c>
      <c r="E6" s="56">
        <v>212.02</v>
      </c>
      <c r="F6" s="55">
        <v>763.07799999999997</v>
      </c>
      <c r="G6" s="57">
        <v>2</v>
      </c>
      <c r="H6" s="58">
        <v>0</v>
      </c>
      <c r="I6" s="58">
        <v>0</v>
      </c>
      <c r="J6" s="58">
        <v>0</v>
      </c>
      <c r="K6" s="58">
        <v>15</v>
      </c>
      <c r="L6" s="58">
        <f t="shared" ref="L6:L35" si="0">H6+I6+J6+K6</f>
        <v>15</v>
      </c>
      <c r="M6" s="59"/>
    </row>
    <row r="7" spans="1:13" ht="19.5" customHeight="1">
      <c r="A7" s="54">
        <v>45415</v>
      </c>
      <c r="B7" s="117"/>
      <c r="C7" s="117"/>
      <c r="D7" s="55">
        <v>213.8</v>
      </c>
      <c r="E7" s="56">
        <v>212.01</v>
      </c>
      <c r="F7" s="55">
        <v>762.03300000000002</v>
      </c>
      <c r="G7" s="57">
        <v>2</v>
      </c>
      <c r="H7" s="58">
        <v>0</v>
      </c>
      <c r="I7" s="58">
        <v>0</v>
      </c>
      <c r="J7" s="58">
        <v>0</v>
      </c>
      <c r="K7" s="58">
        <v>15</v>
      </c>
      <c r="L7" s="58">
        <f t="shared" si="0"/>
        <v>15</v>
      </c>
      <c r="M7" s="59"/>
    </row>
    <row r="8" spans="1:13" ht="19.5" customHeight="1">
      <c r="A8" s="54">
        <v>45416</v>
      </c>
      <c r="B8" s="117"/>
      <c r="C8" s="117"/>
      <c r="D8" s="55">
        <v>213.8</v>
      </c>
      <c r="E8" s="56">
        <v>212</v>
      </c>
      <c r="F8" s="55">
        <v>760.98699999999997</v>
      </c>
      <c r="G8" s="57">
        <v>2</v>
      </c>
      <c r="H8" s="58">
        <v>0</v>
      </c>
      <c r="I8" s="58">
        <v>0</v>
      </c>
      <c r="J8" s="58">
        <v>0</v>
      </c>
      <c r="K8" s="58">
        <v>15</v>
      </c>
      <c r="L8" s="58">
        <f t="shared" si="0"/>
        <v>15</v>
      </c>
      <c r="M8" s="59"/>
    </row>
    <row r="9" spans="1:13" ht="19.5" customHeight="1">
      <c r="A9" s="54">
        <v>45417</v>
      </c>
      <c r="B9" s="117"/>
      <c r="C9" s="117"/>
      <c r="D9" s="55">
        <v>213.8</v>
      </c>
      <c r="E9" s="56">
        <v>211.99</v>
      </c>
      <c r="F9" s="55">
        <v>759.94200000000001</v>
      </c>
      <c r="G9" s="57">
        <v>2</v>
      </c>
      <c r="H9" s="58">
        <v>0</v>
      </c>
      <c r="I9" s="58">
        <v>0</v>
      </c>
      <c r="J9" s="58">
        <v>0</v>
      </c>
      <c r="K9" s="58">
        <v>15</v>
      </c>
      <c r="L9" s="58">
        <f t="shared" si="0"/>
        <v>15</v>
      </c>
      <c r="M9" s="59"/>
    </row>
    <row r="10" spans="1:13" ht="19.5" customHeight="1">
      <c r="A10" s="54">
        <v>45418</v>
      </c>
      <c r="B10" s="117"/>
      <c r="C10" s="117"/>
      <c r="D10" s="55">
        <v>213.8</v>
      </c>
      <c r="E10" s="56">
        <v>211.98</v>
      </c>
      <c r="F10" s="55">
        <v>758.89599999999996</v>
      </c>
      <c r="G10" s="57">
        <v>2</v>
      </c>
      <c r="H10" s="58">
        <v>0</v>
      </c>
      <c r="I10" s="58">
        <v>0</v>
      </c>
      <c r="J10" s="58">
        <v>0</v>
      </c>
      <c r="K10" s="58">
        <v>15</v>
      </c>
      <c r="L10" s="58">
        <f t="shared" si="0"/>
        <v>15</v>
      </c>
      <c r="M10" s="59"/>
    </row>
    <row r="11" spans="1:13" ht="19.5" customHeight="1">
      <c r="A11" s="54">
        <v>45419</v>
      </c>
      <c r="B11" s="117"/>
      <c r="C11" s="117"/>
      <c r="D11" s="55">
        <v>213.8</v>
      </c>
      <c r="E11" s="56">
        <v>211.97</v>
      </c>
      <c r="F11" s="55">
        <v>757.851</v>
      </c>
      <c r="G11" s="57">
        <v>2</v>
      </c>
      <c r="H11" s="58">
        <v>0</v>
      </c>
      <c r="I11" s="58">
        <v>0</v>
      </c>
      <c r="J11" s="58">
        <v>0</v>
      </c>
      <c r="K11" s="58">
        <v>15</v>
      </c>
      <c r="L11" s="58">
        <f t="shared" si="0"/>
        <v>15</v>
      </c>
      <c r="M11" s="59"/>
    </row>
    <row r="12" spans="1:13" ht="19.5" customHeight="1">
      <c r="A12" s="54">
        <v>45420</v>
      </c>
      <c r="B12" s="117"/>
      <c r="C12" s="117"/>
      <c r="D12" s="55">
        <v>213.8</v>
      </c>
      <c r="E12" s="56">
        <v>211.96</v>
      </c>
      <c r="F12" s="55">
        <v>756.80499999999995</v>
      </c>
      <c r="G12" s="57">
        <v>2</v>
      </c>
      <c r="H12" s="58">
        <v>0</v>
      </c>
      <c r="I12" s="58">
        <v>0</v>
      </c>
      <c r="J12" s="58">
        <v>0</v>
      </c>
      <c r="K12" s="58">
        <v>15</v>
      </c>
      <c r="L12" s="58">
        <f t="shared" si="0"/>
        <v>15</v>
      </c>
      <c r="M12" s="59"/>
    </row>
    <row r="13" spans="1:13" ht="19.5" customHeight="1">
      <c r="A13" s="54">
        <v>45421</v>
      </c>
      <c r="B13" s="117"/>
      <c r="C13" s="117"/>
      <c r="D13" s="55">
        <v>213.8</v>
      </c>
      <c r="E13" s="56">
        <v>211.95</v>
      </c>
      <c r="F13" s="56">
        <v>755.75900000000001</v>
      </c>
      <c r="G13" s="57">
        <v>2</v>
      </c>
      <c r="H13" s="58">
        <v>0</v>
      </c>
      <c r="I13" s="58">
        <v>0</v>
      </c>
      <c r="J13" s="58">
        <v>0</v>
      </c>
      <c r="K13" s="58">
        <v>15</v>
      </c>
      <c r="L13" s="58">
        <f t="shared" si="0"/>
        <v>15</v>
      </c>
      <c r="M13" s="59"/>
    </row>
    <row r="14" spans="1:13" ht="19.5" customHeight="1">
      <c r="A14" s="54">
        <v>45422</v>
      </c>
      <c r="B14" s="117"/>
      <c r="C14" s="117"/>
      <c r="D14" s="55">
        <v>213.8</v>
      </c>
      <c r="E14" s="56">
        <v>211.94</v>
      </c>
      <c r="F14" s="60">
        <v>754.71400000000006</v>
      </c>
      <c r="G14" s="57">
        <v>2</v>
      </c>
      <c r="H14" s="58">
        <v>0</v>
      </c>
      <c r="I14" s="58">
        <v>0</v>
      </c>
      <c r="J14" s="58">
        <v>0</v>
      </c>
      <c r="K14" s="58">
        <v>15</v>
      </c>
      <c r="L14" s="58">
        <f t="shared" si="0"/>
        <v>15</v>
      </c>
      <c r="M14" s="59"/>
    </row>
    <row r="15" spans="1:13" ht="19.5" customHeight="1">
      <c r="A15" s="54">
        <v>45423</v>
      </c>
      <c r="B15" s="117"/>
      <c r="C15" s="117"/>
      <c r="D15" s="55">
        <v>213.8</v>
      </c>
      <c r="E15" s="56">
        <v>211.93</v>
      </c>
      <c r="F15" s="55">
        <v>753.66800000000001</v>
      </c>
      <c r="G15" s="57">
        <v>2</v>
      </c>
      <c r="H15" s="58">
        <v>0</v>
      </c>
      <c r="I15" s="58">
        <v>0</v>
      </c>
      <c r="J15" s="58">
        <v>0</v>
      </c>
      <c r="K15" s="58">
        <v>15</v>
      </c>
      <c r="L15" s="58">
        <f t="shared" si="0"/>
        <v>15</v>
      </c>
      <c r="M15" s="59"/>
    </row>
    <row r="16" spans="1:13" ht="19.5" customHeight="1">
      <c r="A16" s="54">
        <v>45424</v>
      </c>
      <c r="B16" s="117"/>
      <c r="C16" s="117"/>
      <c r="D16" s="55">
        <v>213.8</v>
      </c>
      <c r="E16" s="56">
        <v>211.92</v>
      </c>
      <c r="F16" s="55">
        <v>752.62300000000005</v>
      </c>
      <c r="G16" s="57">
        <v>2</v>
      </c>
      <c r="H16" s="58">
        <v>0</v>
      </c>
      <c r="I16" s="58">
        <v>0</v>
      </c>
      <c r="J16" s="58">
        <v>0</v>
      </c>
      <c r="K16" s="58">
        <v>15</v>
      </c>
      <c r="L16" s="58">
        <f t="shared" si="0"/>
        <v>15</v>
      </c>
      <c r="M16" s="59"/>
    </row>
    <row r="17" spans="1:14" ht="19.5" customHeight="1">
      <c r="A17" s="54">
        <v>45425</v>
      </c>
      <c r="B17" s="117"/>
      <c r="C17" s="117"/>
      <c r="D17" s="55">
        <v>213.8</v>
      </c>
      <c r="E17" s="56">
        <v>211.91</v>
      </c>
      <c r="F17" s="55">
        <v>751.577</v>
      </c>
      <c r="G17" s="57">
        <v>2</v>
      </c>
      <c r="H17" s="58">
        <v>0</v>
      </c>
      <c r="I17" s="58">
        <v>0</v>
      </c>
      <c r="J17" s="58">
        <v>0</v>
      </c>
      <c r="K17" s="58">
        <v>15</v>
      </c>
      <c r="L17" s="58">
        <f t="shared" si="0"/>
        <v>15</v>
      </c>
      <c r="M17" s="59"/>
    </row>
    <row r="18" spans="1:14" ht="19.5" customHeight="1">
      <c r="A18" s="54">
        <v>45426</v>
      </c>
      <c r="B18" s="117"/>
      <c r="C18" s="117"/>
      <c r="D18" s="55">
        <v>213.8</v>
      </c>
      <c r="E18" s="56">
        <v>211.9</v>
      </c>
      <c r="F18" s="55">
        <v>750.53200000000004</v>
      </c>
      <c r="G18" s="57">
        <v>2</v>
      </c>
      <c r="H18" s="58">
        <v>0</v>
      </c>
      <c r="I18" s="58">
        <v>0</v>
      </c>
      <c r="J18" s="58">
        <v>0</v>
      </c>
      <c r="K18" s="58">
        <v>15</v>
      </c>
      <c r="L18" s="58">
        <f t="shared" si="0"/>
        <v>15</v>
      </c>
      <c r="M18" s="59"/>
    </row>
    <row r="19" spans="1:14" ht="19.5" customHeight="1">
      <c r="A19" s="54">
        <v>45427</v>
      </c>
      <c r="B19" s="117"/>
      <c r="C19" s="117"/>
      <c r="D19" s="55">
        <v>213.8</v>
      </c>
      <c r="E19" s="56">
        <v>211.89</v>
      </c>
      <c r="F19" s="55">
        <v>749.48599999999999</v>
      </c>
      <c r="G19" s="57">
        <v>2</v>
      </c>
      <c r="H19" s="58">
        <v>0</v>
      </c>
      <c r="I19" s="58">
        <v>0</v>
      </c>
      <c r="J19" s="58">
        <v>0</v>
      </c>
      <c r="K19" s="58">
        <v>15</v>
      </c>
      <c r="L19" s="58">
        <f t="shared" si="0"/>
        <v>15</v>
      </c>
      <c r="M19" s="59"/>
    </row>
    <row r="20" spans="1:14" ht="19.5" customHeight="1">
      <c r="A20" s="54">
        <v>45428</v>
      </c>
      <c r="B20" s="117"/>
      <c r="C20" s="117"/>
      <c r="D20" s="55">
        <v>213.8</v>
      </c>
      <c r="E20" s="56">
        <v>211.88</v>
      </c>
      <c r="F20" s="55">
        <v>748.44</v>
      </c>
      <c r="G20" s="57">
        <v>2</v>
      </c>
      <c r="H20" s="58">
        <v>0</v>
      </c>
      <c r="I20" s="58">
        <v>0</v>
      </c>
      <c r="J20" s="58">
        <v>0</v>
      </c>
      <c r="K20" s="58">
        <v>15</v>
      </c>
      <c r="L20" s="58">
        <f t="shared" si="0"/>
        <v>15</v>
      </c>
      <c r="M20" s="59"/>
    </row>
    <row r="21" spans="1:14" ht="19.5" customHeight="1">
      <c r="A21" s="54">
        <v>45429</v>
      </c>
      <c r="B21" s="117"/>
      <c r="C21" s="117"/>
      <c r="D21" s="55">
        <v>213.8</v>
      </c>
      <c r="E21" s="56">
        <v>212</v>
      </c>
      <c r="F21" s="55">
        <v>760.98699999999997</v>
      </c>
      <c r="G21" s="57">
        <v>160</v>
      </c>
      <c r="H21" s="58">
        <v>0</v>
      </c>
      <c r="I21" s="58">
        <v>0</v>
      </c>
      <c r="J21" s="58">
        <v>0</v>
      </c>
      <c r="K21" s="58">
        <v>15</v>
      </c>
      <c r="L21" s="58">
        <f t="shared" si="0"/>
        <v>15</v>
      </c>
      <c r="M21" s="59"/>
    </row>
    <row r="22" spans="1:14" ht="19.5" customHeight="1">
      <c r="A22" s="54">
        <v>45430</v>
      </c>
      <c r="B22" s="117"/>
      <c r="C22" s="117"/>
      <c r="D22" s="55">
        <v>213.8</v>
      </c>
      <c r="E22" s="56">
        <v>212.1</v>
      </c>
      <c r="F22" s="55">
        <v>771.44299999999998</v>
      </c>
      <c r="G22" s="57">
        <v>136</v>
      </c>
      <c r="H22" s="58">
        <v>0</v>
      </c>
      <c r="I22" s="58">
        <v>0</v>
      </c>
      <c r="J22" s="58">
        <v>0</v>
      </c>
      <c r="K22" s="58">
        <v>15</v>
      </c>
      <c r="L22" s="58">
        <f t="shared" si="0"/>
        <v>15</v>
      </c>
      <c r="M22" s="59"/>
    </row>
    <row r="23" spans="1:14" ht="19.5" customHeight="1">
      <c r="A23" s="54">
        <v>45431</v>
      </c>
      <c r="B23" s="117"/>
      <c r="C23" s="117"/>
      <c r="D23" s="55">
        <v>213.8</v>
      </c>
      <c r="E23" s="56">
        <v>212.12</v>
      </c>
      <c r="F23" s="55">
        <v>773.53399999999999</v>
      </c>
      <c r="G23" s="57">
        <v>34</v>
      </c>
      <c r="H23" s="58">
        <v>0</v>
      </c>
      <c r="I23" s="58">
        <v>0</v>
      </c>
      <c r="J23" s="58">
        <v>0</v>
      </c>
      <c r="K23" s="58">
        <v>15</v>
      </c>
      <c r="L23" s="58">
        <f t="shared" si="0"/>
        <v>15</v>
      </c>
      <c r="M23" s="59"/>
    </row>
    <row r="24" spans="1:14" ht="19.5" customHeight="1">
      <c r="A24" s="54">
        <v>45432</v>
      </c>
      <c r="B24" s="117"/>
      <c r="C24" s="117"/>
      <c r="D24" s="55">
        <v>213.8</v>
      </c>
      <c r="E24" s="56">
        <v>212.15</v>
      </c>
      <c r="F24" s="55">
        <v>776.67100000000005</v>
      </c>
      <c r="G24" s="57">
        <v>51</v>
      </c>
      <c r="H24" s="58">
        <v>0</v>
      </c>
      <c r="I24" s="58">
        <v>0</v>
      </c>
      <c r="J24" s="58">
        <v>0</v>
      </c>
      <c r="K24" s="58">
        <v>15</v>
      </c>
      <c r="L24" s="58">
        <f t="shared" si="0"/>
        <v>15</v>
      </c>
      <c r="M24" s="59"/>
    </row>
    <row r="25" spans="1:14" ht="19.5" customHeight="1">
      <c r="A25" s="54">
        <v>45433</v>
      </c>
      <c r="B25" s="117"/>
      <c r="C25" s="117"/>
      <c r="D25" s="55">
        <v>213.8</v>
      </c>
      <c r="E25" s="56">
        <v>212.16</v>
      </c>
      <c r="F25" s="55">
        <v>777.71600000000001</v>
      </c>
      <c r="G25" s="57">
        <v>27</v>
      </c>
      <c r="H25" s="58">
        <v>0</v>
      </c>
      <c r="I25" s="58">
        <v>0</v>
      </c>
      <c r="J25" s="58">
        <v>0</v>
      </c>
      <c r="K25" s="58">
        <v>15</v>
      </c>
      <c r="L25" s="58">
        <f t="shared" si="0"/>
        <v>15</v>
      </c>
      <c r="M25" s="59"/>
    </row>
    <row r="26" spans="1:14" ht="19.5" customHeight="1">
      <c r="A26" s="54">
        <v>45434</v>
      </c>
      <c r="B26" s="117"/>
      <c r="C26" s="117"/>
      <c r="D26" s="55">
        <v>213.8</v>
      </c>
      <c r="E26" s="56">
        <v>212.17</v>
      </c>
      <c r="F26" s="55">
        <v>778.76199999999994</v>
      </c>
      <c r="G26" s="57">
        <v>27</v>
      </c>
      <c r="H26" s="58">
        <v>0</v>
      </c>
      <c r="I26" s="58">
        <v>0</v>
      </c>
      <c r="J26" s="58">
        <v>0</v>
      </c>
      <c r="K26" s="58">
        <v>15</v>
      </c>
      <c r="L26" s="58">
        <f t="shared" si="0"/>
        <v>15</v>
      </c>
      <c r="M26" s="59"/>
      <c r="N26" s="19"/>
    </row>
    <row r="27" spans="1:14" ht="19.5" customHeight="1">
      <c r="A27" s="54">
        <v>45435</v>
      </c>
      <c r="B27" s="117"/>
      <c r="C27" s="117"/>
      <c r="D27" s="55">
        <v>213.8</v>
      </c>
      <c r="E27" s="56">
        <v>212.18</v>
      </c>
      <c r="F27" s="55">
        <v>779.80799999999999</v>
      </c>
      <c r="G27" s="57">
        <v>27</v>
      </c>
      <c r="H27" s="58">
        <v>0</v>
      </c>
      <c r="I27" s="58">
        <v>0</v>
      </c>
      <c r="J27" s="58">
        <v>0</v>
      </c>
      <c r="K27" s="58">
        <v>15</v>
      </c>
      <c r="L27" s="58">
        <f t="shared" si="0"/>
        <v>15</v>
      </c>
      <c r="M27" s="59"/>
    </row>
    <row r="28" spans="1:14" ht="19.5" customHeight="1">
      <c r="A28" s="54">
        <v>45436</v>
      </c>
      <c r="B28" s="117"/>
      <c r="C28" s="117"/>
      <c r="D28" s="55">
        <v>213.8</v>
      </c>
      <c r="E28" s="56">
        <v>212.18</v>
      </c>
      <c r="F28" s="55">
        <v>779.80799999999999</v>
      </c>
      <c r="G28" s="57">
        <v>15</v>
      </c>
      <c r="H28" s="58">
        <v>0</v>
      </c>
      <c r="I28" s="58">
        <v>0</v>
      </c>
      <c r="J28" s="58">
        <v>0</v>
      </c>
      <c r="K28" s="58">
        <v>15</v>
      </c>
      <c r="L28" s="58">
        <f t="shared" si="0"/>
        <v>15</v>
      </c>
      <c r="M28" s="59"/>
    </row>
    <row r="29" spans="1:14" ht="19.5" customHeight="1">
      <c r="A29" s="54">
        <v>45437</v>
      </c>
      <c r="B29" s="117"/>
      <c r="C29" s="117"/>
      <c r="D29" s="55">
        <v>213.8</v>
      </c>
      <c r="E29" s="56">
        <v>212.18</v>
      </c>
      <c r="F29" s="55">
        <v>779.80799999999999</v>
      </c>
      <c r="G29" s="57">
        <v>15</v>
      </c>
      <c r="H29" s="58">
        <v>0</v>
      </c>
      <c r="I29" s="58">
        <v>0</v>
      </c>
      <c r="J29" s="58">
        <v>0</v>
      </c>
      <c r="K29" s="58">
        <v>15</v>
      </c>
      <c r="L29" s="58">
        <f t="shared" si="0"/>
        <v>15</v>
      </c>
      <c r="M29" s="59"/>
    </row>
    <row r="30" spans="1:14" ht="19.5" customHeight="1">
      <c r="A30" s="54">
        <v>45438</v>
      </c>
      <c r="B30" s="117"/>
      <c r="C30" s="117"/>
      <c r="D30" s="55">
        <v>213.8</v>
      </c>
      <c r="E30" s="56">
        <v>212.18</v>
      </c>
      <c r="F30" s="55">
        <v>779.80799999999999</v>
      </c>
      <c r="G30" s="57">
        <v>15</v>
      </c>
      <c r="H30" s="58">
        <v>0</v>
      </c>
      <c r="I30" s="58">
        <v>0</v>
      </c>
      <c r="J30" s="58">
        <v>0</v>
      </c>
      <c r="K30" s="58">
        <v>15</v>
      </c>
      <c r="L30" s="58">
        <f t="shared" si="0"/>
        <v>15</v>
      </c>
      <c r="M30" s="59"/>
    </row>
    <row r="31" spans="1:14" ht="21" customHeight="1">
      <c r="A31" s="54">
        <v>45439</v>
      </c>
      <c r="B31" s="117"/>
      <c r="C31" s="117"/>
      <c r="D31" s="55">
        <v>213.8</v>
      </c>
      <c r="E31" s="56">
        <v>212.18</v>
      </c>
      <c r="F31" s="55">
        <v>779.80799999999999</v>
      </c>
      <c r="G31" s="57">
        <v>15</v>
      </c>
      <c r="H31" s="58">
        <v>0</v>
      </c>
      <c r="I31" s="58">
        <v>0</v>
      </c>
      <c r="J31" s="58">
        <v>0</v>
      </c>
      <c r="K31" s="58">
        <v>15</v>
      </c>
      <c r="L31" s="58">
        <f t="shared" si="0"/>
        <v>15</v>
      </c>
      <c r="M31" s="59"/>
    </row>
    <row r="32" spans="1:14" ht="21" customHeight="1">
      <c r="A32" s="54">
        <v>45440</v>
      </c>
      <c r="B32" s="117"/>
      <c r="C32" s="117"/>
      <c r="D32" s="55">
        <v>213.8</v>
      </c>
      <c r="E32" s="56">
        <v>212.18</v>
      </c>
      <c r="F32" s="55">
        <v>779.80799999999999</v>
      </c>
      <c r="G32" s="57">
        <v>15</v>
      </c>
      <c r="H32" s="58">
        <v>0</v>
      </c>
      <c r="I32" s="58">
        <v>0</v>
      </c>
      <c r="J32" s="58">
        <v>0</v>
      </c>
      <c r="K32" s="58">
        <v>15</v>
      </c>
      <c r="L32" s="58">
        <f t="shared" si="0"/>
        <v>15</v>
      </c>
      <c r="M32" s="59"/>
    </row>
    <row r="33" spans="1:14" ht="21" customHeight="1">
      <c r="A33" s="54">
        <v>45441</v>
      </c>
      <c r="B33" s="117"/>
      <c r="C33" s="117"/>
      <c r="D33" s="55">
        <v>213.8</v>
      </c>
      <c r="E33" s="56">
        <v>212.18</v>
      </c>
      <c r="F33" s="55">
        <v>779.80799999999999</v>
      </c>
      <c r="G33" s="57">
        <v>15</v>
      </c>
      <c r="H33" s="58">
        <v>0</v>
      </c>
      <c r="I33" s="58">
        <v>0</v>
      </c>
      <c r="J33" s="58">
        <v>0</v>
      </c>
      <c r="K33" s="58">
        <v>15</v>
      </c>
      <c r="L33" s="58">
        <f t="shared" si="0"/>
        <v>15</v>
      </c>
      <c r="M33" s="59"/>
    </row>
    <row r="34" spans="1:14" ht="21" customHeight="1">
      <c r="A34" s="54">
        <v>45442</v>
      </c>
      <c r="B34" s="117"/>
      <c r="C34" s="117"/>
      <c r="D34" s="55">
        <v>213.8</v>
      </c>
      <c r="E34" s="56">
        <v>212.18</v>
      </c>
      <c r="F34" s="55">
        <v>779.80799999999999</v>
      </c>
      <c r="G34" s="57">
        <v>15</v>
      </c>
      <c r="H34" s="58">
        <v>0</v>
      </c>
      <c r="I34" s="58">
        <v>0</v>
      </c>
      <c r="J34" s="58">
        <v>0</v>
      </c>
      <c r="K34" s="58">
        <v>15</v>
      </c>
      <c r="L34" s="58">
        <f t="shared" si="0"/>
        <v>15</v>
      </c>
      <c r="M34" s="59"/>
    </row>
    <row r="35" spans="1:14" ht="21" customHeight="1">
      <c r="A35" s="54">
        <v>45443</v>
      </c>
      <c r="B35" s="117"/>
      <c r="C35" s="117"/>
      <c r="D35" s="55">
        <v>213.8</v>
      </c>
      <c r="E35" s="56">
        <v>212.18</v>
      </c>
      <c r="F35" s="55">
        <v>779.80799999999999</v>
      </c>
      <c r="G35" s="57">
        <v>15</v>
      </c>
      <c r="H35" s="58">
        <v>0</v>
      </c>
      <c r="I35" s="58">
        <v>0</v>
      </c>
      <c r="J35" s="58">
        <v>0</v>
      </c>
      <c r="K35" s="58">
        <v>15</v>
      </c>
      <c r="L35" s="58">
        <f t="shared" si="0"/>
        <v>15</v>
      </c>
      <c r="M35" s="59"/>
    </row>
    <row r="36" spans="1:14" ht="21" customHeight="1">
      <c r="A36" s="40"/>
      <c r="B36" s="13"/>
      <c r="C36" s="13"/>
      <c r="D36" s="14"/>
      <c r="E36" s="15"/>
      <c r="F36" s="14"/>
      <c r="G36" s="61">
        <f t="shared" ref="G36:L36" si="1">SUM(G5:G35)</f>
        <v>668.3</v>
      </c>
      <c r="H36" s="61">
        <f t="shared" si="1"/>
        <v>0</v>
      </c>
      <c r="I36" s="61">
        <f>SUM(I5:I35)</f>
        <v>0</v>
      </c>
      <c r="J36" s="61">
        <f t="shared" si="1"/>
        <v>0</v>
      </c>
      <c r="K36" s="61">
        <f t="shared" si="1"/>
        <v>470</v>
      </c>
      <c r="L36" s="61">
        <f t="shared" si="1"/>
        <v>470</v>
      </c>
      <c r="N36" s="20"/>
    </row>
    <row r="37" spans="1:14" ht="47.25" customHeight="1">
      <c r="A37" s="42"/>
      <c r="B37" s="43"/>
      <c r="C37" s="5"/>
      <c r="D37" s="5"/>
      <c r="E37" s="5"/>
      <c r="F37" s="5"/>
      <c r="G37" s="150">
        <f>G36/11574</f>
        <v>5.7741489545533091E-2</v>
      </c>
      <c r="H37" s="150">
        <f t="shared" ref="H37:K37" si="2">H36/11574</f>
        <v>0</v>
      </c>
      <c r="I37" s="150">
        <f t="shared" si="2"/>
        <v>0</v>
      </c>
      <c r="J37" s="150">
        <f t="shared" si="2"/>
        <v>0</v>
      </c>
      <c r="K37" s="150">
        <f t="shared" si="2"/>
        <v>4.0608259892863312E-2</v>
      </c>
      <c r="L37" s="44"/>
      <c r="M37" s="41"/>
    </row>
    <row r="38" spans="1:14" ht="15.75" customHeight="1">
      <c r="A38" s="118" t="s">
        <v>9</v>
      </c>
      <c r="B38" s="113"/>
      <c r="C38" s="113"/>
      <c r="D38" s="113"/>
      <c r="I38" s="118" t="s">
        <v>10</v>
      </c>
      <c r="J38" s="113"/>
      <c r="K38" s="113"/>
      <c r="L38" s="113"/>
      <c r="M38" s="45"/>
    </row>
    <row r="39" spans="1:14" ht="15.75" customHeight="1">
      <c r="A39" s="118" t="s">
        <v>16</v>
      </c>
      <c r="B39" s="113"/>
      <c r="C39" s="113"/>
      <c r="D39" s="113"/>
      <c r="I39" s="118" t="s">
        <v>16</v>
      </c>
      <c r="J39" s="113"/>
      <c r="K39" s="113"/>
      <c r="L39" s="113"/>
      <c r="M39" s="45"/>
    </row>
    <row r="40" spans="1:14" ht="15.75" customHeight="1">
      <c r="A40" s="112" t="s">
        <v>17</v>
      </c>
      <c r="B40" s="113"/>
      <c r="C40" s="113"/>
      <c r="D40" s="113"/>
      <c r="I40" s="112" t="s">
        <v>17</v>
      </c>
      <c r="J40" s="113"/>
      <c r="K40" s="113"/>
      <c r="L40" s="113"/>
      <c r="M40" s="45"/>
    </row>
    <row r="41" spans="1:14" ht="15.75" customHeight="1">
      <c r="M41" s="45"/>
    </row>
    <row r="42" spans="1:14" ht="15.75" customHeight="1">
      <c r="M42" s="45"/>
    </row>
    <row r="43" spans="1:14" ht="15.75" customHeight="1">
      <c r="M43" s="45"/>
    </row>
    <row r="44" spans="1:14" ht="15.75" customHeight="1">
      <c r="M44" s="45"/>
    </row>
    <row r="45" spans="1:14" ht="15.75" customHeight="1">
      <c r="M45" s="45"/>
    </row>
    <row r="46" spans="1:14" ht="15.75" customHeight="1">
      <c r="M46" s="45"/>
    </row>
    <row r="47" spans="1:14" ht="15.75" customHeight="1">
      <c r="M47" s="45"/>
    </row>
    <row r="48" spans="1:14" ht="15.75" customHeight="1">
      <c r="M48" s="45"/>
    </row>
    <row r="49" spans="13:13" ht="15.75" customHeight="1">
      <c r="M49" s="45"/>
    </row>
    <row r="50" spans="13:13" ht="15.75" customHeight="1">
      <c r="M50" s="45"/>
    </row>
    <row r="51" spans="13:13" ht="15.75" customHeight="1">
      <c r="M51" s="45"/>
    </row>
    <row r="52" spans="13:13" ht="15.75" customHeight="1">
      <c r="M52" s="45"/>
    </row>
    <row r="53" spans="13:13" ht="15.75" customHeight="1">
      <c r="M53" s="45"/>
    </row>
    <row r="54" spans="13:13" ht="15.75" customHeight="1">
      <c r="M54" s="45"/>
    </row>
    <row r="55" spans="13:13" ht="15.75" customHeight="1">
      <c r="M55" s="45"/>
    </row>
    <row r="56" spans="13:13" ht="15.75" customHeight="1">
      <c r="M56" s="45"/>
    </row>
    <row r="57" spans="13:13" ht="15.75" customHeight="1">
      <c r="M57" s="45"/>
    </row>
    <row r="58" spans="13:13" ht="15.75" customHeight="1">
      <c r="M58" s="45"/>
    </row>
    <row r="59" spans="13:13" ht="15.75" customHeight="1">
      <c r="M59" s="45"/>
    </row>
    <row r="60" spans="13:13" ht="15.75" customHeight="1">
      <c r="M60" s="45"/>
    </row>
    <row r="61" spans="13:13" ht="15.75" customHeight="1">
      <c r="M61" s="45"/>
    </row>
    <row r="62" spans="13:13" ht="15.75" customHeight="1">
      <c r="M62" s="45"/>
    </row>
    <row r="63" spans="13:13" ht="15.75" customHeight="1">
      <c r="M63" s="45"/>
    </row>
    <row r="64" spans="13:13" ht="15.75" customHeight="1">
      <c r="M64" s="45"/>
    </row>
    <row r="65" spans="13:13" ht="15.75" customHeight="1">
      <c r="M65" s="45"/>
    </row>
    <row r="66" spans="13:13" ht="15.75" customHeight="1">
      <c r="M66" s="45"/>
    </row>
    <row r="67" spans="13:13" ht="15.75" customHeight="1">
      <c r="M67" s="45"/>
    </row>
    <row r="68" spans="13:13" ht="15.75" customHeight="1">
      <c r="M68" s="45"/>
    </row>
    <row r="69" spans="13:13" ht="15.75" customHeight="1">
      <c r="M69" s="45"/>
    </row>
    <row r="70" spans="13:13" ht="15.75" customHeight="1">
      <c r="M70" s="45"/>
    </row>
    <row r="71" spans="13:13" ht="15.75" customHeight="1">
      <c r="M71" s="45"/>
    </row>
    <row r="72" spans="13:13" ht="15.75" customHeight="1">
      <c r="M72" s="45"/>
    </row>
    <row r="73" spans="13:13" ht="15.75" customHeight="1">
      <c r="M73" s="45"/>
    </row>
    <row r="74" spans="13:13" ht="15.75" customHeight="1">
      <c r="M74" s="45"/>
    </row>
    <row r="75" spans="13:13" ht="15.75" customHeight="1">
      <c r="M75" s="45"/>
    </row>
    <row r="76" spans="13:13" ht="15.75" customHeight="1">
      <c r="M76" s="45"/>
    </row>
    <row r="77" spans="13:13" ht="15.75" customHeight="1">
      <c r="M77" s="45"/>
    </row>
    <row r="78" spans="13:13" ht="15.75" customHeight="1">
      <c r="M78" s="45"/>
    </row>
    <row r="79" spans="13:13" ht="15.75" customHeight="1">
      <c r="M79" s="45"/>
    </row>
    <row r="80" spans="13:13" ht="15.75" customHeight="1">
      <c r="M80" s="45"/>
    </row>
    <row r="81" spans="13:13" ht="15.75" customHeight="1">
      <c r="M81" s="45"/>
    </row>
    <row r="82" spans="13:13" ht="15.75" customHeight="1">
      <c r="M82" s="45"/>
    </row>
    <row r="83" spans="13:13" ht="15.75" customHeight="1">
      <c r="M83" s="45"/>
    </row>
    <row r="84" spans="13:13" ht="15.75" customHeight="1">
      <c r="M84" s="45"/>
    </row>
    <row r="85" spans="13:13" ht="15.75" customHeight="1">
      <c r="M85" s="45"/>
    </row>
    <row r="86" spans="13:13" ht="15.75" customHeight="1">
      <c r="M86" s="45"/>
    </row>
    <row r="87" spans="13:13" ht="15.75" customHeight="1">
      <c r="M87" s="45"/>
    </row>
    <row r="88" spans="13:13" ht="15.75" customHeight="1">
      <c r="M88" s="45"/>
    </row>
    <row r="89" spans="13:13" ht="15.75" customHeight="1">
      <c r="M89" s="45"/>
    </row>
    <row r="90" spans="13:13" ht="15.75" customHeight="1">
      <c r="M90" s="45"/>
    </row>
    <row r="91" spans="13:13" ht="15.75" customHeight="1">
      <c r="M91" s="45"/>
    </row>
    <row r="92" spans="13:13" ht="15.75" customHeight="1">
      <c r="M92" s="45"/>
    </row>
    <row r="93" spans="13:13" ht="15.75" customHeight="1">
      <c r="M93" s="45"/>
    </row>
    <row r="94" spans="13:13" ht="15.75" customHeight="1">
      <c r="M94" s="45"/>
    </row>
    <row r="95" spans="13:13" ht="15.75" customHeight="1">
      <c r="M95" s="45"/>
    </row>
    <row r="96" spans="13:13" ht="15.75" customHeight="1">
      <c r="M96" s="45"/>
    </row>
    <row r="97" spans="13:13" ht="15.75" customHeight="1">
      <c r="M97" s="45"/>
    </row>
    <row r="98" spans="13:13" ht="15.75" customHeight="1">
      <c r="M98" s="45"/>
    </row>
    <row r="99" spans="13:13" ht="15.75" customHeight="1">
      <c r="M99" s="45"/>
    </row>
    <row r="100" spans="13:13" ht="15.75" customHeight="1">
      <c r="M100" s="45"/>
    </row>
    <row r="101" spans="13:13" ht="15.75" customHeight="1">
      <c r="M101" s="45"/>
    </row>
    <row r="102" spans="13:13" ht="15.75" customHeight="1">
      <c r="M102" s="45"/>
    </row>
    <row r="103" spans="13:13" ht="15" customHeight="1">
      <c r="M103" s="45"/>
    </row>
  </sheetData>
  <mergeCells count="19">
    <mergeCell ref="A1:M2"/>
    <mergeCell ref="A3:A4"/>
    <mergeCell ref="B3:B4"/>
    <mergeCell ref="C3:C4"/>
    <mergeCell ref="D3:D4"/>
    <mergeCell ref="E3:E4"/>
    <mergeCell ref="F3:F4"/>
    <mergeCell ref="G3:G4"/>
    <mergeCell ref="H3:K3"/>
    <mergeCell ref="L3:L4"/>
    <mergeCell ref="A40:D40"/>
    <mergeCell ref="I40:L40"/>
    <mergeCell ref="M3:M4"/>
    <mergeCell ref="B5:B35"/>
    <mergeCell ref="C5:C35"/>
    <mergeCell ref="A38:D38"/>
    <mergeCell ref="I38:L38"/>
    <mergeCell ref="A39:D39"/>
    <mergeCell ref="I39:L39"/>
  </mergeCells>
  <pageMargins left="0.7" right="0.7" top="0.75" bottom="0.75" header="0" footer="0"/>
  <pageSetup paperSize="9" scale="7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1"/>
  <sheetViews>
    <sheetView topLeftCell="A24" workbookViewId="0">
      <selection activeCell="G36" sqref="G36:J36"/>
    </sheetView>
  </sheetViews>
  <sheetFormatPr defaultColWidth="14.42578125" defaultRowHeight="15" customHeight="1"/>
  <cols>
    <col min="1" max="1" width="12.42578125" style="29" customWidth="1"/>
    <col min="2" max="2" width="6.28515625" style="29" customWidth="1"/>
    <col min="3" max="3" width="5.140625" style="29" customWidth="1"/>
    <col min="4" max="4" width="10" style="29" customWidth="1"/>
    <col min="5" max="6" width="8.7109375" style="29" customWidth="1"/>
    <col min="7" max="7" width="9.85546875" style="29" customWidth="1"/>
    <col min="8" max="8" width="8.7109375" style="29" customWidth="1"/>
    <col min="9" max="9" width="8.42578125" style="29" customWidth="1"/>
    <col min="10" max="10" width="8.7109375" style="29" customWidth="1"/>
    <col min="11" max="11" width="6.42578125" style="29" customWidth="1"/>
    <col min="12" max="12" width="8.5703125" style="29" customWidth="1"/>
    <col min="13" max="13" width="8.85546875" style="29" customWidth="1"/>
    <col min="14" max="16384" width="14.42578125" style="29"/>
  </cols>
  <sheetData>
    <row r="1" spans="1:13" ht="14.25" customHeight="1">
      <c r="A1" s="132" t="s">
        <v>24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4"/>
    </row>
    <row r="2" spans="1:13" ht="15.75" customHeight="1">
      <c r="A2" s="135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7"/>
    </row>
    <row r="3" spans="1:13" ht="14.25" customHeight="1">
      <c r="A3" s="138" t="s">
        <v>0</v>
      </c>
      <c r="B3" s="139" t="s">
        <v>1</v>
      </c>
      <c r="C3" s="139" t="s">
        <v>2</v>
      </c>
      <c r="D3" s="138" t="s">
        <v>3</v>
      </c>
      <c r="E3" s="138" t="s">
        <v>4</v>
      </c>
      <c r="F3" s="138" t="s">
        <v>23</v>
      </c>
      <c r="G3" s="138" t="s">
        <v>5</v>
      </c>
      <c r="H3" s="140" t="s">
        <v>6</v>
      </c>
      <c r="I3" s="141"/>
      <c r="J3" s="141"/>
      <c r="K3" s="141"/>
      <c r="L3" s="142" t="s">
        <v>7</v>
      </c>
      <c r="M3" s="128" t="s">
        <v>8</v>
      </c>
    </row>
    <row r="4" spans="1:13" ht="51.75" customHeight="1">
      <c r="A4" s="129"/>
      <c r="B4" s="129"/>
      <c r="C4" s="129"/>
      <c r="D4" s="129"/>
      <c r="E4" s="129"/>
      <c r="F4" s="129"/>
      <c r="G4" s="129"/>
      <c r="H4" s="28" t="s">
        <v>15</v>
      </c>
      <c r="I4" s="28" t="s">
        <v>13</v>
      </c>
      <c r="J4" s="28" t="s">
        <v>18</v>
      </c>
      <c r="K4" s="28" t="s">
        <v>14</v>
      </c>
      <c r="L4" s="129"/>
      <c r="M4" s="129"/>
    </row>
    <row r="5" spans="1:13" ht="19.5" customHeight="1">
      <c r="A5" s="46">
        <v>45383</v>
      </c>
      <c r="B5" s="130" t="s">
        <v>11</v>
      </c>
      <c r="C5" s="130" t="s">
        <v>12</v>
      </c>
      <c r="D5" s="47">
        <v>213.8</v>
      </c>
      <c r="E5" s="26">
        <v>212.34</v>
      </c>
      <c r="F5" s="47">
        <v>796.53700000000003</v>
      </c>
      <c r="G5" s="9">
        <v>0</v>
      </c>
      <c r="H5" s="48">
        <v>0</v>
      </c>
      <c r="I5" s="49">
        <v>0</v>
      </c>
      <c r="J5" s="49">
        <v>0</v>
      </c>
      <c r="K5" s="48">
        <v>15</v>
      </c>
      <c r="L5" s="48">
        <f>H5+I5+J5+K5</f>
        <v>15</v>
      </c>
      <c r="M5" s="50"/>
    </row>
    <row r="6" spans="1:13" ht="19.5" customHeight="1">
      <c r="A6" s="46">
        <v>45384</v>
      </c>
      <c r="B6" s="131"/>
      <c r="C6" s="131"/>
      <c r="D6" s="47">
        <v>213.8</v>
      </c>
      <c r="E6" s="26">
        <v>212.33</v>
      </c>
      <c r="F6" s="47">
        <v>795.49099999999999</v>
      </c>
      <c r="G6" s="9">
        <v>0</v>
      </c>
      <c r="H6" s="48">
        <v>0</v>
      </c>
      <c r="I6" s="49">
        <v>0</v>
      </c>
      <c r="J6" s="49">
        <v>0</v>
      </c>
      <c r="K6" s="48">
        <v>15</v>
      </c>
      <c r="L6" s="48">
        <f t="shared" ref="L6:L34" si="0">H6+I6+J6+K6</f>
        <v>15</v>
      </c>
      <c r="M6" s="50"/>
    </row>
    <row r="7" spans="1:13" ht="19.5" customHeight="1">
      <c r="A7" s="46">
        <v>45385</v>
      </c>
      <c r="B7" s="131"/>
      <c r="C7" s="131"/>
      <c r="D7" s="47">
        <v>213.8</v>
      </c>
      <c r="E7" s="26">
        <v>212.32</v>
      </c>
      <c r="F7" s="47">
        <v>794.44500000000005</v>
      </c>
      <c r="G7" s="9">
        <v>0</v>
      </c>
      <c r="H7" s="48">
        <v>0</v>
      </c>
      <c r="I7" s="49">
        <v>0</v>
      </c>
      <c r="J7" s="49">
        <v>0</v>
      </c>
      <c r="K7" s="48">
        <v>15</v>
      </c>
      <c r="L7" s="48">
        <f t="shared" si="0"/>
        <v>15</v>
      </c>
      <c r="M7" s="50"/>
    </row>
    <row r="8" spans="1:13" ht="19.5" customHeight="1">
      <c r="A8" s="46">
        <v>45386</v>
      </c>
      <c r="B8" s="131"/>
      <c r="C8" s="131"/>
      <c r="D8" s="47">
        <v>213.8</v>
      </c>
      <c r="E8" s="26">
        <v>212.31</v>
      </c>
      <c r="F8" s="47">
        <v>793.4</v>
      </c>
      <c r="G8" s="9">
        <v>0</v>
      </c>
      <c r="H8" s="48">
        <v>0</v>
      </c>
      <c r="I8" s="49">
        <v>0</v>
      </c>
      <c r="J8" s="49">
        <v>0</v>
      </c>
      <c r="K8" s="48">
        <v>15</v>
      </c>
      <c r="L8" s="48">
        <f t="shared" si="0"/>
        <v>15</v>
      </c>
      <c r="M8" s="50"/>
    </row>
    <row r="9" spans="1:13" ht="19.5" customHeight="1">
      <c r="A9" s="46">
        <v>45387</v>
      </c>
      <c r="B9" s="131"/>
      <c r="C9" s="131"/>
      <c r="D9" s="47">
        <v>213.8</v>
      </c>
      <c r="E9" s="26">
        <v>212.3</v>
      </c>
      <c r="F9" s="47">
        <v>792.35400000000004</v>
      </c>
      <c r="G9" s="9">
        <v>0</v>
      </c>
      <c r="H9" s="48">
        <v>0</v>
      </c>
      <c r="I9" s="49">
        <v>0</v>
      </c>
      <c r="J9" s="49">
        <v>0</v>
      </c>
      <c r="K9" s="48">
        <v>15</v>
      </c>
      <c r="L9" s="48">
        <f t="shared" si="0"/>
        <v>15</v>
      </c>
      <c r="M9" s="50"/>
    </row>
    <row r="10" spans="1:13" ht="19.5" customHeight="1">
      <c r="A10" s="46">
        <v>45388</v>
      </c>
      <c r="B10" s="131"/>
      <c r="C10" s="131"/>
      <c r="D10" s="47">
        <v>213.8</v>
      </c>
      <c r="E10" s="26">
        <v>212.29</v>
      </c>
      <c r="F10" s="47">
        <v>791.30899999999997</v>
      </c>
      <c r="G10" s="9">
        <v>0</v>
      </c>
      <c r="H10" s="48">
        <v>0</v>
      </c>
      <c r="I10" s="49">
        <v>0</v>
      </c>
      <c r="J10" s="49">
        <v>0</v>
      </c>
      <c r="K10" s="48">
        <v>15</v>
      </c>
      <c r="L10" s="48">
        <f t="shared" si="0"/>
        <v>15</v>
      </c>
      <c r="M10" s="50"/>
    </row>
    <row r="11" spans="1:13" ht="19.5" customHeight="1">
      <c r="A11" s="46">
        <v>45389</v>
      </c>
      <c r="B11" s="131"/>
      <c r="C11" s="131"/>
      <c r="D11" s="47">
        <v>213.8</v>
      </c>
      <c r="E11" s="26">
        <v>212.28</v>
      </c>
      <c r="F11" s="47">
        <v>790.26300000000003</v>
      </c>
      <c r="G11" s="9">
        <v>0</v>
      </c>
      <c r="H11" s="48">
        <v>0</v>
      </c>
      <c r="I11" s="49">
        <v>0</v>
      </c>
      <c r="J11" s="49">
        <v>0</v>
      </c>
      <c r="K11" s="48">
        <v>15</v>
      </c>
      <c r="L11" s="48">
        <f t="shared" si="0"/>
        <v>15</v>
      </c>
      <c r="M11" s="50"/>
    </row>
    <row r="12" spans="1:13" ht="19.5" customHeight="1">
      <c r="A12" s="46">
        <v>45390</v>
      </c>
      <c r="B12" s="131"/>
      <c r="C12" s="131"/>
      <c r="D12" s="47">
        <v>213.8</v>
      </c>
      <c r="E12" s="26">
        <v>212.27</v>
      </c>
      <c r="F12" s="47">
        <v>789.21799999999996</v>
      </c>
      <c r="G12" s="9">
        <v>0</v>
      </c>
      <c r="H12" s="48">
        <v>0</v>
      </c>
      <c r="I12" s="49">
        <v>0</v>
      </c>
      <c r="J12" s="49">
        <v>0</v>
      </c>
      <c r="K12" s="48">
        <v>15</v>
      </c>
      <c r="L12" s="48">
        <f t="shared" si="0"/>
        <v>15</v>
      </c>
      <c r="M12" s="50"/>
    </row>
    <row r="13" spans="1:13" ht="19.5" customHeight="1">
      <c r="A13" s="46">
        <v>45391</v>
      </c>
      <c r="B13" s="131"/>
      <c r="C13" s="131"/>
      <c r="D13" s="47">
        <v>213.8</v>
      </c>
      <c r="E13" s="51">
        <v>212.26</v>
      </c>
      <c r="F13" s="26">
        <v>788.17200000000003</v>
      </c>
      <c r="G13" s="9">
        <v>0</v>
      </c>
      <c r="H13" s="48">
        <v>0</v>
      </c>
      <c r="I13" s="49">
        <v>0</v>
      </c>
      <c r="J13" s="49">
        <v>0</v>
      </c>
      <c r="K13" s="48">
        <v>15</v>
      </c>
      <c r="L13" s="48">
        <f t="shared" si="0"/>
        <v>15</v>
      </c>
      <c r="M13" s="50"/>
    </row>
    <row r="14" spans="1:13" ht="19.5" customHeight="1">
      <c r="A14" s="46">
        <v>45392</v>
      </c>
      <c r="B14" s="131"/>
      <c r="C14" s="131"/>
      <c r="D14" s="47">
        <v>213.8</v>
      </c>
      <c r="E14" s="51">
        <v>212.25</v>
      </c>
      <c r="F14" s="52">
        <v>787.12699999999995</v>
      </c>
      <c r="G14" s="9">
        <v>0</v>
      </c>
      <c r="H14" s="48">
        <v>0</v>
      </c>
      <c r="I14" s="49">
        <v>0</v>
      </c>
      <c r="J14" s="49">
        <v>0</v>
      </c>
      <c r="K14" s="48">
        <v>15</v>
      </c>
      <c r="L14" s="48">
        <f t="shared" si="0"/>
        <v>15</v>
      </c>
      <c r="M14" s="50"/>
    </row>
    <row r="15" spans="1:13" ht="19.5" customHeight="1">
      <c r="A15" s="46">
        <v>45393</v>
      </c>
      <c r="B15" s="131"/>
      <c r="C15" s="131"/>
      <c r="D15" s="47">
        <v>213.8</v>
      </c>
      <c r="E15" s="26">
        <v>212.24</v>
      </c>
      <c r="F15" s="47">
        <v>786.08100000000002</v>
      </c>
      <c r="G15" s="9">
        <v>0</v>
      </c>
      <c r="H15" s="48">
        <v>0</v>
      </c>
      <c r="I15" s="49">
        <v>0</v>
      </c>
      <c r="J15" s="49">
        <v>0</v>
      </c>
      <c r="K15" s="48">
        <v>15</v>
      </c>
      <c r="L15" s="48">
        <f t="shared" si="0"/>
        <v>15</v>
      </c>
      <c r="M15" s="50"/>
    </row>
    <row r="16" spans="1:13" ht="19.5" customHeight="1">
      <c r="A16" s="46">
        <v>45394</v>
      </c>
      <c r="B16" s="131"/>
      <c r="C16" s="131"/>
      <c r="D16" s="47">
        <v>213.8</v>
      </c>
      <c r="E16" s="26">
        <v>212.23</v>
      </c>
      <c r="F16" s="47">
        <v>785.03499999999997</v>
      </c>
      <c r="G16" s="9">
        <v>0</v>
      </c>
      <c r="H16" s="48">
        <v>0</v>
      </c>
      <c r="I16" s="49">
        <v>0</v>
      </c>
      <c r="J16" s="49">
        <v>0</v>
      </c>
      <c r="K16" s="48">
        <v>15</v>
      </c>
      <c r="L16" s="48">
        <f t="shared" si="0"/>
        <v>15</v>
      </c>
      <c r="M16" s="50"/>
    </row>
    <row r="17" spans="1:14" ht="19.5" customHeight="1">
      <c r="A17" s="46">
        <v>45395</v>
      </c>
      <c r="B17" s="131"/>
      <c r="C17" s="131"/>
      <c r="D17" s="47">
        <v>213.8</v>
      </c>
      <c r="E17" s="26">
        <v>212.22</v>
      </c>
      <c r="F17" s="47">
        <v>783.99</v>
      </c>
      <c r="G17" s="9">
        <v>0</v>
      </c>
      <c r="H17" s="48">
        <v>0</v>
      </c>
      <c r="I17" s="49">
        <v>0</v>
      </c>
      <c r="J17" s="49">
        <v>0</v>
      </c>
      <c r="K17" s="48">
        <v>15</v>
      </c>
      <c r="L17" s="48">
        <f t="shared" si="0"/>
        <v>15</v>
      </c>
      <c r="M17" s="50"/>
    </row>
    <row r="18" spans="1:14" ht="19.5" customHeight="1">
      <c r="A18" s="46">
        <v>45396</v>
      </c>
      <c r="B18" s="131"/>
      <c r="C18" s="131"/>
      <c r="D18" s="47">
        <v>213.8</v>
      </c>
      <c r="E18" s="26">
        <v>212.21</v>
      </c>
      <c r="F18" s="47">
        <v>782.94399999999996</v>
      </c>
      <c r="G18" s="9">
        <v>0</v>
      </c>
      <c r="H18" s="48">
        <v>0</v>
      </c>
      <c r="I18" s="49">
        <v>0</v>
      </c>
      <c r="J18" s="49">
        <v>0</v>
      </c>
      <c r="K18" s="48">
        <v>15</v>
      </c>
      <c r="L18" s="48">
        <f t="shared" si="0"/>
        <v>15</v>
      </c>
      <c r="M18" s="50"/>
    </row>
    <row r="19" spans="1:14" ht="19.5" customHeight="1">
      <c r="A19" s="46">
        <v>45397</v>
      </c>
      <c r="B19" s="131"/>
      <c r="C19" s="131"/>
      <c r="D19" s="47">
        <v>213.8</v>
      </c>
      <c r="E19" s="26">
        <v>212.2</v>
      </c>
      <c r="F19" s="47">
        <v>781.899</v>
      </c>
      <c r="G19" s="9">
        <v>0</v>
      </c>
      <c r="H19" s="48">
        <v>0</v>
      </c>
      <c r="I19" s="49">
        <v>0</v>
      </c>
      <c r="J19" s="49">
        <v>0</v>
      </c>
      <c r="K19" s="48">
        <v>15</v>
      </c>
      <c r="L19" s="48">
        <f t="shared" si="0"/>
        <v>15</v>
      </c>
      <c r="M19" s="50"/>
    </row>
    <row r="20" spans="1:14" ht="19.5" customHeight="1">
      <c r="A20" s="46">
        <v>45398</v>
      </c>
      <c r="B20" s="131"/>
      <c r="C20" s="131"/>
      <c r="D20" s="47">
        <v>213.8</v>
      </c>
      <c r="E20" s="26">
        <v>212.19</v>
      </c>
      <c r="F20" s="47">
        <v>780.85299999999995</v>
      </c>
      <c r="G20" s="9">
        <v>0</v>
      </c>
      <c r="H20" s="48">
        <v>0</v>
      </c>
      <c r="I20" s="49">
        <v>0</v>
      </c>
      <c r="J20" s="49">
        <v>0</v>
      </c>
      <c r="K20" s="48">
        <v>15</v>
      </c>
      <c r="L20" s="48">
        <f t="shared" si="0"/>
        <v>15</v>
      </c>
      <c r="M20" s="50"/>
    </row>
    <row r="21" spans="1:14" ht="19.5" customHeight="1">
      <c r="A21" s="46">
        <v>45399</v>
      </c>
      <c r="B21" s="131"/>
      <c r="C21" s="131"/>
      <c r="D21" s="47">
        <v>213.8</v>
      </c>
      <c r="E21" s="26">
        <v>212.18</v>
      </c>
      <c r="F21" s="47">
        <v>779.80799999999999</v>
      </c>
      <c r="G21" s="9">
        <v>0</v>
      </c>
      <c r="H21" s="48">
        <v>0</v>
      </c>
      <c r="I21" s="49">
        <v>0</v>
      </c>
      <c r="J21" s="49">
        <v>0</v>
      </c>
      <c r="K21" s="48">
        <v>15</v>
      </c>
      <c r="L21" s="48">
        <f t="shared" si="0"/>
        <v>15</v>
      </c>
      <c r="M21" s="50"/>
    </row>
    <row r="22" spans="1:14" ht="19.5" customHeight="1">
      <c r="A22" s="46">
        <v>45400</v>
      </c>
      <c r="B22" s="131"/>
      <c r="C22" s="131"/>
      <c r="D22" s="47">
        <v>213.8</v>
      </c>
      <c r="E22" s="26">
        <v>212.17</v>
      </c>
      <c r="F22" s="47">
        <v>778.76199999999994</v>
      </c>
      <c r="G22" s="9">
        <v>0</v>
      </c>
      <c r="H22" s="48">
        <v>0</v>
      </c>
      <c r="I22" s="49">
        <v>0</v>
      </c>
      <c r="J22" s="49">
        <v>0</v>
      </c>
      <c r="K22" s="48">
        <v>15</v>
      </c>
      <c r="L22" s="48">
        <f t="shared" si="0"/>
        <v>15</v>
      </c>
      <c r="M22" s="50"/>
    </row>
    <row r="23" spans="1:14" ht="19.5" customHeight="1">
      <c r="A23" s="46">
        <v>45401</v>
      </c>
      <c r="B23" s="131"/>
      <c r="C23" s="131"/>
      <c r="D23" s="47">
        <v>213.8</v>
      </c>
      <c r="E23" s="26">
        <v>212.16</v>
      </c>
      <c r="F23" s="47">
        <v>777.71600000000001</v>
      </c>
      <c r="G23" s="9">
        <v>0</v>
      </c>
      <c r="H23" s="48">
        <v>0</v>
      </c>
      <c r="I23" s="49">
        <v>0</v>
      </c>
      <c r="J23" s="49">
        <v>0</v>
      </c>
      <c r="K23" s="48">
        <v>15</v>
      </c>
      <c r="L23" s="48">
        <f t="shared" si="0"/>
        <v>15</v>
      </c>
      <c r="M23" s="50"/>
    </row>
    <row r="24" spans="1:14" ht="19.5" customHeight="1">
      <c r="A24" s="46">
        <v>45402</v>
      </c>
      <c r="B24" s="131"/>
      <c r="C24" s="131"/>
      <c r="D24" s="47">
        <v>213.8</v>
      </c>
      <c r="E24" s="26">
        <v>212.15</v>
      </c>
      <c r="F24" s="47">
        <v>776.67100000000005</v>
      </c>
      <c r="G24" s="9">
        <v>0</v>
      </c>
      <c r="H24" s="48">
        <v>0</v>
      </c>
      <c r="I24" s="49">
        <v>0</v>
      </c>
      <c r="J24" s="49">
        <v>0</v>
      </c>
      <c r="K24" s="48">
        <v>15</v>
      </c>
      <c r="L24" s="48">
        <f t="shared" si="0"/>
        <v>15</v>
      </c>
      <c r="M24" s="50"/>
    </row>
    <row r="25" spans="1:14" ht="19.5" customHeight="1">
      <c r="A25" s="46">
        <v>45403</v>
      </c>
      <c r="B25" s="131"/>
      <c r="C25" s="131"/>
      <c r="D25" s="47">
        <v>213.8</v>
      </c>
      <c r="E25" s="26">
        <v>212.13</v>
      </c>
      <c r="F25" s="47">
        <v>774.58</v>
      </c>
      <c r="G25" s="9">
        <v>0</v>
      </c>
      <c r="H25" s="48">
        <v>0</v>
      </c>
      <c r="I25" s="49">
        <v>0</v>
      </c>
      <c r="J25" s="49">
        <v>0</v>
      </c>
      <c r="K25" s="48">
        <v>15</v>
      </c>
      <c r="L25" s="48">
        <f t="shared" si="0"/>
        <v>15</v>
      </c>
      <c r="M25" s="50"/>
    </row>
    <row r="26" spans="1:14" ht="19.5" customHeight="1">
      <c r="A26" s="46">
        <v>45404</v>
      </c>
      <c r="B26" s="131"/>
      <c r="C26" s="131"/>
      <c r="D26" s="47">
        <v>213.8</v>
      </c>
      <c r="E26" s="26">
        <v>212.11</v>
      </c>
      <c r="F26" s="47">
        <v>772.48900000000003</v>
      </c>
      <c r="G26" s="9">
        <v>0</v>
      </c>
      <c r="H26" s="48">
        <v>0</v>
      </c>
      <c r="I26" s="49">
        <v>0</v>
      </c>
      <c r="J26" s="49">
        <v>0</v>
      </c>
      <c r="K26" s="48">
        <v>25</v>
      </c>
      <c r="L26" s="48">
        <f t="shared" si="0"/>
        <v>25</v>
      </c>
      <c r="M26" s="50"/>
      <c r="N26" s="19"/>
    </row>
    <row r="27" spans="1:14" ht="19.5" customHeight="1">
      <c r="A27" s="46">
        <v>45405</v>
      </c>
      <c r="B27" s="131"/>
      <c r="C27" s="131"/>
      <c r="D27" s="47">
        <v>213.8</v>
      </c>
      <c r="E27" s="26">
        <v>212.09</v>
      </c>
      <c r="F27" s="47">
        <v>769.875</v>
      </c>
      <c r="G27" s="9">
        <v>0</v>
      </c>
      <c r="H27" s="48">
        <v>0</v>
      </c>
      <c r="I27" s="49">
        <v>30</v>
      </c>
      <c r="J27" s="49">
        <v>0</v>
      </c>
      <c r="K27" s="48">
        <v>0</v>
      </c>
      <c r="L27" s="48">
        <f t="shared" si="0"/>
        <v>30</v>
      </c>
      <c r="M27" s="50"/>
    </row>
    <row r="28" spans="1:14" ht="19.5" customHeight="1">
      <c r="A28" s="46">
        <v>45406</v>
      </c>
      <c r="B28" s="131"/>
      <c r="C28" s="131"/>
      <c r="D28" s="47">
        <v>213.8</v>
      </c>
      <c r="E28" s="26">
        <v>212.04</v>
      </c>
      <c r="F28" s="47">
        <v>765.69200000000001</v>
      </c>
      <c r="G28" s="9">
        <v>0</v>
      </c>
      <c r="H28" s="48">
        <v>0</v>
      </c>
      <c r="I28" s="48">
        <v>50</v>
      </c>
      <c r="J28" s="49">
        <v>0</v>
      </c>
      <c r="K28" s="48">
        <v>0</v>
      </c>
      <c r="L28" s="48">
        <f t="shared" si="0"/>
        <v>50</v>
      </c>
      <c r="M28" s="50"/>
    </row>
    <row r="29" spans="1:14" ht="19.5" customHeight="1">
      <c r="A29" s="46">
        <v>45407</v>
      </c>
      <c r="B29" s="131"/>
      <c r="C29" s="131"/>
      <c r="D29" s="47">
        <v>213.8</v>
      </c>
      <c r="E29" s="26">
        <v>212</v>
      </c>
      <c r="F29" s="47">
        <v>760.98699999999997</v>
      </c>
      <c r="G29" s="9">
        <v>0</v>
      </c>
      <c r="H29" s="48">
        <v>0</v>
      </c>
      <c r="I29" s="48">
        <v>50</v>
      </c>
      <c r="J29" s="49">
        <v>0</v>
      </c>
      <c r="K29" s="48">
        <v>0</v>
      </c>
      <c r="L29" s="48">
        <f t="shared" si="0"/>
        <v>50</v>
      </c>
      <c r="M29" s="50"/>
    </row>
    <row r="30" spans="1:14" ht="19.5" customHeight="1">
      <c r="A30" s="46">
        <v>45408</v>
      </c>
      <c r="B30" s="131"/>
      <c r="C30" s="131"/>
      <c r="D30" s="47">
        <v>213.8</v>
      </c>
      <c r="E30" s="26">
        <v>211.96</v>
      </c>
      <c r="F30" s="47">
        <v>756.80499999999995</v>
      </c>
      <c r="G30" s="9">
        <v>0</v>
      </c>
      <c r="H30" s="48">
        <v>0</v>
      </c>
      <c r="I30" s="48">
        <v>50</v>
      </c>
      <c r="J30" s="49">
        <v>0</v>
      </c>
      <c r="K30" s="48">
        <v>0</v>
      </c>
      <c r="L30" s="48">
        <f t="shared" si="0"/>
        <v>50</v>
      </c>
      <c r="M30" s="50"/>
    </row>
    <row r="31" spans="1:14" ht="21" customHeight="1">
      <c r="A31" s="46">
        <v>45409</v>
      </c>
      <c r="B31" s="131"/>
      <c r="C31" s="131"/>
      <c r="D31" s="47">
        <v>213.8</v>
      </c>
      <c r="E31" s="26">
        <v>211.92</v>
      </c>
      <c r="F31" s="47">
        <v>752.62300000000005</v>
      </c>
      <c r="G31" s="9">
        <v>0</v>
      </c>
      <c r="H31" s="48">
        <v>0</v>
      </c>
      <c r="I31" s="48">
        <v>50</v>
      </c>
      <c r="J31" s="49">
        <v>0</v>
      </c>
      <c r="K31" s="48">
        <v>0</v>
      </c>
      <c r="L31" s="48">
        <f t="shared" si="0"/>
        <v>50</v>
      </c>
      <c r="M31" s="50"/>
    </row>
    <row r="32" spans="1:14" ht="21" customHeight="1">
      <c r="A32" s="46">
        <v>45410</v>
      </c>
      <c r="B32" s="131"/>
      <c r="C32" s="131"/>
      <c r="D32" s="47">
        <v>213.8</v>
      </c>
      <c r="E32" s="26">
        <v>211.88</v>
      </c>
      <c r="F32" s="47">
        <v>748.44</v>
      </c>
      <c r="G32" s="9">
        <v>0</v>
      </c>
      <c r="H32" s="48">
        <v>0</v>
      </c>
      <c r="I32" s="48">
        <v>50</v>
      </c>
      <c r="J32" s="49">
        <v>0</v>
      </c>
      <c r="K32" s="48">
        <v>0</v>
      </c>
      <c r="L32" s="48">
        <f t="shared" si="0"/>
        <v>50</v>
      </c>
      <c r="M32" s="50"/>
    </row>
    <row r="33" spans="1:14" ht="21" customHeight="1">
      <c r="A33" s="46">
        <v>45411</v>
      </c>
      <c r="B33" s="131"/>
      <c r="C33" s="131"/>
      <c r="D33" s="47">
        <v>213.8</v>
      </c>
      <c r="E33" s="26">
        <v>211.84</v>
      </c>
      <c r="F33" s="47">
        <v>744.25800000000004</v>
      </c>
      <c r="G33" s="9">
        <v>0</v>
      </c>
      <c r="H33" s="48">
        <v>0</v>
      </c>
      <c r="I33" s="48">
        <v>50</v>
      </c>
      <c r="J33" s="49">
        <v>0</v>
      </c>
      <c r="K33" s="48">
        <v>0</v>
      </c>
      <c r="L33" s="48">
        <f t="shared" si="0"/>
        <v>50</v>
      </c>
      <c r="M33" s="50"/>
    </row>
    <row r="34" spans="1:14" ht="21" customHeight="1">
      <c r="A34" s="46">
        <v>45412</v>
      </c>
      <c r="B34" s="131"/>
      <c r="C34" s="131"/>
      <c r="D34" s="47">
        <v>213.8</v>
      </c>
      <c r="E34" s="26">
        <v>212</v>
      </c>
      <c r="F34" s="47">
        <v>760.98699999999997</v>
      </c>
      <c r="G34" s="9">
        <v>243</v>
      </c>
      <c r="H34" s="48">
        <v>0</v>
      </c>
      <c r="I34" s="48">
        <v>50</v>
      </c>
      <c r="J34" s="49">
        <v>0</v>
      </c>
      <c r="K34" s="48">
        <v>0</v>
      </c>
      <c r="L34" s="48">
        <f t="shared" si="0"/>
        <v>50</v>
      </c>
      <c r="M34" s="50"/>
    </row>
    <row r="35" spans="1:14" ht="21" customHeight="1">
      <c r="A35" s="40"/>
      <c r="B35" s="13"/>
      <c r="C35" s="13"/>
      <c r="D35" s="14"/>
      <c r="E35" s="15"/>
      <c r="F35" s="14"/>
      <c r="G35" s="16">
        <f t="shared" ref="G35:L35" si="1">SUM(G5:G34)</f>
        <v>243</v>
      </c>
      <c r="H35" s="16">
        <f t="shared" si="1"/>
        <v>0</v>
      </c>
      <c r="I35" s="16">
        <f>SUM(I5:I34)</f>
        <v>380</v>
      </c>
      <c r="J35" s="16">
        <f t="shared" si="1"/>
        <v>0</v>
      </c>
      <c r="K35" s="16">
        <f t="shared" si="1"/>
        <v>340</v>
      </c>
      <c r="L35" s="16">
        <f t="shared" si="1"/>
        <v>720</v>
      </c>
      <c r="M35" s="41"/>
      <c r="N35" s="20"/>
    </row>
    <row r="36" spans="1:14" ht="47.25" customHeight="1">
      <c r="A36" s="42"/>
      <c r="B36" s="43"/>
      <c r="C36" s="5"/>
      <c r="D36" s="5"/>
      <c r="E36" s="5"/>
      <c r="F36" s="5"/>
      <c r="G36" s="150">
        <f>G35/11574</f>
        <v>2.0995334370139968E-2</v>
      </c>
      <c r="H36" s="150"/>
      <c r="I36" s="150">
        <f>I35/11574</f>
        <v>3.283221012614481E-2</v>
      </c>
      <c r="J36" s="150">
        <f>J35/11574</f>
        <v>0</v>
      </c>
      <c r="K36" s="44"/>
      <c r="L36" s="44"/>
      <c r="M36" s="45"/>
    </row>
    <row r="37" spans="1:14" ht="15.75" customHeight="1">
      <c r="A37" s="118" t="s">
        <v>9</v>
      </c>
      <c r="B37" s="113"/>
      <c r="C37" s="113"/>
      <c r="D37" s="113"/>
      <c r="I37" s="118" t="s">
        <v>10</v>
      </c>
      <c r="J37" s="113"/>
      <c r="K37" s="113"/>
      <c r="L37" s="113"/>
      <c r="M37" s="45"/>
    </row>
    <row r="38" spans="1:14" ht="15.75" customHeight="1">
      <c r="A38" s="118" t="s">
        <v>16</v>
      </c>
      <c r="B38" s="113"/>
      <c r="C38" s="113"/>
      <c r="D38" s="113"/>
      <c r="I38" s="118" t="s">
        <v>16</v>
      </c>
      <c r="J38" s="113"/>
      <c r="K38" s="113"/>
      <c r="L38" s="113"/>
      <c r="M38" s="45"/>
    </row>
    <row r="39" spans="1:14" ht="15.75" customHeight="1">
      <c r="A39" s="112" t="s">
        <v>17</v>
      </c>
      <c r="B39" s="113"/>
      <c r="C39" s="113"/>
      <c r="D39" s="113"/>
      <c r="I39" s="112" t="s">
        <v>17</v>
      </c>
      <c r="J39" s="113"/>
      <c r="K39" s="113"/>
      <c r="L39" s="113"/>
      <c r="M39" s="45"/>
    </row>
    <row r="40" spans="1:14" ht="15.75" customHeight="1">
      <c r="M40" s="45"/>
    </row>
    <row r="41" spans="1:14" ht="15.75" customHeight="1">
      <c r="M41" s="45"/>
    </row>
    <row r="42" spans="1:14" ht="15.75" customHeight="1">
      <c r="M42" s="45"/>
    </row>
    <row r="43" spans="1:14" ht="15.75" customHeight="1">
      <c r="M43" s="45"/>
    </row>
    <row r="44" spans="1:14" ht="15.75" customHeight="1">
      <c r="M44" s="45"/>
    </row>
    <row r="45" spans="1:14" ht="15.75" customHeight="1">
      <c r="M45" s="45"/>
    </row>
    <row r="46" spans="1:14" ht="15.75" customHeight="1">
      <c r="M46" s="45"/>
    </row>
    <row r="47" spans="1:14" ht="15.75" customHeight="1">
      <c r="M47" s="45"/>
    </row>
    <row r="48" spans="1:14" ht="15.75" customHeight="1">
      <c r="M48" s="45"/>
    </row>
    <row r="49" spans="13:13" ht="15.75" customHeight="1">
      <c r="M49" s="45"/>
    </row>
    <row r="50" spans="13:13" ht="15.75" customHeight="1">
      <c r="M50" s="45"/>
    </row>
    <row r="51" spans="13:13" ht="15.75" customHeight="1">
      <c r="M51" s="45"/>
    </row>
    <row r="52" spans="13:13" ht="15.75" customHeight="1">
      <c r="M52" s="45"/>
    </row>
    <row r="53" spans="13:13" ht="15.75" customHeight="1">
      <c r="M53" s="45"/>
    </row>
    <row r="54" spans="13:13" ht="15.75" customHeight="1">
      <c r="M54" s="45"/>
    </row>
    <row r="55" spans="13:13" ht="15.75" customHeight="1">
      <c r="M55" s="45"/>
    </row>
    <row r="56" spans="13:13" ht="15.75" customHeight="1">
      <c r="M56" s="45"/>
    </row>
    <row r="57" spans="13:13" ht="15.75" customHeight="1">
      <c r="M57" s="45"/>
    </row>
    <row r="58" spans="13:13" ht="15.75" customHeight="1">
      <c r="M58" s="45"/>
    </row>
    <row r="59" spans="13:13" ht="15.75" customHeight="1">
      <c r="M59" s="45"/>
    </row>
    <row r="60" spans="13:13" ht="15.75" customHeight="1">
      <c r="M60" s="45"/>
    </row>
    <row r="61" spans="13:13" ht="15.75" customHeight="1">
      <c r="M61" s="45"/>
    </row>
    <row r="62" spans="13:13" ht="15.75" customHeight="1">
      <c r="M62" s="45"/>
    </row>
    <row r="63" spans="13:13" ht="15.75" customHeight="1">
      <c r="M63" s="45"/>
    </row>
    <row r="64" spans="13:13" ht="15.75" customHeight="1">
      <c r="M64" s="45"/>
    </row>
    <row r="65" spans="13:13" ht="15.75" customHeight="1">
      <c r="M65" s="45"/>
    </row>
    <row r="66" spans="13:13" ht="15.75" customHeight="1">
      <c r="M66" s="45"/>
    </row>
    <row r="67" spans="13:13" ht="15.75" customHeight="1">
      <c r="M67" s="45"/>
    </row>
    <row r="68" spans="13:13" ht="15.75" customHeight="1">
      <c r="M68" s="45"/>
    </row>
    <row r="69" spans="13:13" ht="15.75" customHeight="1">
      <c r="M69" s="45"/>
    </row>
    <row r="70" spans="13:13" ht="15.75" customHeight="1">
      <c r="M70" s="45"/>
    </row>
    <row r="71" spans="13:13" ht="15.75" customHeight="1">
      <c r="M71" s="45"/>
    </row>
    <row r="72" spans="13:13" ht="15.75" customHeight="1">
      <c r="M72" s="45"/>
    </row>
    <row r="73" spans="13:13" ht="15.75" customHeight="1">
      <c r="M73" s="45"/>
    </row>
    <row r="74" spans="13:13" ht="15.75" customHeight="1">
      <c r="M74" s="45"/>
    </row>
    <row r="75" spans="13:13" ht="15.75" customHeight="1">
      <c r="M75" s="45"/>
    </row>
    <row r="76" spans="13:13" ht="15.75" customHeight="1">
      <c r="M76" s="45"/>
    </row>
    <row r="77" spans="13:13" ht="15.75" customHeight="1">
      <c r="M77" s="45"/>
    </row>
    <row r="78" spans="13:13" ht="15.75" customHeight="1">
      <c r="M78" s="45"/>
    </row>
    <row r="79" spans="13:13" ht="15.75" customHeight="1">
      <c r="M79" s="45"/>
    </row>
    <row r="80" spans="13:13" ht="15.75" customHeight="1">
      <c r="M80" s="45"/>
    </row>
    <row r="81" spans="13:13" ht="15.75" customHeight="1">
      <c r="M81" s="45"/>
    </row>
    <row r="82" spans="13:13" ht="15.75" customHeight="1">
      <c r="M82" s="45"/>
    </row>
    <row r="83" spans="13:13" ht="15.75" customHeight="1">
      <c r="M83" s="45"/>
    </row>
    <row r="84" spans="13:13" ht="15.75" customHeight="1">
      <c r="M84" s="45"/>
    </row>
    <row r="85" spans="13:13" ht="15.75" customHeight="1">
      <c r="M85" s="45"/>
    </row>
    <row r="86" spans="13:13" ht="15.75" customHeight="1">
      <c r="M86" s="45"/>
    </row>
    <row r="87" spans="13:13" ht="15.75" customHeight="1">
      <c r="M87" s="45"/>
    </row>
    <row r="88" spans="13:13" ht="15.75" customHeight="1">
      <c r="M88" s="45"/>
    </row>
    <row r="89" spans="13:13" ht="15.75" customHeight="1">
      <c r="M89" s="45"/>
    </row>
    <row r="90" spans="13:13" ht="15.75" customHeight="1">
      <c r="M90" s="45"/>
    </row>
    <row r="91" spans="13:13" ht="15.75" customHeight="1">
      <c r="M91" s="45"/>
    </row>
    <row r="92" spans="13:13" ht="15.75" customHeight="1">
      <c r="M92" s="45"/>
    </row>
    <row r="93" spans="13:13" ht="15.75" customHeight="1">
      <c r="M93" s="45"/>
    </row>
    <row r="94" spans="13:13" ht="15.75" customHeight="1">
      <c r="M94" s="45"/>
    </row>
    <row r="95" spans="13:13" ht="15.75" customHeight="1">
      <c r="M95" s="45"/>
    </row>
    <row r="96" spans="13:13" ht="15.75" customHeight="1">
      <c r="M96" s="45"/>
    </row>
    <row r="97" spans="13:13" ht="15.75" customHeight="1">
      <c r="M97" s="45"/>
    </row>
    <row r="98" spans="13:13" ht="15.75" customHeight="1">
      <c r="M98" s="45"/>
    </row>
    <row r="99" spans="13:13" ht="15.75" customHeight="1">
      <c r="M99" s="45"/>
    </row>
    <row r="100" spans="13:13" ht="15.75" customHeight="1">
      <c r="M100" s="45"/>
    </row>
    <row r="101" spans="13:13" ht="15.75" customHeight="1">
      <c r="M101" s="45"/>
    </row>
  </sheetData>
  <mergeCells count="19">
    <mergeCell ref="A1:M2"/>
    <mergeCell ref="A3:A4"/>
    <mergeCell ref="B3:B4"/>
    <mergeCell ref="C3:C4"/>
    <mergeCell ref="D3:D4"/>
    <mergeCell ref="E3:E4"/>
    <mergeCell ref="F3:F4"/>
    <mergeCell ref="G3:G4"/>
    <mergeCell ref="H3:K3"/>
    <mergeCell ref="L3:L4"/>
    <mergeCell ref="A39:D39"/>
    <mergeCell ref="I39:L39"/>
    <mergeCell ref="M3:M4"/>
    <mergeCell ref="B5:B34"/>
    <mergeCell ref="C5:C34"/>
    <mergeCell ref="A37:D37"/>
    <mergeCell ref="I37:L37"/>
    <mergeCell ref="A38:D38"/>
    <mergeCell ref="I38:L38"/>
  </mergeCells>
  <pageMargins left="0.7" right="0.7" top="0.75" bottom="0.75" header="0" footer="0"/>
  <pageSetup paperSize="9" scale="7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2"/>
  <sheetViews>
    <sheetView topLeftCell="A28" workbookViewId="0">
      <selection activeCell="P37" sqref="P37"/>
    </sheetView>
  </sheetViews>
  <sheetFormatPr defaultColWidth="14.42578125" defaultRowHeight="15" customHeight="1"/>
  <cols>
    <col min="1" max="1" width="12.42578125" style="29" customWidth="1"/>
    <col min="2" max="2" width="6.28515625" style="29" customWidth="1"/>
    <col min="3" max="3" width="5.140625" style="29" customWidth="1"/>
    <col min="4" max="4" width="10" style="29" customWidth="1"/>
    <col min="5" max="6" width="8.7109375" style="29" customWidth="1"/>
    <col min="7" max="7" width="9.85546875" style="29" customWidth="1"/>
    <col min="8" max="8" width="8.7109375" style="29" customWidth="1"/>
    <col min="9" max="9" width="8.42578125" style="29" customWidth="1"/>
    <col min="10" max="10" width="8.7109375" style="29" customWidth="1"/>
    <col min="11" max="11" width="6.42578125" style="29" customWidth="1"/>
    <col min="12" max="12" width="8.5703125" style="29" customWidth="1"/>
    <col min="13" max="13" width="8.85546875" style="29" customWidth="1"/>
    <col min="14" max="16384" width="14.42578125" style="29"/>
  </cols>
  <sheetData>
    <row r="1" spans="1:13" ht="14.25" customHeight="1">
      <c r="A1" s="132" t="s">
        <v>22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4"/>
    </row>
    <row r="2" spans="1:13" ht="15.75" customHeight="1">
      <c r="A2" s="135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7"/>
    </row>
    <row r="3" spans="1:13" ht="14.25" customHeight="1">
      <c r="A3" s="138" t="s">
        <v>0</v>
      </c>
      <c r="B3" s="139" t="s">
        <v>1</v>
      </c>
      <c r="C3" s="139" t="s">
        <v>2</v>
      </c>
      <c r="D3" s="138" t="s">
        <v>3</v>
      </c>
      <c r="E3" s="138" t="s">
        <v>4</v>
      </c>
      <c r="F3" s="138" t="s">
        <v>23</v>
      </c>
      <c r="G3" s="138" t="s">
        <v>5</v>
      </c>
      <c r="H3" s="140" t="s">
        <v>6</v>
      </c>
      <c r="I3" s="141"/>
      <c r="J3" s="141"/>
      <c r="K3" s="141"/>
      <c r="L3" s="142" t="s">
        <v>7</v>
      </c>
      <c r="M3" s="128" t="s">
        <v>8</v>
      </c>
    </row>
    <row r="4" spans="1:13" ht="51.75" customHeight="1">
      <c r="A4" s="143"/>
      <c r="B4" s="143"/>
      <c r="C4" s="143"/>
      <c r="D4" s="143"/>
      <c r="E4" s="143"/>
      <c r="F4" s="143"/>
      <c r="G4" s="143"/>
      <c r="H4" s="21" t="s">
        <v>15</v>
      </c>
      <c r="I4" s="21" t="s">
        <v>13</v>
      </c>
      <c r="J4" s="21" t="s">
        <v>18</v>
      </c>
      <c r="K4" s="21" t="s">
        <v>14</v>
      </c>
      <c r="L4" s="143"/>
      <c r="M4" s="143"/>
    </row>
    <row r="5" spans="1:13" ht="19.5" customHeight="1">
      <c r="A5" s="31">
        <v>45352</v>
      </c>
      <c r="B5" s="144" t="s">
        <v>11</v>
      </c>
      <c r="C5" s="144" t="s">
        <v>12</v>
      </c>
      <c r="D5" s="23">
        <v>213.8</v>
      </c>
      <c r="E5" s="26">
        <v>212.53</v>
      </c>
      <c r="F5" s="11">
        <v>816.40200000000004</v>
      </c>
      <c r="G5" s="9">
        <v>0</v>
      </c>
      <c r="H5" s="25">
        <v>0</v>
      </c>
      <c r="I5" s="1">
        <v>0</v>
      </c>
      <c r="J5" s="1">
        <v>0</v>
      </c>
      <c r="K5" s="25">
        <v>0</v>
      </c>
      <c r="L5" s="25">
        <f>H5+I5+J5+K5</f>
        <v>0</v>
      </c>
      <c r="M5" s="34"/>
    </row>
    <row r="6" spans="1:13" ht="19.5" customHeight="1">
      <c r="A6" s="31">
        <v>45353</v>
      </c>
      <c r="B6" s="129"/>
      <c r="C6" s="129"/>
      <c r="D6" s="23">
        <v>213.8</v>
      </c>
      <c r="E6" s="26">
        <v>212.53</v>
      </c>
      <c r="F6" s="11">
        <v>816.40200000000004</v>
      </c>
      <c r="G6" s="9">
        <v>0</v>
      </c>
      <c r="H6" s="25">
        <v>0</v>
      </c>
      <c r="I6" s="1">
        <v>0</v>
      </c>
      <c r="J6" s="1">
        <v>0</v>
      </c>
      <c r="K6" s="25">
        <v>0</v>
      </c>
      <c r="L6" s="25">
        <f t="shared" ref="L6:L35" si="0">H6+I6+J6+K6</f>
        <v>0</v>
      </c>
      <c r="M6" s="34"/>
    </row>
    <row r="7" spans="1:13" ht="19.5" customHeight="1">
      <c r="A7" s="31">
        <v>45354</v>
      </c>
      <c r="B7" s="129"/>
      <c r="C7" s="129"/>
      <c r="D7" s="23">
        <v>213.8</v>
      </c>
      <c r="E7" s="26">
        <v>212.53</v>
      </c>
      <c r="F7" s="11">
        <v>816.40200000000004</v>
      </c>
      <c r="G7" s="9">
        <v>0</v>
      </c>
      <c r="H7" s="25">
        <v>0</v>
      </c>
      <c r="I7" s="1">
        <v>0</v>
      </c>
      <c r="J7" s="1">
        <v>0</v>
      </c>
      <c r="K7" s="25">
        <v>0</v>
      </c>
      <c r="L7" s="25">
        <f t="shared" si="0"/>
        <v>0</v>
      </c>
      <c r="M7" s="34"/>
    </row>
    <row r="8" spans="1:13" ht="19.5" customHeight="1">
      <c r="A8" s="31">
        <v>45355</v>
      </c>
      <c r="B8" s="129"/>
      <c r="C8" s="129"/>
      <c r="D8" s="23">
        <v>213.8</v>
      </c>
      <c r="E8" s="26">
        <v>212.53</v>
      </c>
      <c r="F8" s="11">
        <v>816.40200000000004</v>
      </c>
      <c r="G8" s="9">
        <v>0</v>
      </c>
      <c r="H8" s="25">
        <v>0</v>
      </c>
      <c r="I8" s="1">
        <v>0</v>
      </c>
      <c r="J8" s="1">
        <v>0</v>
      </c>
      <c r="K8" s="25">
        <v>0</v>
      </c>
      <c r="L8" s="25">
        <f t="shared" si="0"/>
        <v>0</v>
      </c>
      <c r="M8" s="34"/>
    </row>
    <row r="9" spans="1:13" ht="19.5" customHeight="1">
      <c r="A9" s="31">
        <v>45356</v>
      </c>
      <c r="B9" s="129"/>
      <c r="C9" s="129"/>
      <c r="D9" s="23">
        <v>213.8</v>
      </c>
      <c r="E9" s="26">
        <v>212.53</v>
      </c>
      <c r="F9" s="11">
        <v>816.40200000000004</v>
      </c>
      <c r="G9" s="9">
        <v>0</v>
      </c>
      <c r="H9" s="25">
        <v>0</v>
      </c>
      <c r="I9" s="1">
        <v>0</v>
      </c>
      <c r="J9" s="1">
        <v>0</v>
      </c>
      <c r="K9" s="25">
        <v>0</v>
      </c>
      <c r="L9" s="25">
        <f t="shared" si="0"/>
        <v>0</v>
      </c>
      <c r="M9" s="34"/>
    </row>
    <row r="10" spans="1:13" ht="19.5" customHeight="1">
      <c r="A10" s="31">
        <v>45357</v>
      </c>
      <c r="B10" s="129"/>
      <c r="C10" s="129"/>
      <c r="D10" s="23">
        <v>213.8</v>
      </c>
      <c r="E10" s="26">
        <v>212.53</v>
      </c>
      <c r="F10" s="11">
        <v>816.40200000000004</v>
      </c>
      <c r="G10" s="9">
        <v>0</v>
      </c>
      <c r="H10" s="25">
        <v>0</v>
      </c>
      <c r="I10" s="1">
        <v>0</v>
      </c>
      <c r="J10" s="1">
        <v>0</v>
      </c>
      <c r="K10" s="25">
        <v>0</v>
      </c>
      <c r="L10" s="25">
        <f t="shared" si="0"/>
        <v>0</v>
      </c>
      <c r="M10" s="34"/>
    </row>
    <row r="11" spans="1:13" ht="19.5" customHeight="1">
      <c r="A11" s="31">
        <v>45358</v>
      </c>
      <c r="B11" s="129"/>
      <c r="C11" s="129"/>
      <c r="D11" s="23">
        <v>213.8</v>
      </c>
      <c r="E11" s="26">
        <v>212.53</v>
      </c>
      <c r="F11" s="11">
        <v>816.40200000000004</v>
      </c>
      <c r="G11" s="9">
        <v>0</v>
      </c>
      <c r="H11" s="25">
        <v>0</v>
      </c>
      <c r="I11" s="1">
        <v>0</v>
      </c>
      <c r="J11" s="1">
        <v>0</v>
      </c>
      <c r="K11" s="25">
        <v>0</v>
      </c>
      <c r="L11" s="25">
        <f t="shared" si="0"/>
        <v>0</v>
      </c>
      <c r="M11" s="34"/>
    </row>
    <row r="12" spans="1:13" ht="19.5" customHeight="1">
      <c r="A12" s="31">
        <v>45359</v>
      </c>
      <c r="B12" s="129"/>
      <c r="C12" s="129"/>
      <c r="D12" s="23">
        <v>213.8</v>
      </c>
      <c r="E12" s="26">
        <v>212.49</v>
      </c>
      <c r="F12" s="11">
        <v>812.22</v>
      </c>
      <c r="G12" s="9">
        <v>0</v>
      </c>
      <c r="H12" s="25">
        <v>0</v>
      </c>
      <c r="I12" s="1">
        <v>50</v>
      </c>
      <c r="J12" s="1">
        <v>0</v>
      </c>
      <c r="K12" s="25">
        <v>0</v>
      </c>
      <c r="L12" s="25">
        <f t="shared" si="0"/>
        <v>50</v>
      </c>
      <c r="M12" s="34"/>
    </row>
    <row r="13" spans="1:13" ht="19.5" customHeight="1">
      <c r="A13" s="31">
        <v>45360</v>
      </c>
      <c r="B13" s="129"/>
      <c r="C13" s="129"/>
      <c r="D13" s="23">
        <v>213.8</v>
      </c>
      <c r="E13" s="27">
        <v>212.45</v>
      </c>
      <c r="F13" s="26">
        <v>807.88099999999997</v>
      </c>
      <c r="G13" s="9">
        <v>0</v>
      </c>
      <c r="H13" s="25">
        <v>0</v>
      </c>
      <c r="I13" s="1">
        <v>50</v>
      </c>
      <c r="J13" s="1">
        <v>0</v>
      </c>
      <c r="K13" s="25">
        <v>0</v>
      </c>
      <c r="L13" s="25">
        <f t="shared" si="0"/>
        <v>50</v>
      </c>
      <c r="M13" s="34"/>
    </row>
    <row r="14" spans="1:13" ht="19.5" customHeight="1">
      <c r="A14" s="31">
        <v>45361</v>
      </c>
      <c r="B14" s="129"/>
      <c r="C14" s="129"/>
      <c r="D14" s="23">
        <v>213.8</v>
      </c>
      <c r="E14" s="26">
        <v>212.4</v>
      </c>
      <c r="F14" s="11">
        <v>803.54200000000003</v>
      </c>
      <c r="G14" s="9">
        <v>0</v>
      </c>
      <c r="H14" s="25">
        <v>0</v>
      </c>
      <c r="I14" s="1">
        <v>50</v>
      </c>
      <c r="J14" s="1">
        <v>0</v>
      </c>
      <c r="K14" s="25">
        <v>0</v>
      </c>
      <c r="L14" s="25">
        <f t="shared" si="0"/>
        <v>50</v>
      </c>
      <c r="M14" s="34"/>
    </row>
    <row r="15" spans="1:13" ht="19.5" customHeight="1">
      <c r="A15" s="31">
        <v>45362</v>
      </c>
      <c r="B15" s="129"/>
      <c r="C15" s="129"/>
      <c r="D15" s="23">
        <v>213.8</v>
      </c>
      <c r="E15" s="26">
        <v>212.4</v>
      </c>
      <c r="F15" s="11">
        <v>803.54200000000003</v>
      </c>
      <c r="G15" s="9">
        <v>0</v>
      </c>
      <c r="H15" s="25">
        <v>0</v>
      </c>
      <c r="I15" s="1">
        <v>0</v>
      </c>
      <c r="J15" s="1">
        <v>0</v>
      </c>
      <c r="K15" s="25">
        <v>0</v>
      </c>
      <c r="L15" s="25">
        <f t="shared" si="0"/>
        <v>0</v>
      </c>
      <c r="M15" s="34"/>
    </row>
    <row r="16" spans="1:13" ht="19.5" customHeight="1">
      <c r="A16" s="31">
        <v>45363</v>
      </c>
      <c r="B16" s="129"/>
      <c r="C16" s="129"/>
      <c r="D16" s="23">
        <v>213.8</v>
      </c>
      <c r="E16" s="26">
        <v>212.4</v>
      </c>
      <c r="F16" s="11">
        <v>803.54200000000003</v>
      </c>
      <c r="G16" s="9">
        <v>0</v>
      </c>
      <c r="H16" s="25">
        <v>0</v>
      </c>
      <c r="I16" s="1">
        <v>0</v>
      </c>
      <c r="J16" s="1">
        <v>0</v>
      </c>
      <c r="K16" s="25">
        <v>0</v>
      </c>
      <c r="L16" s="25">
        <f t="shared" si="0"/>
        <v>0</v>
      </c>
      <c r="M16" s="34"/>
    </row>
    <row r="17" spans="1:14" ht="19.5" customHeight="1">
      <c r="A17" s="31">
        <v>45364</v>
      </c>
      <c r="B17" s="129"/>
      <c r="C17" s="129"/>
      <c r="D17" s="23">
        <v>213.8</v>
      </c>
      <c r="E17" s="26">
        <v>212.4</v>
      </c>
      <c r="F17" s="11">
        <v>803.54200000000003</v>
      </c>
      <c r="G17" s="9">
        <v>0</v>
      </c>
      <c r="H17" s="25">
        <v>0</v>
      </c>
      <c r="I17" s="1">
        <v>0</v>
      </c>
      <c r="J17" s="1">
        <v>0</v>
      </c>
      <c r="K17" s="25">
        <v>0</v>
      </c>
      <c r="L17" s="25">
        <f t="shared" si="0"/>
        <v>0</v>
      </c>
      <c r="M17" s="34"/>
    </row>
    <row r="18" spans="1:14" ht="19.5" customHeight="1">
      <c r="A18" s="31">
        <v>45365</v>
      </c>
      <c r="B18" s="129"/>
      <c r="C18" s="129"/>
      <c r="D18" s="23">
        <v>213.8</v>
      </c>
      <c r="E18" s="26">
        <v>212.4</v>
      </c>
      <c r="F18" s="11">
        <v>803.54200000000003</v>
      </c>
      <c r="G18" s="9">
        <v>0</v>
      </c>
      <c r="H18" s="25">
        <v>0</v>
      </c>
      <c r="I18" s="1">
        <v>0</v>
      </c>
      <c r="J18" s="1">
        <v>0</v>
      </c>
      <c r="K18" s="25">
        <v>0</v>
      </c>
      <c r="L18" s="25">
        <f t="shared" si="0"/>
        <v>0</v>
      </c>
      <c r="M18" s="34"/>
    </row>
    <row r="19" spans="1:14" ht="19.5" customHeight="1">
      <c r="A19" s="31">
        <v>45366</v>
      </c>
      <c r="B19" s="129"/>
      <c r="C19" s="129"/>
      <c r="D19" s="23">
        <v>213.8</v>
      </c>
      <c r="E19" s="26">
        <v>212.4</v>
      </c>
      <c r="F19" s="11">
        <v>803.54200000000003</v>
      </c>
      <c r="G19" s="9">
        <v>0</v>
      </c>
      <c r="H19" s="25">
        <v>0</v>
      </c>
      <c r="I19" s="1">
        <v>0</v>
      </c>
      <c r="J19" s="1">
        <v>0</v>
      </c>
      <c r="K19" s="25">
        <v>0</v>
      </c>
      <c r="L19" s="25">
        <f t="shared" si="0"/>
        <v>0</v>
      </c>
      <c r="M19" s="34"/>
    </row>
    <row r="20" spans="1:14" ht="19.5" customHeight="1">
      <c r="A20" s="31">
        <v>45367</v>
      </c>
      <c r="B20" s="129"/>
      <c r="C20" s="129"/>
      <c r="D20" s="23">
        <v>213.8</v>
      </c>
      <c r="E20" s="26">
        <v>212.4</v>
      </c>
      <c r="F20" s="11">
        <v>803.54200000000003</v>
      </c>
      <c r="G20" s="9">
        <v>0</v>
      </c>
      <c r="H20" s="25">
        <v>0</v>
      </c>
      <c r="I20" s="1">
        <v>0</v>
      </c>
      <c r="J20" s="1">
        <v>0</v>
      </c>
      <c r="K20" s="25">
        <v>0</v>
      </c>
      <c r="L20" s="25">
        <f t="shared" si="0"/>
        <v>0</v>
      </c>
      <c r="M20" s="34"/>
    </row>
    <row r="21" spans="1:14" ht="19.5" customHeight="1">
      <c r="A21" s="31">
        <v>45368</v>
      </c>
      <c r="B21" s="129"/>
      <c r="C21" s="129"/>
      <c r="D21" s="23">
        <v>213.8</v>
      </c>
      <c r="E21" s="26">
        <v>212.4</v>
      </c>
      <c r="F21" s="11">
        <v>803.54200000000003</v>
      </c>
      <c r="G21" s="9">
        <v>0</v>
      </c>
      <c r="H21" s="25">
        <v>0</v>
      </c>
      <c r="I21" s="1">
        <v>0</v>
      </c>
      <c r="J21" s="1">
        <v>0</v>
      </c>
      <c r="K21" s="25">
        <v>0</v>
      </c>
      <c r="L21" s="25">
        <f t="shared" si="0"/>
        <v>0</v>
      </c>
      <c r="M21" s="34"/>
    </row>
    <row r="22" spans="1:14" ht="19.5" customHeight="1">
      <c r="A22" s="31">
        <v>45369</v>
      </c>
      <c r="B22" s="129"/>
      <c r="C22" s="129"/>
      <c r="D22" s="23">
        <v>213.8</v>
      </c>
      <c r="E22" s="26">
        <v>212.4</v>
      </c>
      <c r="F22" s="11">
        <v>803.54200000000003</v>
      </c>
      <c r="G22" s="9">
        <v>0</v>
      </c>
      <c r="H22" s="25">
        <v>0</v>
      </c>
      <c r="I22" s="1">
        <v>0</v>
      </c>
      <c r="J22" s="1">
        <v>0</v>
      </c>
      <c r="K22" s="25">
        <v>0</v>
      </c>
      <c r="L22" s="25">
        <f t="shared" si="0"/>
        <v>0</v>
      </c>
      <c r="M22" s="34"/>
    </row>
    <row r="23" spans="1:14" ht="19.5" customHeight="1">
      <c r="A23" s="31">
        <v>45370</v>
      </c>
      <c r="B23" s="129"/>
      <c r="C23" s="129"/>
      <c r="D23" s="23">
        <v>213.8</v>
      </c>
      <c r="E23" s="26">
        <v>212.4</v>
      </c>
      <c r="F23" s="11">
        <v>803.54200000000003</v>
      </c>
      <c r="G23" s="9">
        <v>0</v>
      </c>
      <c r="H23" s="25">
        <v>0</v>
      </c>
      <c r="I23" s="1">
        <v>0</v>
      </c>
      <c r="J23" s="1">
        <v>0</v>
      </c>
      <c r="K23" s="25">
        <v>0</v>
      </c>
      <c r="L23" s="25">
        <f t="shared" si="0"/>
        <v>0</v>
      </c>
      <c r="M23" s="34"/>
    </row>
    <row r="24" spans="1:14" ht="19.5" customHeight="1">
      <c r="A24" s="31">
        <v>45371</v>
      </c>
      <c r="B24" s="129"/>
      <c r="C24" s="129"/>
      <c r="D24" s="23">
        <v>213.8</v>
      </c>
      <c r="E24" s="26">
        <v>212.39</v>
      </c>
      <c r="F24" s="11">
        <v>802.601</v>
      </c>
      <c r="G24" s="9">
        <v>0</v>
      </c>
      <c r="H24" s="25">
        <v>0</v>
      </c>
      <c r="I24" s="1">
        <v>0</v>
      </c>
      <c r="J24" s="1">
        <v>0</v>
      </c>
      <c r="K24" s="25">
        <v>10</v>
      </c>
      <c r="L24" s="25">
        <f t="shared" si="0"/>
        <v>10</v>
      </c>
      <c r="M24" s="34"/>
    </row>
    <row r="25" spans="1:14" ht="19.5" customHeight="1">
      <c r="A25" s="31">
        <v>45372</v>
      </c>
      <c r="B25" s="129"/>
      <c r="C25" s="129"/>
      <c r="D25" s="23">
        <v>213.8</v>
      </c>
      <c r="E25" s="26">
        <v>212.39</v>
      </c>
      <c r="F25" s="11">
        <v>802.601</v>
      </c>
      <c r="G25" s="9">
        <v>0</v>
      </c>
      <c r="H25" s="25">
        <v>0</v>
      </c>
      <c r="I25" s="1">
        <v>0</v>
      </c>
      <c r="J25" s="1">
        <v>0</v>
      </c>
      <c r="K25" s="25">
        <v>0</v>
      </c>
      <c r="L25" s="25">
        <f t="shared" si="0"/>
        <v>0</v>
      </c>
      <c r="M25" s="34"/>
    </row>
    <row r="26" spans="1:14" ht="19.5" customHeight="1">
      <c r="A26" s="31">
        <v>45373</v>
      </c>
      <c r="B26" s="129"/>
      <c r="C26" s="129"/>
      <c r="D26" s="23">
        <v>213.8</v>
      </c>
      <c r="E26" s="26">
        <v>212.39</v>
      </c>
      <c r="F26" s="11">
        <v>802.601</v>
      </c>
      <c r="G26" s="9">
        <v>0</v>
      </c>
      <c r="H26" s="25">
        <v>0</v>
      </c>
      <c r="I26" s="1">
        <v>0</v>
      </c>
      <c r="J26" s="1">
        <v>0</v>
      </c>
      <c r="K26" s="25">
        <v>0</v>
      </c>
      <c r="L26" s="25">
        <f t="shared" si="0"/>
        <v>0</v>
      </c>
      <c r="M26" s="34"/>
      <c r="N26" s="19"/>
    </row>
    <row r="27" spans="1:14" ht="19.5" customHeight="1">
      <c r="A27" s="31">
        <v>45374</v>
      </c>
      <c r="B27" s="129"/>
      <c r="C27" s="129"/>
      <c r="D27" s="23">
        <v>213.8</v>
      </c>
      <c r="E27" s="26">
        <v>212.39</v>
      </c>
      <c r="F27" s="11">
        <v>802.601</v>
      </c>
      <c r="G27" s="9">
        <v>0</v>
      </c>
      <c r="H27" s="25">
        <v>0</v>
      </c>
      <c r="I27" s="1">
        <v>0</v>
      </c>
      <c r="J27" s="1">
        <v>0</v>
      </c>
      <c r="K27" s="25">
        <v>0</v>
      </c>
      <c r="L27" s="25">
        <f t="shared" si="0"/>
        <v>0</v>
      </c>
      <c r="M27" s="34"/>
    </row>
    <row r="28" spans="1:14" ht="19.5" customHeight="1">
      <c r="A28" s="31">
        <v>45375</v>
      </c>
      <c r="B28" s="129"/>
      <c r="C28" s="129"/>
      <c r="D28" s="23">
        <v>213.8</v>
      </c>
      <c r="E28" s="26">
        <v>212.39</v>
      </c>
      <c r="F28" s="11">
        <v>802.601</v>
      </c>
      <c r="G28" s="9">
        <v>0</v>
      </c>
      <c r="H28" s="25">
        <v>0</v>
      </c>
      <c r="I28" s="1">
        <v>0</v>
      </c>
      <c r="J28" s="1">
        <v>0</v>
      </c>
      <c r="K28" s="25">
        <v>0</v>
      </c>
      <c r="L28" s="25">
        <f t="shared" si="0"/>
        <v>0</v>
      </c>
      <c r="M28" s="34"/>
    </row>
    <row r="29" spans="1:14" ht="19.5" customHeight="1">
      <c r="A29" s="31">
        <v>45376</v>
      </c>
      <c r="B29" s="129"/>
      <c r="C29" s="129"/>
      <c r="D29" s="23">
        <v>213.8</v>
      </c>
      <c r="E29" s="26">
        <v>212.39</v>
      </c>
      <c r="F29" s="11">
        <v>802.601</v>
      </c>
      <c r="G29" s="9">
        <v>0</v>
      </c>
      <c r="H29" s="25">
        <v>0</v>
      </c>
      <c r="I29" s="1">
        <v>0</v>
      </c>
      <c r="J29" s="1">
        <v>0</v>
      </c>
      <c r="K29" s="25">
        <v>0</v>
      </c>
      <c r="L29" s="25">
        <f t="shared" si="0"/>
        <v>0</v>
      </c>
      <c r="M29" s="34"/>
    </row>
    <row r="30" spans="1:14" ht="19.5" customHeight="1">
      <c r="A30" s="31">
        <v>45377</v>
      </c>
      <c r="B30" s="129"/>
      <c r="C30" s="129"/>
      <c r="D30" s="23">
        <v>213.8</v>
      </c>
      <c r="E30" s="26">
        <v>212.39</v>
      </c>
      <c r="F30" s="11">
        <v>802.601</v>
      </c>
      <c r="G30" s="9">
        <v>0</v>
      </c>
      <c r="H30" s="25">
        <v>0</v>
      </c>
      <c r="I30" s="1">
        <v>0</v>
      </c>
      <c r="J30" s="1">
        <v>0</v>
      </c>
      <c r="K30" s="25">
        <v>0</v>
      </c>
      <c r="L30" s="25">
        <f t="shared" si="0"/>
        <v>0</v>
      </c>
      <c r="M30" s="34"/>
    </row>
    <row r="31" spans="1:14" ht="21" customHeight="1">
      <c r="A31" s="31">
        <v>45378</v>
      </c>
      <c r="B31" s="129"/>
      <c r="C31" s="129"/>
      <c r="D31" s="23">
        <v>213.8</v>
      </c>
      <c r="E31" s="26">
        <v>212.39</v>
      </c>
      <c r="F31" s="11">
        <v>802.601</v>
      </c>
      <c r="G31" s="9">
        <v>0</v>
      </c>
      <c r="H31" s="25">
        <v>0</v>
      </c>
      <c r="I31" s="1">
        <v>0</v>
      </c>
      <c r="J31" s="1">
        <v>0</v>
      </c>
      <c r="K31" s="25">
        <v>0</v>
      </c>
      <c r="L31" s="25">
        <f t="shared" si="0"/>
        <v>0</v>
      </c>
      <c r="M31" s="34"/>
    </row>
    <row r="32" spans="1:14" ht="21" customHeight="1">
      <c r="A32" s="31">
        <v>45379</v>
      </c>
      <c r="B32" s="129"/>
      <c r="C32" s="129"/>
      <c r="D32" s="23">
        <v>213.8</v>
      </c>
      <c r="E32" s="26">
        <v>212.38</v>
      </c>
      <c r="F32" s="11">
        <v>800.71900000000005</v>
      </c>
      <c r="G32" s="9">
        <v>0</v>
      </c>
      <c r="H32" s="25">
        <v>0</v>
      </c>
      <c r="I32" s="1">
        <v>0</v>
      </c>
      <c r="J32" s="1">
        <v>0</v>
      </c>
      <c r="K32" s="25">
        <v>15</v>
      </c>
      <c r="L32" s="25">
        <f t="shared" si="0"/>
        <v>15</v>
      </c>
      <c r="M32" s="34"/>
    </row>
    <row r="33" spans="1:14" ht="21" customHeight="1">
      <c r="A33" s="31">
        <v>45380</v>
      </c>
      <c r="B33" s="129"/>
      <c r="C33" s="129"/>
      <c r="D33" s="23">
        <v>213.8</v>
      </c>
      <c r="E33" s="26">
        <v>212.37</v>
      </c>
      <c r="F33" s="11">
        <v>799.673</v>
      </c>
      <c r="G33" s="9">
        <v>0</v>
      </c>
      <c r="H33" s="25">
        <v>0</v>
      </c>
      <c r="I33" s="1">
        <v>0</v>
      </c>
      <c r="J33" s="1">
        <v>0</v>
      </c>
      <c r="K33" s="25">
        <v>15</v>
      </c>
      <c r="L33" s="25">
        <f t="shared" si="0"/>
        <v>15</v>
      </c>
      <c r="M33" s="34"/>
    </row>
    <row r="34" spans="1:14" ht="21" customHeight="1">
      <c r="A34" s="31">
        <v>45381</v>
      </c>
      <c r="B34" s="129"/>
      <c r="C34" s="129"/>
      <c r="D34" s="23">
        <v>213.8</v>
      </c>
      <c r="E34" s="26">
        <v>212.36</v>
      </c>
      <c r="F34" s="11">
        <v>798.62800000000004</v>
      </c>
      <c r="G34" s="9">
        <v>0</v>
      </c>
      <c r="H34" s="25">
        <v>0</v>
      </c>
      <c r="I34" s="1">
        <v>0</v>
      </c>
      <c r="J34" s="1">
        <v>0</v>
      </c>
      <c r="K34" s="25">
        <v>15</v>
      </c>
      <c r="L34" s="25">
        <f t="shared" si="0"/>
        <v>15</v>
      </c>
      <c r="M34" s="34"/>
    </row>
    <row r="35" spans="1:14" ht="21" customHeight="1">
      <c r="A35" s="31">
        <v>45382</v>
      </c>
      <c r="B35" s="145"/>
      <c r="C35" s="145"/>
      <c r="D35" s="24">
        <v>213.8</v>
      </c>
      <c r="E35" s="26">
        <v>212.35</v>
      </c>
      <c r="F35" s="11">
        <v>797.58199999999999</v>
      </c>
      <c r="G35" s="9">
        <v>0</v>
      </c>
      <c r="H35" s="25">
        <v>0</v>
      </c>
      <c r="I35" s="1">
        <v>0</v>
      </c>
      <c r="J35" s="1">
        <v>0</v>
      </c>
      <c r="K35" s="25">
        <v>15</v>
      </c>
      <c r="L35" s="25">
        <f t="shared" si="0"/>
        <v>15</v>
      </c>
      <c r="M35" s="34"/>
    </row>
    <row r="36" spans="1:14" ht="21" customHeight="1">
      <c r="A36" s="40"/>
      <c r="B36" s="13"/>
      <c r="C36" s="13"/>
      <c r="D36" s="14"/>
      <c r="E36" s="15"/>
      <c r="F36" s="14"/>
      <c r="G36" s="16">
        <f t="shared" ref="G36:H36" si="1">SUM(G5:G35)</f>
        <v>0</v>
      </c>
      <c r="H36" s="16">
        <f t="shared" si="1"/>
        <v>0</v>
      </c>
      <c r="I36" s="16">
        <f>SUM(I5:I35)</f>
        <v>150</v>
      </c>
      <c r="J36" s="16">
        <f t="shared" ref="J36:L36" si="2">SUM(J5:J35)</f>
        <v>0</v>
      </c>
      <c r="K36" s="16">
        <f t="shared" si="2"/>
        <v>70</v>
      </c>
      <c r="L36" s="16">
        <f t="shared" si="2"/>
        <v>220</v>
      </c>
      <c r="M36" s="41"/>
      <c r="N36" s="20"/>
    </row>
    <row r="37" spans="1:14" ht="47.25" customHeight="1">
      <c r="A37" s="42"/>
      <c r="B37" s="43"/>
      <c r="C37" s="5"/>
      <c r="D37" s="5"/>
      <c r="E37" s="5"/>
      <c r="F37" s="5"/>
      <c r="G37" s="150">
        <f>G36/11574</f>
        <v>0</v>
      </c>
      <c r="H37" s="150"/>
      <c r="I37" s="150">
        <f>I36/11574</f>
        <v>1.2960082944530845E-2</v>
      </c>
      <c r="J37" s="150">
        <f>J36/11574</f>
        <v>0</v>
      </c>
      <c r="K37" s="44"/>
      <c r="L37" s="44"/>
      <c r="M37" s="45"/>
    </row>
    <row r="38" spans="1:14" ht="15.75" customHeight="1">
      <c r="A38" s="118" t="s">
        <v>9</v>
      </c>
      <c r="B38" s="113"/>
      <c r="C38" s="113"/>
      <c r="D38" s="113"/>
      <c r="I38" s="118" t="s">
        <v>10</v>
      </c>
      <c r="J38" s="113"/>
      <c r="K38" s="113"/>
      <c r="L38" s="113"/>
      <c r="M38" s="45"/>
    </row>
    <row r="39" spans="1:14" ht="15.75" customHeight="1">
      <c r="A39" s="118" t="s">
        <v>16</v>
      </c>
      <c r="B39" s="113"/>
      <c r="C39" s="113"/>
      <c r="D39" s="113"/>
      <c r="I39" s="118" t="s">
        <v>16</v>
      </c>
      <c r="J39" s="113"/>
      <c r="K39" s="113"/>
      <c r="L39" s="113"/>
      <c r="M39" s="45"/>
    </row>
    <row r="40" spans="1:14" ht="15.75" customHeight="1">
      <c r="A40" s="112" t="s">
        <v>17</v>
      </c>
      <c r="B40" s="113"/>
      <c r="C40" s="113"/>
      <c r="D40" s="113"/>
      <c r="I40" s="112" t="s">
        <v>17</v>
      </c>
      <c r="J40" s="113"/>
      <c r="K40" s="113"/>
      <c r="L40" s="113"/>
      <c r="M40" s="45"/>
    </row>
    <row r="41" spans="1:14" ht="15.75" customHeight="1">
      <c r="M41" s="45"/>
    </row>
    <row r="42" spans="1:14" ht="15.75" customHeight="1">
      <c r="M42" s="45"/>
    </row>
    <row r="43" spans="1:14" ht="15.75" customHeight="1">
      <c r="M43" s="45"/>
    </row>
    <row r="44" spans="1:14" ht="15.75" customHeight="1">
      <c r="M44" s="45"/>
    </row>
    <row r="45" spans="1:14" ht="15.75" customHeight="1">
      <c r="M45" s="45"/>
    </row>
    <row r="46" spans="1:14" ht="15.75" customHeight="1">
      <c r="M46" s="45"/>
    </row>
    <row r="47" spans="1:14" ht="15.75" customHeight="1">
      <c r="M47" s="45"/>
    </row>
    <row r="48" spans="1:14" ht="15.75" customHeight="1">
      <c r="M48" s="45"/>
    </row>
    <row r="49" spans="13:13" ht="15.75" customHeight="1">
      <c r="M49" s="45"/>
    </row>
    <row r="50" spans="13:13" ht="15.75" customHeight="1">
      <c r="M50" s="45"/>
    </row>
    <row r="51" spans="13:13" ht="15.75" customHeight="1">
      <c r="M51" s="45"/>
    </row>
    <row r="52" spans="13:13" ht="15.75" customHeight="1">
      <c r="M52" s="45"/>
    </row>
    <row r="53" spans="13:13" ht="15.75" customHeight="1">
      <c r="M53" s="45"/>
    </row>
    <row r="54" spans="13:13" ht="15.75" customHeight="1">
      <c r="M54" s="45"/>
    </row>
    <row r="55" spans="13:13" ht="15.75" customHeight="1">
      <c r="M55" s="45"/>
    </row>
    <row r="56" spans="13:13" ht="15.75" customHeight="1">
      <c r="M56" s="45"/>
    </row>
    <row r="57" spans="13:13" ht="15.75" customHeight="1">
      <c r="M57" s="45"/>
    </row>
    <row r="58" spans="13:13" ht="15.75" customHeight="1">
      <c r="M58" s="45"/>
    </row>
    <row r="59" spans="13:13" ht="15.75" customHeight="1">
      <c r="M59" s="45"/>
    </row>
    <row r="60" spans="13:13" ht="15.75" customHeight="1">
      <c r="M60" s="45"/>
    </row>
    <row r="61" spans="13:13" ht="15.75" customHeight="1">
      <c r="M61" s="45"/>
    </row>
    <row r="62" spans="13:13" ht="15.75" customHeight="1">
      <c r="M62" s="45"/>
    </row>
    <row r="63" spans="13:13" ht="15.75" customHeight="1">
      <c r="M63" s="45"/>
    </row>
    <row r="64" spans="13:13" ht="15.75" customHeight="1">
      <c r="M64" s="45"/>
    </row>
    <row r="65" spans="13:13" ht="15.75" customHeight="1">
      <c r="M65" s="45"/>
    </row>
    <row r="66" spans="13:13" ht="15.75" customHeight="1">
      <c r="M66" s="45"/>
    </row>
    <row r="67" spans="13:13" ht="15.75" customHeight="1">
      <c r="M67" s="45"/>
    </row>
    <row r="68" spans="13:13" ht="15.75" customHeight="1">
      <c r="M68" s="45"/>
    </row>
    <row r="69" spans="13:13" ht="15.75" customHeight="1">
      <c r="M69" s="45"/>
    </row>
    <row r="70" spans="13:13" ht="15.75" customHeight="1">
      <c r="M70" s="45"/>
    </row>
    <row r="71" spans="13:13" ht="15.75" customHeight="1">
      <c r="M71" s="45"/>
    </row>
    <row r="72" spans="13:13" ht="15.75" customHeight="1">
      <c r="M72" s="45"/>
    </row>
    <row r="73" spans="13:13" ht="15.75" customHeight="1">
      <c r="M73" s="45"/>
    </row>
    <row r="74" spans="13:13" ht="15.75" customHeight="1">
      <c r="M74" s="45"/>
    </row>
    <row r="75" spans="13:13" ht="15.75" customHeight="1">
      <c r="M75" s="45"/>
    </row>
    <row r="76" spans="13:13" ht="15.75" customHeight="1">
      <c r="M76" s="45"/>
    </row>
    <row r="77" spans="13:13" ht="15.75" customHeight="1">
      <c r="M77" s="45"/>
    </row>
    <row r="78" spans="13:13" ht="15.75" customHeight="1">
      <c r="M78" s="45"/>
    </row>
    <row r="79" spans="13:13" ht="15.75" customHeight="1">
      <c r="M79" s="45"/>
    </row>
    <row r="80" spans="13:13" ht="15.75" customHeight="1">
      <c r="M80" s="45"/>
    </row>
    <row r="81" spans="13:13" ht="15.75" customHeight="1">
      <c r="M81" s="45"/>
    </row>
    <row r="82" spans="13:13" ht="15.75" customHeight="1">
      <c r="M82" s="45"/>
    </row>
    <row r="83" spans="13:13" ht="15.75" customHeight="1">
      <c r="M83" s="45"/>
    </row>
    <row r="84" spans="13:13" ht="15.75" customHeight="1">
      <c r="M84" s="45"/>
    </row>
    <row r="85" spans="13:13" ht="15.75" customHeight="1">
      <c r="M85" s="45"/>
    </row>
    <row r="86" spans="13:13" ht="15.75" customHeight="1">
      <c r="M86" s="45"/>
    </row>
    <row r="87" spans="13:13" ht="15.75" customHeight="1">
      <c r="M87" s="45"/>
    </row>
    <row r="88" spans="13:13" ht="15.75" customHeight="1">
      <c r="M88" s="45"/>
    </row>
    <row r="89" spans="13:13" ht="15.75" customHeight="1">
      <c r="M89" s="45"/>
    </row>
    <row r="90" spans="13:13" ht="15.75" customHeight="1">
      <c r="M90" s="45"/>
    </row>
    <row r="91" spans="13:13" ht="15.75" customHeight="1">
      <c r="M91" s="45"/>
    </row>
    <row r="92" spans="13:13" ht="15.75" customHeight="1">
      <c r="M92" s="45"/>
    </row>
    <row r="93" spans="13:13" ht="15.75" customHeight="1">
      <c r="M93" s="45"/>
    </row>
    <row r="94" spans="13:13" ht="15.75" customHeight="1">
      <c r="M94" s="45"/>
    </row>
    <row r="95" spans="13:13" ht="15.75" customHeight="1">
      <c r="M95" s="45"/>
    </row>
    <row r="96" spans="13:13" ht="15.75" customHeight="1">
      <c r="M96" s="45"/>
    </row>
    <row r="97" spans="13:13" ht="15.75" customHeight="1">
      <c r="M97" s="45"/>
    </row>
    <row r="98" spans="13:13" ht="15.75" customHeight="1">
      <c r="M98" s="45"/>
    </row>
    <row r="99" spans="13:13" ht="15.75" customHeight="1">
      <c r="M99" s="45"/>
    </row>
    <row r="100" spans="13:13" ht="15.75" customHeight="1">
      <c r="M100" s="45"/>
    </row>
    <row r="101" spans="13:13" ht="15.75" customHeight="1">
      <c r="M101" s="45"/>
    </row>
    <row r="102" spans="13:13" ht="15.75" customHeight="1">
      <c r="M102" s="45"/>
    </row>
  </sheetData>
  <mergeCells count="19">
    <mergeCell ref="A1:M2"/>
    <mergeCell ref="A3:A4"/>
    <mergeCell ref="B3:B4"/>
    <mergeCell ref="C3:C4"/>
    <mergeCell ref="D3:D4"/>
    <mergeCell ref="E3:E4"/>
    <mergeCell ref="F3:F4"/>
    <mergeCell ref="G3:G4"/>
    <mergeCell ref="H3:K3"/>
    <mergeCell ref="L3:L4"/>
    <mergeCell ref="A40:D40"/>
    <mergeCell ref="I40:L40"/>
    <mergeCell ref="M3:M4"/>
    <mergeCell ref="B5:B35"/>
    <mergeCell ref="C5:C35"/>
    <mergeCell ref="A38:D38"/>
    <mergeCell ref="I38:L38"/>
    <mergeCell ref="A39:D39"/>
    <mergeCell ref="I39:L39"/>
  </mergeCells>
  <pageMargins left="0.7" right="0.7" top="0.75" bottom="0.75" header="0" footer="0"/>
  <pageSetup paperSize="9" scale="7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00"/>
  <sheetViews>
    <sheetView topLeftCell="A28" workbookViewId="0">
      <selection activeCell="G35" sqref="G35:J35"/>
    </sheetView>
  </sheetViews>
  <sheetFormatPr defaultColWidth="14.42578125" defaultRowHeight="15" customHeight="1"/>
  <cols>
    <col min="1" max="1" width="12.42578125" style="29" customWidth="1"/>
    <col min="2" max="2" width="6.28515625" style="29" customWidth="1"/>
    <col min="3" max="3" width="5.140625" style="29" customWidth="1"/>
    <col min="4" max="4" width="10" style="29" customWidth="1"/>
    <col min="5" max="6" width="8.7109375" style="29" customWidth="1"/>
    <col min="7" max="7" width="9.85546875" style="29" customWidth="1"/>
    <col min="8" max="8" width="8.7109375" style="29" customWidth="1"/>
    <col min="9" max="9" width="8.42578125" style="29" customWidth="1"/>
    <col min="10" max="10" width="8.7109375" style="29" customWidth="1"/>
    <col min="11" max="11" width="6.42578125" style="29" customWidth="1"/>
    <col min="12" max="12" width="8.5703125" style="29" customWidth="1"/>
    <col min="13" max="13" width="8.85546875" style="29" customWidth="1"/>
    <col min="14" max="16384" width="14.42578125" style="29"/>
  </cols>
  <sheetData>
    <row r="1" spans="1:13" ht="14.25" customHeight="1">
      <c r="A1" s="132" t="s">
        <v>21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4"/>
    </row>
    <row r="2" spans="1:13" ht="15.75" customHeight="1">
      <c r="A2" s="135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7"/>
    </row>
    <row r="3" spans="1:13" ht="14.25" customHeight="1">
      <c r="A3" s="138" t="s">
        <v>0</v>
      </c>
      <c r="B3" s="139" t="s">
        <v>1</v>
      </c>
      <c r="C3" s="139" t="s">
        <v>2</v>
      </c>
      <c r="D3" s="138" t="s">
        <v>3</v>
      </c>
      <c r="E3" s="138" t="s">
        <v>4</v>
      </c>
      <c r="F3" s="138" t="s">
        <v>20</v>
      </c>
      <c r="G3" s="138" t="s">
        <v>5</v>
      </c>
      <c r="H3" s="140" t="s">
        <v>6</v>
      </c>
      <c r="I3" s="141"/>
      <c r="J3" s="141"/>
      <c r="K3" s="141"/>
      <c r="L3" s="142" t="s">
        <v>7</v>
      </c>
      <c r="M3" s="128" t="s">
        <v>8</v>
      </c>
    </row>
    <row r="4" spans="1:13" ht="51.75" customHeight="1">
      <c r="A4" s="143"/>
      <c r="B4" s="143"/>
      <c r="C4" s="143"/>
      <c r="D4" s="143"/>
      <c r="E4" s="143"/>
      <c r="F4" s="143"/>
      <c r="G4" s="143"/>
      <c r="H4" s="21" t="s">
        <v>15</v>
      </c>
      <c r="I4" s="21" t="s">
        <v>13</v>
      </c>
      <c r="J4" s="21" t="s">
        <v>18</v>
      </c>
      <c r="K4" s="21" t="s">
        <v>14</v>
      </c>
      <c r="L4" s="143"/>
      <c r="M4" s="143"/>
    </row>
    <row r="5" spans="1:13" ht="19.5" customHeight="1">
      <c r="A5" s="31">
        <v>45323</v>
      </c>
      <c r="B5" s="144" t="s">
        <v>11</v>
      </c>
      <c r="C5" s="144" t="s">
        <v>12</v>
      </c>
      <c r="D5" s="23">
        <v>213.8</v>
      </c>
      <c r="E5" s="32">
        <v>212.52</v>
      </c>
      <c r="F5" s="11">
        <v>815.35699999999997</v>
      </c>
      <c r="G5" s="33">
        <v>0</v>
      </c>
      <c r="H5" s="25">
        <v>0</v>
      </c>
      <c r="I5" s="1">
        <v>0</v>
      </c>
      <c r="J5" s="1">
        <v>0</v>
      </c>
      <c r="K5" s="25">
        <v>0</v>
      </c>
      <c r="L5" s="25">
        <f>K5+J5+I5+H5</f>
        <v>0</v>
      </c>
      <c r="M5" s="34"/>
    </row>
    <row r="6" spans="1:13" ht="19.5" customHeight="1">
      <c r="A6" s="31">
        <v>45324</v>
      </c>
      <c r="B6" s="129"/>
      <c r="C6" s="129"/>
      <c r="D6" s="23">
        <v>213.8</v>
      </c>
      <c r="E6" s="26">
        <v>212.53</v>
      </c>
      <c r="F6" s="11">
        <v>816.40200000000004</v>
      </c>
      <c r="G6" s="9">
        <v>12</v>
      </c>
      <c r="H6" s="25">
        <v>0</v>
      </c>
      <c r="I6" s="1">
        <v>0</v>
      </c>
      <c r="J6" s="1">
        <v>0</v>
      </c>
      <c r="K6" s="25">
        <v>0</v>
      </c>
      <c r="L6" s="25">
        <f t="shared" ref="L6:L33" si="0">K6+J6+I6+H6</f>
        <v>0</v>
      </c>
      <c r="M6" s="34"/>
    </row>
    <row r="7" spans="1:13" ht="19.5" customHeight="1">
      <c r="A7" s="31">
        <v>45325</v>
      </c>
      <c r="B7" s="129"/>
      <c r="C7" s="129"/>
      <c r="D7" s="23">
        <v>213.8</v>
      </c>
      <c r="E7" s="26">
        <v>212.53</v>
      </c>
      <c r="F7" s="11">
        <v>816.40200000000004</v>
      </c>
      <c r="G7" s="9">
        <v>0</v>
      </c>
      <c r="H7" s="25">
        <v>0</v>
      </c>
      <c r="I7" s="1">
        <v>0</v>
      </c>
      <c r="J7" s="1">
        <v>0</v>
      </c>
      <c r="K7" s="25">
        <v>0</v>
      </c>
      <c r="L7" s="25">
        <f t="shared" si="0"/>
        <v>0</v>
      </c>
      <c r="M7" s="34"/>
    </row>
    <row r="8" spans="1:13" ht="19.5" customHeight="1">
      <c r="A8" s="31">
        <v>45326</v>
      </c>
      <c r="B8" s="129"/>
      <c r="C8" s="129"/>
      <c r="D8" s="23">
        <v>213.8</v>
      </c>
      <c r="E8" s="26">
        <v>212.53</v>
      </c>
      <c r="F8" s="11">
        <v>816.40200000000004</v>
      </c>
      <c r="G8" s="9">
        <v>0</v>
      </c>
      <c r="H8" s="25">
        <v>0</v>
      </c>
      <c r="I8" s="1">
        <v>0</v>
      </c>
      <c r="J8" s="1">
        <v>0</v>
      </c>
      <c r="K8" s="25">
        <v>0</v>
      </c>
      <c r="L8" s="25">
        <f t="shared" si="0"/>
        <v>0</v>
      </c>
      <c r="M8" s="34"/>
    </row>
    <row r="9" spans="1:13" ht="19.5" customHeight="1">
      <c r="A9" s="31">
        <v>45327</v>
      </c>
      <c r="B9" s="129"/>
      <c r="C9" s="129"/>
      <c r="D9" s="23">
        <v>213.8</v>
      </c>
      <c r="E9" s="26">
        <v>212.53</v>
      </c>
      <c r="F9" s="11">
        <v>816.40200000000004</v>
      </c>
      <c r="G9" s="9">
        <v>0</v>
      </c>
      <c r="H9" s="25">
        <v>0</v>
      </c>
      <c r="I9" s="1">
        <v>0</v>
      </c>
      <c r="J9" s="1">
        <v>0</v>
      </c>
      <c r="K9" s="25">
        <v>0</v>
      </c>
      <c r="L9" s="25">
        <f t="shared" si="0"/>
        <v>0</v>
      </c>
      <c r="M9" s="34"/>
    </row>
    <row r="10" spans="1:13" ht="19.5" customHeight="1">
      <c r="A10" s="31">
        <v>45328</v>
      </c>
      <c r="B10" s="129"/>
      <c r="C10" s="129"/>
      <c r="D10" s="23">
        <v>213.8</v>
      </c>
      <c r="E10" s="26">
        <v>212.53</v>
      </c>
      <c r="F10" s="11">
        <v>816.40200000000004</v>
      </c>
      <c r="G10" s="9">
        <v>0</v>
      </c>
      <c r="H10" s="25">
        <v>0</v>
      </c>
      <c r="I10" s="1">
        <v>0</v>
      </c>
      <c r="J10" s="1">
        <v>0</v>
      </c>
      <c r="K10" s="25">
        <v>0</v>
      </c>
      <c r="L10" s="25">
        <f t="shared" si="0"/>
        <v>0</v>
      </c>
      <c r="M10" s="34"/>
    </row>
    <row r="11" spans="1:13" ht="19.5" customHeight="1">
      <c r="A11" s="31">
        <v>45329</v>
      </c>
      <c r="B11" s="129"/>
      <c r="C11" s="129"/>
      <c r="D11" s="23">
        <v>213.8</v>
      </c>
      <c r="E11" s="26">
        <v>212.53</v>
      </c>
      <c r="F11" s="11">
        <v>816.40200000000004</v>
      </c>
      <c r="G11" s="9">
        <v>0</v>
      </c>
      <c r="H11" s="25">
        <v>0</v>
      </c>
      <c r="I11" s="1">
        <v>0</v>
      </c>
      <c r="J11" s="1">
        <v>0</v>
      </c>
      <c r="K11" s="25">
        <v>0</v>
      </c>
      <c r="L11" s="25">
        <f t="shared" si="0"/>
        <v>0</v>
      </c>
      <c r="M11" s="34"/>
    </row>
    <row r="12" spans="1:13" ht="19.5" customHeight="1">
      <c r="A12" s="31">
        <v>45330</v>
      </c>
      <c r="B12" s="129"/>
      <c r="C12" s="129"/>
      <c r="D12" s="23">
        <v>213.8</v>
      </c>
      <c r="E12" s="26">
        <v>212.53</v>
      </c>
      <c r="F12" s="11">
        <v>816.40200000000004</v>
      </c>
      <c r="G12" s="9">
        <v>0</v>
      </c>
      <c r="H12" s="25">
        <v>0</v>
      </c>
      <c r="I12" s="1">
        <v>0</v>
      </c>
      <c r="J12" s="1">
        <v>0</v>
      </c>
      <c r="K12" s="25">
        <v>0</v>
      </c>
      <c r="L12" s="25">
        <f t="shared" si="0"/>
        <v>0</v>
      </c>
      <c r="M12" s="34"/>
    </row>
    <row r="13" spans="1:13" ht="19.5" customHeight="1">
      <c r="A13" s="31">
        <v>45331</v>
      </c>
      <c r="B13" s="129"/>
      <c r="C13" s="129"/>
      <c r="D13" s="23">
        <v>213.8</v>
      </c>
      <c r="E13" s="26">
        <v>212.53</v>
      </c>
      <c r="F13" s="11">
        <v>816.40200000000004</v>
      </c>
      <c r="G13" s="9">
        <v>0</v>
      </c>
      <c r="H13" s="25">
        <v>0</v>
      </c>
      <c r="I13" s="1">
        <v>0</v>
      </c>
      <c r="J13" s="1">
        <v>0</v>
      </c>
      <c r="K13" s="25">
        <v>0</v>
      </c>
      <c r="L13" s="25">
        <f t="shared" si="0"/>
        <v>0</v>
      </c>
      <c r="M13" s="34"/>
    </row>
    <row r="14" spans="1:13" ht="19.5" customHeight="1">
      <c r="A14" s="31">
        <v>45332</v>
      </c>
      <c r="B14" s="129"/>
      <c r="C14" s="129"/>
      <c r="D14" s="23">
        <v>213.8</v>
      </c>
      <c r="E14" s="26">
        <v>212.53</v>
      </c>
      <c r="F14" s="11">
        <v>816.40200000000004</v>
      </c>
      <c r="G14" s="9">
        <v>0</v>
      </c>
      <c r="H14" s="25">
        <v>0</v>
      </c>
      <c r="I14" s="1">
        <v>0</v>
      </c>
      <c r="J14" s="1">
        <v>0</v>
      </c>
      <c r="K14" s="25">
        <v>0</v>
      </c>
      <c r="L14" s="25">
        <f t="shared" si="0"/>
        <v>0</v>
      </c>
      <c r="M14" s="34"/>
    </row>
    <row r="15" spans="1:13" ht="19.5" customHeight="1">
      <c r="A15" s="31">
        <v>45333</v>
      </c>
      <c r="B15" s="129"/>
      <c r="C15" s="129"/>
      <c r="D15" s="23">
        <v>213.8</v>
      </c>
      <c r="E15" s="26">
        <v>212.53</v>
      </c>
      <c r="F15" s="11">
        <v>816.40200000000004</v>
      </c>
      <c r="G15" s="9">
        <v>0</v>
      </c>
      <c r="H15" s="25">
        <v>0</v>
      </c>
      <c r="I15" s="1">
        <v>0</v>
      </c>
      <c r="J15" s="1">
        <v>0</v>
      </c>
      <c r="K15" s="25">
        <v>0</v>
      </c>
      <c r="L15" s="25">
        <f t="shared" si="0"/>
        <v>0</v>
      </c>
      <c r="M15" s="34"/>
    </row>
    <row r="16" spans="1:13" ht="19.5" customHeight="1">
      <c r="A16" s="31">
        <v>45334</v>
      </c>
      <c r="B16" s="129"/>
      <c r="C16" s="129"/>
      <c r="D16" s="23">
        <v>213.8</v>
      </c>
      <c r="E16" s="26">
        <v>212.53</v>
      </c>
      <c r="F16" s="11">
        <v>816.40200000000004</v>
      </c>
      <c r="G16" s="9">
        <v>0</v>
      </c>
      <c r="H16" s="25">
        <v>0</v>
      </c>
      <c r="I16" s="1">
        <v>0</v>
      </c>
      <c r="J16" s="1">
        <v>0</v>
      </c>
      <c r="K16" s="25">
        <v>0</v>
      </c>
      <c r="L16" s="25">
        <f t="shared" si="0"/>
        <v>0</v>
      </c>
      <c r="M16" s="34"/>
    </row>
    <row r="17" spans="1:14" ht="19.5" customHeight="1">
      <c r="A17" s="31">
        <v>45335</v>
      </c>
      <c r="B17" s="129"/>
      <c r="C17" s="129"/>
      <c r="D17" s="23">
        <v>213.8</v>
      </c>
      <c r="E17" s="26">
        <v>212.53</v>
      </c>
      <c r="F17" s="11">
        <v>816.40200000000004</v>
      </c>
      <c r="G17" s="9">
        <v>0</v>
      </c>
      <c r="H17" s="25">
        <v>0</v>
      </c>
      <c r="I17" s="1">
        <v>0</v>
      </c>
      <c r="J17" s="1">
        <v>0</v>
      </c>
      <c r="K17" s="25">
        <v>0</v>
      </c>
      <c r="L17" s="25">
        <f t="shared" si="0"/>
        <v>0</v>
      </c>
      <c r="M17" s="34"/>
    </row>
    <row r="18" spans="1:14" ht="19.5" customHeight="1">
      <c r="A18" s="31">
        <v>45336</v>
      </c>
      <c r="B18" s="129"/>
      <c r="C18" s="129"/>
      <c r="D18" s="23">
        <v>213.8</v>
      </c>
      <c r="E18" s="26">
        <v>212.53</v>
      </c>
      <c r="F18" s="11">
        <v>816.40200000000004</v>
      </c>
      <c r="G18" s="9">
        <v>0</v>
      </c>
      <c r="H18" s="25">
        <v>0</v>
      </c>
      <c r="I18" s="1">
        <v>0</v>
      </c>
      <c r="J18" s="1">
        <v>0</v>
      </c>
      <c r="K18" s="25">
        <v>0</v>
      </c>
      <c r="L18" s="25">
        <f t="shared" si="0"/>
        <v>0</v>
      </c>
      <c r="M18" s="34"/>
    </row>
    <row r="19" spans="1:14" ht="19.5" customHeight="1">
      <c r="A19" s="31">
        <v>45337</v>
      </c>
      <c r="B19" s="129"/>
      <c r="C19" s="129"/>
      <c r="D19" s="23">
        <v>213.8</v>
      </c>
      <c r="E19" s="26">
        <v>212.53</v>
      </c>
      <c r="F19" s="11">
        <v>816.40200000000004</v>
      </c>
      <c r="G19" s="9">
        <v>0</v>
      </c>
      <c r="H19" s="25">
        <v>0</v>
      </c>
      <c r="I19" s="1">
        <v>0</v>
      </c>
      <c r="J19" s="1">
        <v>0</v>
      </c>
      <c r="K19" s="25">
        <v>0</v>
      </c>
      <c r="L19" s="25">
        <f t="shared" si="0"/>
        <v>0</v>
      </c>
      <c r="M19" s="34"/>
    </row>
    <row r="20" spans="1:14" ht="19.5" customHeight="1">
      <c r="A20" s="31">
        <v>45338</v>
      </c>
      <c r="B20" s="129"/>
      <c r="C20" s="129"/>
      <c r="D20" s="23">
        <v>213.8</v>
      </c>
      <c r="E20" s="26">
        <v>212.53</v>
      </c>
      <c r="F20" s="11">
        <v>816.40200000000004</v>
      </c>
      <c r="G20" s="9">
        <v>0</v>
      </c>
      <c r="H20" s="25">
        <v>0</v>
      </c>
      <c r="I20" s="1">
        <v>0</v>
      </c>
      <c r="J20" s="1">
        <v>0</v>
      </c>
      <c r="K20" s="25">
        <v>0</v>
      </c>
      <c r="L20" s="25">
        <f t="shared" si="0"/>
        <v>0</v>
      </c>
      <c r="M20" s="34"/>
    </row>
    <row r="21" spans="1:14" ht="19.5" customHeight="1">
      <c r="A21" s="31">
        <v>45339</v>
      </c>
      <c r="B21" s="129"/>
      <c r="C21" s="129"/>
      <c r="D21" s="23">
        <v>213.8</v>
      </c>
      <c r="E21" s="26">
        <v>212.53</v>
      </c>
      <c r="F21" s="11">
        <v>816.40200000000004</v>
      </c>
      <c r="G21" s="9">
        <v>0</v>
      </c>
      <c r="H21" s="25">
        <v>0</v>
      </c>
      <c r="I21" s="1">
        <v>0</v>
      </c>
      <c r="J21" s="1">
        <v>0</v>
      </c>
      <c r="K21" s="25">
        <v>0</v>
      </c>
      <c r="L21" s="25">
        <f t="shared" si="0"/>
        <v>0</v>
      </c>
      <c r="M21" s="34"/>
    </row>
    <row r="22" spans="1:14" ht="19.5" customHeight="1">
      <c r="A22" s="31">
        <v>45340</v>
      </c>
      <c r="B22" s="129"/>
      <c r="C22" s="129"/>
      <c r="D22" s="23">
        <v>213.8</v>
      </c>
      <c r="E22" s="26">
        <v>212.53</v>
      </c>
      <c r="F22" s="11">
        <v>816.40200000000004</v>
      </c>
      <c r="G22" s="9">
        <v>0</v>
      </c>
      <c r="H22" s="25">
        <v>0</v>
      </c>
      <c r="I22" s="1">
        <v>0</v>
      </c>
      <c r="J22" s="1">
        <v>0</v>
      </c>
      <c r="K22" s="25">
        <v>0</v>
      </c>
      <c r="L22" s="25">
        <f t="shared" si="0"/>
        <v>0</v>
      </c>
      <c r="M22" s="34"/>
    </row>
    <row r="23" spans="1:14" ht="19.5" customHeight="1">
      <c r="A23" s="31">
        <v>45341</v>
      </c>
      <c r="B23" s="129"/>
      <c r="C23" s="129"/>
      <c r="D23" s="23">
        <v>213.8</v>
      </c>
      <c r="E23" s="26">
        <v>212.53</v>
      </c>
      <c r="F23" s="11">
        <v>816.40200000000004</v>
      </c>
      <c r="G23" s="9">
        <v>0</v>
      </c>
      <c r="H23" s="25">
        <v>0</v>
      </c>
      <c r="I23" s="1">
        <v>0</v>
      </c>
      <c r="J23" s="1">
        <v>0</v>
      </c>
      <c r="K23" s="25">
        <v>0</v>
      </c>
      <c r="L23" s="25">
        <f t="shared" si="0"/>
        <v>0</v>
      </c>
      <c r="M23" s="34"/>
    </row>
    <row r="24" spans="1:14" ht="19.5" customHeight="1">
      <c r="A24" s="31">
        <v>45342</v>
      </c>
      <c r="B24" s="129"/>
      <c r="C24" s="129"/>
      <c r="D24" s="23">
        <v>213.8</v>
      </c>
      <c r="E24" s="26">
        <v>212.53</v>
      </c>
      <c r="F24" s="11">
        <v>816.40200000000004</v>
      </c>
      <c r="G24" s="9">
        <v>0</v>
      </c>
      <c r="H24" s="25">
        <v>0</v>
      </c>
      <c r="I24" s="1">
        <v>0</v>
      </c>
      <c r="J24" s="1">
        <v>0</v>
      </c>
      <c r="K24" s="25">
        <v>0</v>
      </c>
      <c r="L24" s="25">
        <f t="shared" si="0"/>
        <v>0</v>
      </c>
      <c r="M24" s="34"/>
    </row>
    <row r="25" spans="1:14" ht="19.5" customHeight="1">
      <c r="A25" s="31">
        <v>45343</v>
      </c>
      <c r="B25" s="129"/>
      <c r="C25" s="129"/>
      <c r="D25" s="23">
        <v>213.8</v>
      </c>
      <c r="E25" s="26">
        <v>212.53</v>
      </c>
      <c r="F25" s="11">
        <v>816.40200000000004</v>
      </c>
      <c r="G25" s="9">
        <v>0</v>
      </c>
      <c r="H25" s="25">
        <v>0</v>
      </c>
      <c r="I25" s="1">
        <v>0</v>
      </c>
      <c r="J25" s="1">
        <v>0</v>
      </c>
      <c r="K25" s="25">
        <v>0</v>
      </c>
      <c r="L25" s="25">
        <f t="shared" si="0"/>
        <v>0</v>
      </c>
      <c r="M25" s="34"/>
    </row>
    <row r="26" spans="1:14" ht="19.5" customHeight="1">
      <c r="A26" s="31">
        <v>45344</v>
      </c>
      <c r="B26" s="129"/>
      <c r="C26" s="129"/>
      <c r="D26" s="23">
        <v>213.8</v>
      </c>
      <c r="E26" s="26">
        <v>212.53</v>
      </c>
      <c r="F26" s="11">
        <v>816.40200000000004</v>
      </c>
      <c r="G26" s="9">
        <v>0</v>
      </c>
      <c r="H26" s="25">
        <v>0</v>
      </c>
      <c r="I26" s="1">
        <v>0</v>
      </c>
      <c r="J26" s="1">
        <v>0</v>
      </c>
      <c r="K26" s="25">
        <v>0</v>
      </c>
      <c r="L26" s="25">
        <f t="shared" si="0"/>
        <v>0</v>
      </c>
      <c r="M26" s="34"/>
      <c r="N26" s="19"/>
    </row>
    <row r="27" spans="1:14" ht="19.5" customHeight="1">
      <c r="A27" s="31">
        <v>45345</v>
      </c>
      <c r="B27" s="129"/>
      <c r="C27" s="129"/>
      <c r="D27" s="23">
        <v>213.8</v>
      </c>
      <c r="E27" s="26">
        <v>212.53</v>
      </c>
      <c r="F27" s="11">
        <v>816.40200000000004</v>
      </c>
      <c r="G27" s="9">
        <v>0</v>
      </c>
      <c r="H27" s="25">
        <v>0</v>
      </c>
      <c r="I27" s="1">
        <v>0</v>
      </c>
      <c r="J27" s="1">
        <v>0</v>
      </c>
      <c r="K27" s="25">
        <v>0</v>
      </c>
      <c r="L27" s="25">
        <f t="shared" si="0"/>
        <v>0</v>
      </c>
      <c r="M27" s="34"/>
    </row>
    <row r="28" spans="1:14" ht="19.5" customHeight="1">
      <c r="A28" s="31">
        <v>45346</v>
      </c>
      <c r="B28" s="129"/>
      <c r="C28" s="129"/>
      <c r="D28" s="23">
        <v>213.8</v>
      </c>
      <c r="E28" s="26">
        <v>212.53</v>
      </c>
      <c r="F28" s="11">
        <v>816.40200000000004</v>
      </c>
      <c r="G28" s="9">
        <v>0</v>
      </c>
      <c r="H28" s="25">
        <v>0</v>
      </c>
      <c r="I28" s="1">
        <v>0</v>
      </c>
      <c r="J28" s="1">
        <v>0</v>
      </c>
      <c r="K28" s="25">
        <v>0</v>
      </c>
      <c r="L28" s="25">
        <f t="shared" si="0"/>
        <v>0</v>
      </c>
      <c r="M28" s="34"/>
    </row>
    <row r="29" spans="1:14" ht="19.5" customHeight="1">
      <c r="A29" s="31">
        <v>45347</v>
      </c>
      <c r="B29" s="129"/>
      <c r="C29" s="129"/>
      <c r="D29" s="23">
        <v>213.8</v>
      </c>
      <c r="E29" s="26">
        <v>212.53</v>
      </c>
      <c r="F29" s="11">
        <v>816.40200000000004</v>
      </c>
      <c r="G29" s="9">
        <v>0</v>
      </c>
      <c r="H29" s="25">
        <v>0</v>
      </c>
      <c r="I29" s="1">
        <v>0</v>
      </c>
      <c r="J29" s="1">
        <v>0</v>
      </c>
      <c r="K29" s="25">
        <v>0</v>
      </c>
      <c r="L29" s="25">
        <f t="shared" si="0"/>
        <v>0</v>
      </c>
      <c r="M29" s="34"/>
    </row>
    <row r="30" spans="1:14" ht="19.5" customHeight="1">
      <c r="A30" s="31">
        <v>45348</v>
      </c>
      <c r="B30" s="129"/>
      <c r="C30" s="129"/>
      <c r="D30" s="23">
        <v>213.8</v>
      </c>
      <c r="E30" s="26">
        <v>212.53</v>
      </c>
      <c r="F30" s="11">
        <v>816.40200000000004</v>
      </c>
      <c r="G30" s="9">
        <v>0</v>
      </c>
      <c r="H30" s="25">
        <v>0</v>
      </c>
      <c r="I30" s="1">
        <v>0</v>
      </c>
      <c r="J30" s="1">
        <v>0</v>
      </c>
      <c r="K30" s="25">
        <v>0</v>
      </c>
      <c r="L30" s="25">
        <f t="shared" si="0"/>
        <v>0</v>
      </c>
      <c r="M30" s="34"/>
    </row>
    <row r="31" spans="1:14" ht="21" customHeight="1">
      <c r="A31" s="31">
        <v>45349</v>
      </c>
      <c r="B31" s="129"/>
      <c r="C31" s="129"/>
      <c r="D31" s="23">
        <v>213.8</v>
      </c>
      <c r="E31" s="26">
        <v>212.53</v>
      </c>
      <c r="F31" s="11">
        <v>816.40200000000004</v>
      </c>
      <c r="G31" s="9">
        <v>0</v>
      </c>
      <c r="H31" s="25">
        <v>0</v>
      </c>
      <c r="I31" s="1">
        <v>0</v>
      </c>
      <c r="J31" s="1">
        <v>0</v>
      </c>
      <c r="K31" s="25">
        <v>0</v>
      </c>
      <c r="L31" s="25">
        <f t="shared" si="0"/>
        <v>0</v>
      </c>
      <c r="M31" s="34"/>
    </row>
    <row r="32" spans="1:14" ht="21" customHeight="1">
      <c r="A32" s="31">
        <v>45350</v>
      </c>
      <c r="B32" s="129"/>
      <c r="C32" s="129"/>
      <c r="D32" s="23">
        <v>213.8</v>
      </c>
      <c r="E32" s="26">
        <v>212.53</v>
      </c>
      <c r="F32" s="11">
        <v>816.40200000000004</v>
      </c>
      <c r="G32" s="9">
        <v>0</v>
      </c>
      <c r="H32" s="25">
        <v>0</v>
      </c>
      <c r="I32" s="1">
        <v>0</v>
      </c>
      <c r="J32" s="1">
        <v>0</v>
      </c>
      <c r="K32" s="25">
        <v>0</v>
      </c>
      <c r="L32" s="25">
        <f t="shared" si="0"/>
        <v>0</v>
      </c>
      <c r="M32" s="34"/>
    </row>
    <row r="33" spans="1:14" ht="21" customHeight="1">
      <c r="A33" s="35">
        <v>45351</v>
      </c>
      <c r="B33" s="145"/>
      <c r="C33" s="145"/>
      <c r="D33" s="24">
        <v>213.8</v>
      </c>
      <c r="E33" s="26">
        <v>212.53</v>
      </c>
      <c r="F33" s="36">
        <v>816.40200000000004</v>
      </c>
      <c r="G33" s="9">
        <v>0</v>
      </c>
      <c r="H33" s="37">
        <v>0</v>
      </c>
      <c r="I33" s="38">
        <v>0</v>
      </c>
      <c r="J33" s="38">
        <v>0</v>
      </c>
      <c r="K33" s="37">
        <v>0</v>
      </c>
      <c r="L33" s="37">
        <f t="shared" si="0"/>
        <v>0</v>
      </c>
      <c r="M33" s="39"/>
    </row>
    <row r="34" spans="1:14" ht="21" customHeight="1">
      <c r="A34" s="40"/>
      <c r="B34" s="13"/>
      <c r="C34" s="13"/>
      <c r="D34" s="14"/>
      <c r="E34" s="15"/>
      <c r="F34" s="14"/>
      <c r="G34" s="16">
        <f>SUM(G5:G33)</f>
        <v>12</v>
      </c>
      <c r="H34" s="16">
        <f>SUM(H5:H33)</f>
        <v>0</v>
      </c>
      <c r="I34" s="16">
        <f>SUM(I5:I33)</f>
        <v>0</v>
      </c>
      <c r="J34" s="16">
        <f>SUM(J5:J33)</f>
        <v>0</v>
      </c>
      <c r="K34" s="17"/>
      <c r="L34" s="17"/>
      <c r="M34" s="41"/>
      <c r="N34" s="20"/>
    </row>
    <row r="35" spans="1:14" ht="47.25" customHeight="1">
      <c r="A35" s="42"/>
      <c r="B35" s="43"/>
      <c r="C35" s="5"/>
      <c r="D35" s="5"/>
      <c r="E35" s="5"/>
      <c r="F35" s="5"/>
      <c r="G35" s="150">
        <f>G34/11574</f>
        <v>1.0368066355624676E-3</v>
      </c>
      <c r="H35" s="150"/>
      <c r="I35" s="150">
        <f>I34/11574</f>
        <v>0</v>
      </c>
      <c r="J35" s="150">
        <f>J34/11574</f>
        <v>0</v>
      </c>
      <c r="K35" s="44"/>
      <c r="L35" s="44"/>
      <c r="M35" s="45"/>
    </row>
    <row r="36" spans="1:14" ht="15.75" customHeight="1">
      <c r="A36" s="118" t="s">
        <v>9</v>
      </c>
      <c r="B36" s="113"/>
      <c r="C36" s="113"/>
      <c r="D36" s="113"/>
      <c r="I36" s="118" t="s">
        <v>10</v>
      </c>
      <c r="J36" s="113"/>
      <c r="K36" s="113"/>
      <c r="L36" s="113"/>
      <c r="M36" s="45"/>
    </row>
    <row r="37" spans="1:14" ht="15.75" customHeight="1">
      <c r="A37" s="118" t="s">
        <v>16</v>
      </c>
      <c r="B37" s="113"/>
      <c r="C37" s="113"/>
      <c r="D37" s="113"/>
      <c r="I37" s="118" t="s">
        <v>16</v>
      </c>
      <c r="J37" s="113"/>
      <c r="K37" s="113"/>
      <c r="L37" s="113"/>
      <c r="M37" s="45"/>
    </row>
    <row r="38" spans="1:14" ht="15.75" customHeight="1">
      <c r="A38" s="112" t="s">
        <v>17</v>
      </c>
      <c r="B38" s="113"/>
      <c r="C38" s="113"/>
      <c r="D38" s="113"/>
      <c r="I38" s="112" t="s">
        <v>17</v>
      </c>
      <c r="J38" s="113"/>
      <c r="K38" s="113"/>
      <c r="L38" s="113"/>
      <c r="M38" s="45"/>
    </row>
    <row r="39" spans="1:14" ht="15.75" customHeight="1">
      <c r="M39" s="45"/>
    </row>
    <row r="40" spans="1:14" ht="15.75" customHeight="1">
      <c r="M40" s="45"/>
    </row>
    <row r="41" spans="1:14" ht="15.75" customHeight="1">
      <c r="M41" s="45"/>
    </row>
    <row r="42" spans="1:14" ht="15.75" customHeight="1">
      <c r="M42" s="45"/>
    </row>
    <row r="43" spans="1:14" ht="15.75" customHeight="1">
      <c r="M43" s="45"/>
    </row>
    <row r="44" spans="1:14" ht="15.75" customHeight="1">
      <c r="M44" s="45"/>
    </row>
    <row r="45" spans="1:14" ht="15.75" customHeight="1">
      <c r="M45" s="45"/>
    </row>
    <row r="46" spans="1:14" ht="15.75" customHeight="1">
      <c r="M46" s="45"/>
    </row>
    <row r="47" spans="1:14" ht="15.75" customHeight="1">
      <c r="M47" s="45"/>
    </row>
    <row r="48" spans="1:14" ht="15.75" customHeight="1">
      <c r="M48" s="45"/>
    </row>
    <row r="49" spans="13:13" ht="15.75" customHeight="1">
      <c r="M49" s="45"/>
    </row>
    <row r="50" spans="13:13" ht="15.75" customHeight="1">
      <c r="M50" s="45"/>
    </row>
    <row r="51" spans="13:13" ht="15.75" customHeight="1">
      <c r="M51" s="45"/>
    </row>
    <row r="52" spans="13:13" ht="15.75" customHeight="1">
      <c r="M52" s="45"/>
    </row>
    <row r="53" spans="13:13" ht="15.75" customHeight="1">
      <c r="M53" s="45"/>
    </row>
    <row r="54" spans="13:13" ht="15.75" customHeight="1">
      <c r="M54" s="45"/>
    </row>
    <row r="55" spans="13:13" ht="15.75" customHeight="1">
      <c r="M55" s="45"/>
    </row>
    <row r="56" spans="13:13" ht="15.75" customHeight="1">
      <c r="M56" s="45"/>
    </row>
    <row r="57" spans="13:13" ht="15.75" customHeight="1">
      <c r="M57" s="45"/>
    </row>
    <row r="58" spans="13:13" ht="15.75" customHeight="1">
      <c r="M58" s="45"/>
    </row>
    <row r="59" spans="13:13" ht="15.75" customHeight="1">
      <c r="M59" s="45"/>
    </row>
    <row r="60" spans="13:13" ht="15.75" customHeight="1">
      <c r="M60" s="45"/>
    </row>
    <row r="61" spans="13:13" ht="15.75" customHeight="1">
      <c r="M61" s="45"/>
    </row>
    <row r="62" spans="13:13" ht="15.75" customHeight="1">
      <c r="M62" s="45"/>
    </row>
    <row r="63" spans="13:13" ht="15.75" customHeight="1">
      <c r="M63" s="45"/>
    </row>
    <row r="64" spans="13:13" ht="15.75" customHeight="1">
      <c r="M64" s="45"/>
    </row>
    <row r="65" spans="13:13" ht="15.75" customHeight="1">
      <c r="M65" s="45"/>
    </row>
    <row r="66" spans="13:13" ht="15.75" customHeight="1">
      <c r="M66" s="45"/>
    </row>
    <row r="67" spans="13:13" ht="15.75" customHeight="1">
      <c r="M67" s="45"/>
    </row>
    <row r="68" spans="13:13" ht="15.75" customHeight="1">
      <c r="M68" s="45"/>
    </row>
    <row r="69" spans="13:13" ht="15.75" customHeight="1">
      <c r="M69" s="45"/>
    </row>
    <row r="70" spans="13:13" ht="15.75" customHeight="1">
      <c r="M70" s="45"/>
    </row>
    <row r="71" spans="13:13" ht="15.75" customHeight="1">
      <c r="M71" s="45"/>
    </row>
    <row r="72" spans="13:13" ht="15.75" customHeight="1">
      <c r="M72" s="45"/>
    </row>
    <row r="73" spans="13:13" ht="15.75" customHeight="1">
      <c r="M73" s="45"/>
    </row>
    <row r="74" spans="13:13" ht="15.75" customHeight="1">
      <c r="M74" s="45"/>
    </row>
    <row r="75" spans="13:13" ht="15.75" customHeight="1">
      <c r="M75" s="45"/>
    </row>
    <row r="76" spans="13:13" ht="15.75" customHeight="1">
      <c r="M76" s="45"/>
    </row>
    <row r="77" spans="13:13" ht="15.75" customHeight="1">
      <c r="M77" s="45"/>
    </row>
    <row r="78" spans="13:13" ht="15.75" customHeight="1">
      <c r="M78" s="45"/>
    </row>
    <row r="79" spans="13:13" ht="15.75" customHeight="1">
      <c r="M79" s="45"/>
    </row>
    <row r="80" spans="13:13" ht="15.75" customHeight="1">
      <c r="M80" s="45"/>
    </row>
    <row r="81" spans="13:13" ht="15.75" customHeight="1">
      <c r="M81" s="45"/>
    </row>
    <row r="82" spans="13:13" ht="15.75" customHeight="1">
      <c r="M82" s="45"/>
    </row>
    <row r="83" spans="13:13" ht="15.75" customHeight="1">
      <c r="M83" s="45"/>
    </row>
    <row r="84" spans="13:13" ht="15.75" customHeight="1">
      <c r="M84" s="45"/>
    </row>
    <row r="85" spans="13:13" ht="15.75" customHeight="1">
      <c r="M85" s="45"/>
    </row>
    <row r="86" spans="13:13" ht="15.75" customHeight="1">
      <c r="M86" s="45"/>
    </row>
    <row r="87" spans="13:13" ht="15.75" customHeight="1">
      <c r="M87" s="45"/>
    </row>
    <row r="88" spans="13:13" ht="15.75" customHeight="1">
      <c r="M88" s="45"/>
    </row>
    <row r="89" spans="13:13" ht="15.75" customHeight="1">
      <c r="M89" s="45"/>
    </row>
    <row r="90" spans="13:13" ht="15.75" customHeight="1">
      <c r="M90" s="45"/>
    </row>
    <row r="91" spans="13:13" ht="15.75" customHeight="1">
      <c r="M91" s="45"/>
    </row>
    <row r="92" spans="13:13" ht="15.75" customHeight="1">
      <c r="M92" s="45"/>
    </row>
    <row r="93" spans="13:13" ht="15.75" customHeight="1">
      <c r="M93" s="45"/>
    </row>
    <row r="94" spans="13:13" ht="15.75" customHeight="1">
      <c r="M94" s="45"/>
    </row>
    <row r="95" spans="13:13" ht="15.75" customHeight="1">
      <c r="M95" s="45"/>
    </row>
    <row r="96" spans="13:13" ht="15.75" customHeight="1">
      <c r="M96" s="45"/>
    </row>
    <row r="97" spans="13:13" ht="15.75" customHeight="1">
      <c r="M97" s="45"/>
    </row>
    <row r="98" spans="13:13" ht="15.75" customHeight="1">
      <c r="M98" s="45"/>
    </row>
    <row r="99" spans="13:13" ht="15.75" customHeight="1">
      <c r="M99" s="45"/>
    </row>
    <row r="100" spans="13:13" ht="15.75" customHeight="1">
      <c r="M100" s="45"/>
    </row>
  </sheetData>
  <mergeCells count="19">
    <mergeCell ref="A1:M2"/>
    <mergeCell ref="A3:A4"/>
    <mergeCell ref="B3:B4"/>
    <mergeCell ref="C3:C4"/>
    <mergeCell ref="D3:D4"/>
    <mergeCell ref="E3:E4"/>
    <mergeCell ref="F3:F4"/>
    <mergeCell ref="G3:G4"/>
    <mergeCell ref="H3:K3"/>
    <mergeCell ref="L3:L4"/>
    <mergeCell ref="A38:D38"/>
    <mergeCell ref="I38:L38"/>
    <mergeCell ref="M3:M4"/>
    <mergeCell ref="B5:B33"/>
    <mergeCell ref="C5:C33"/>
    <mergeCell ref="A36:D36"/>
    <mergeCell ref="I36:L36"/>
    <mergeCell ref="A37:D37"/>
    <mergeCell ref="I37:L37"/>
  </mergeCells>
  <pageMargins left="0.7" right="0.7" top="0.75" bottom="0.75" header="0" footer="0"/>
  <pageSetup paperSize="9" scale="7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02"/>
  <sheetViews>
    <sheetView topLeftCell="A28" workbookViewId="0">
      <selection activeCell="E21" sqref="E21"/>
    </sheetView>
  </sheetViews>
  <sheetFormatPr defaultColWidth="14.42578125" defaultRowHeight="15" customHeight="1"/>
  <cols>
    <col min="1" max="1" width="12.42578125" customWidth="1"/>
    <col min="2" max="2" width="6.28515625" customWidth="1"/>
    <col min="3" max="3" width="5.140625" customWidth="1"/>
    <col min="4" max="4" width="10" customWidth="1"/>
    <col min="5" max="6" width="8.7109375" customWidth="1"/>
    <col min="7" max="7" width="9.85546875" customWidth="1"/>
    <col min="8" max="8" width="8.7109375" customWidth="1"/>
    <col min="9" max="9" width="8.42578125" customWidth="1"/>
    <col min="10" max="10" width="8.7109375" customWidth="1"/>
    <col min="11" max="11" width="6.42578125" customWidth="1"/>
    <col min="12" max="12" width="8.5703125" customWidth="1"/>
    <col min="13" max="13" width="8.85546875" customWidth="1"/>
  </cols>
  <sheetData>
    <row r="1" spans="1:13" ht="14.25" customHeight="1">
      <c r="A1" s="132" t="s">
        <v>19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4"/>
    </row>
    <row r="2" spans="1:13" ht="15.75" customHeight="1">
      <c r="A2" s="135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7"/>
    </row>
    <row r="3" spans="1:13" ht="14.25" customHeight="1">
      <c r="A3" s="138" t="s">
        <v>0</v>
      </c>
      <c r="B3" s="139" t="s">
        <v>1</v>
      </c>
      <c r="C3" s="139" t="s">
        <v>2</v>
      </c>
      <c r="D3" s="138" t="s">
        <v>3</v>
      </c>
      <c r="E3" s="138" t="s">
        <v>4</v>
      </c>
      <c r="F3" s="138" t="s">
        <v>20</v>
      </c>
      <c r="G3" s="138" t="s">
        <v>5</v>
      </c>
      <c r="H3" s="140" t="s">
        <v>6</v>
      </c>
      <c r="I3" s="141"/>
      <c r="J3" s="141"/>
      <c r="K3" s="141"/>
      <c r="L3" s="142" t="s">
        <v>7</v>
      </c>
      <c r="M3" s="128" t="s">
        <v>8</v>
      </c>
    </row>
    <row r="4" spans="1:13" ht="51.75" customHeight="1">
      <c r="A4" s="143"/>
      <c r="B4" s="143"/>
      <c r="C4" s="143"/>
      <c r="D4" s="143"/>
      <c r="E4" s="143"/>
      <c r="F4" s="143"/>
      <c r="G4" s="143"/>
      <c r="H4" s="10" t="s">
        <v>15</v>
      </c>
      <c r="I4" s="10" t="s">
        <v>13</v>
      </c>
      <c r="J4" s="21" t="s">
        <v>18</v>
      </c>
      <c r="K4" s="10" t="s">
        <v>14</v>
      </c>
      <c r="L4" s="143"/>
      <c r="M4" s="143"/>
    </row>
    <row r="5" spans="1:13" ht="19.5" customHeight="1">
      <c r="A5" s="8">
        <v>45292</v>
      </c>
      <c r="B5" s="149" t="s">
        <v>11</v>
      </c>
      <c r="C5" s="149" t="s">
        <v>12</v>
      </c>
      <c r="D5" s="23">
        <v>213.8</v>
      </c>
      <c r="E5" s="26">
        <v>212.2</v>
      </c>
      <c r="F5" s="11">
        <v>781.899</v>
      </c>
      <c r="G5" s="9">
        <v>24</v>
      </c>
      <c r="H5" s="25">
        <v>0</v>
      </c>
      <c r="I5" s="1">
        <v>0</v>
      </c>
      <c r="J5" s="1">
        <v>0</v>
      </c>
      <c r="K5" s="25">
        <v>0</v>
      </c>
      <c r="L5" s="25">
        <f>K5+J5+I5+H5</f>
        <v>0</v>
      </c>
      <c r="M5" s="2"/>
    </row>
    <row r="6" spans="1:13" ht="19.5" customHeight="1">
      <c r="A6" s="8">
        <v>45293</v>
      </c>
      <c r="B6" s="129"/>
      <c r="C6" s="129"/>
      <c r="D6" s="23">
        <v>213.8</v>
      </c>
      <c r="E6" s="26">
        <v>212.22</v>
      </c>
      <c r="F6" s="11">
        <v>783.99</v>
      </c>
      <c r="G6" s="9">
        <v>24</v>
      </c>
      <c r="H6" s="25">
        <v>0</v>
      </c>
      <c r="I6" s="1">
        <v>0</v>
      </c>
      <c r="J6" s="1">
        <v>0</v>
      </c>
      <c r="K6" s="25">
        <v>0</v>
      </c>
      <c r="L6" s="25">
        <f t="shared" ref="L6:L35" si="0">K6+J6+I6+H6</f>
        <v>0</v>
      </c>
      <c r="M6" s="2"/>
    </row>
    <row r="7" spans="1:13" ht="19.5" customHeight="1">
      <c r="A7" s="8">
        <v>45294</v>
      </c>
      <c r="B7" s="129"/>
      <c r="C7" s="129"/>
      <c r="D7" s="23">
        <v>213.8</v>
      </c>
      <c r="E7" s="26">
        <v>212.24</v>
      </c>
      <c r="F7" s="11">
        <v>786.08100000000002</v>
      </c>
      <c r="G7" s="9">
        <v>24</v>
      </c>
      <c r="H7" s="25">
        <v>0</v>
      </c>
      <c r="I7" s="1">
        <v>0</v>
      </c>
      <c r="J7" s="1">
        <v>0</v>
      </c>
      <c r="K7" s="25">
        <v>0</v>
      </c>
      <c r="L7" s="25">
        <f t="shared" si="0"/>
        <v>0</v>
      </c>
      <c r="M7" s="2"/>
    </row>
    <row r="8" spans="1:13" ht="19.5" customHeight="1">
      <c r="A8" s="8">
        <v>45295</v>
      </c>
      <c r="B8" s="129"/>
      <c r="C8" s="129"/>
      <c r="D8" s="23">
        <v>213.8</v>
      </c>
      <c r="E8" s="26">
        <v>212.25</v>
      </c>
      <c r="F8" s="11">
        <v>787.12699999999995</v>
      </c>
      <c r="G8" s="9">
        <v>12</v>
      </c>
      <c r="H8" s="25">
        <v>0</v>
      </c>
      <c r="I8" s="1">
        <v>0</v>
      </c>
      <c r="J8" s="1">
        <v>0</v>
      </c>
      <c r="K8" s="25">
        <v>0</v>
      </c>
      <c r="L8" s="25">
        <f t="shared" si="0"/>
        <v>0</v>
      </c>
      <c r="M8" s="2"/>
    </row>
    <row r="9" spans="1:13" ht="19.5" customHeight="1">
      <c r="A9" s="8">
        <v>45296</v>
      </c>
      <c r="B9" s="129"/>
      <c r="C9" s="129"/>
      <c r="D9" s="23">
        <v>213.8</v>
      </c>
      <c r="E9" s="26">
        <v>212.26</v>
      </c>
      <c r="F9" s="11">
        <v>788.17200000000003</v>
      </c>
      <c r="G9" s="9">
        <v>12</v>
      </c>
      <c r="H9" s="25">
        <v>0</v>
      </c>
      <c r="I9" s="1">
        <v>0</v>
      </c>
      <c r="J9" s="1">
        <v>0</v>
      </c>
      <c r="K9" s="25">
        <v>0</v>
      </c>
      <c r="L9" s="25">
        <f t="shared" si="0"/>
        <v>0</v>
      </c>
      <c r="M9" s="2"/>
    </row>
    <row r="10" spans="1:13" ht="19.5" customHeight="1">
      <c r="A10" s="8">
        <v>45297</v>
      </c>
      <c r="B10" s="129"/>
      <c r="C10" s="129"/>
      <c r="D10" s="23">
        <v>213.8</v>
      </c>
      <c r="E10" s="26">
        <v>212.26</v>
      </c>
      <c r="F10" s="11">
        <v>788.17200000000003</v>
      </c>
      <c r="G10" s="9">
        <v>0</v>
      </c>
      <c r="H10" s="25">
        <v>0</v>
      </c>
      <c r="I10" s="1">
        <v>0</v>
      </c>
      <c r="J10" s="1">
        <v>0</v>
      </c>
      <c r="K10" s="25">
        <v>0</v>
      </c>
      <c r="L10" s="25">
        <f t="shared" si="0"/>
        <v>0</v>
      </c>
      <c r="M10" s="2"/>
    </row>
    <row r="11" spans="1:13" ht="19.5" customHeight="1">
      <c r="A11" s="8">
        <v>45298</v>
      </c>
      <c r="B11" s="129"/>
      <c r="C11" s="129"/>
      <c r="D11" s="23">
        <v>213.8</v>
      </c>
      <c r="E11" s="26">
        <v>212.28</v>
      </c>
      <c r="F11" s="11">
        <v>790.26300000000003</v>
      </c>
      <c r="G11" s="9">
        <v>24</v>
      </c>
      <c r="H11" s="25">
        <v>0</v>
      </c>
      <c r="I11" s="1">
        <v>0</v>
      </c>
      <c r="J11" s="1">
        <v>0</v>
      </c>
      <c r="K11" s="25">
        <v>0</v>
      </c>
      <c r="L11" s="25">
        <f t="shared" si="0"/>
        <v>0</v>
      </c>
      <c r="M11" s="2"/>
    </row>
    <row r="12" spans="1:13" ht="19.5" customHeight="1">
      <c r="A12" s="8">
        <v>45299</v>
      </c>
      <c r="B12" s="129"/>
      <c r="C12" s="129"/>
      <c r="D12" s="23">
        <v>213.8</v>
      </c>
      <c r="E12" s="26">
        <v>212.3</v>
      </c>
      <c r="F12" s="11">
        <v>792.35400000000004</v>
      </c>
      <c r="G12" s="9">
        <v>24</v>
      </c>
      <c r="H12" s="25">
        <v>0</v>
      </c>
      <c r="I12" s="1">
        <v>0</v>
      </c>
      <c r="J12" s="1">
        <v>0</v>
      </c>
      <c r="K12" s="25">
        <v>0</v>
      </c>
      <c r="L12" s="25">
        <f t="shared" si="0"/>
        <v>0</v>
      </c>
      <c r="M12" s="2"/>
    </row>
    <row r="13" spans="1:13" ht="19.5" customHeight="1">
      <c r="A13" s="8">
        <v>45300</v>
      </c>
      <c r="B13" s="129"/>
      <c r="C13" s="129"/>
      <c r="D13" s="23">
        <v>213.8</v>
      </c>
      <c r="E13" s="27">
        <v>212.34</v>
      </c>
      <c r="F13" s="26">
        <v>796.53700000000003</v>
      </c>
      <c r="G13" s="9">
        <v>48</v>
      </c>
      <c r="H13" s="25">
        <v>0</v>
      </c>
      <c r="I13" s="1">
        <v>0</v>
      </c>
      <c r="J13" s="1">
        <v>0</v>
      </c>
      <c r="K13" s="25">
        <v>0</v>
      </c>
      <c r="L13" s="25">
        <f t="shared" si="0"/>
        <v>0</v>
      </c>
      <c r="M13" s="2"/>
    </row>
    <row r="14" spans="1:13" ht="19.5" customHeight="1">
      <c r="A14" s="8">
        <v>45301</v>
      </c>
      <c r="B14" s="129"/>
      <c r="C14" s="129"/>
      <c r="D14" s="23">
        <v>213.8</v>
      </c>
      <c r="E14" s="26">
        <v>212.36</v>
      </c>
      <c r="F14" s="11">
        <v>798.62800000000004</v>
      </c>
      <c r="G14" s="9">
        <v>24</v>
      </c>
      <c r="H14" s="25">
        <v>0</v>
      </c>
      <c r="I14" s="1">
        <v>0</v>
      </c>
      <c r="J14" s="1">
        <v>0</v>
      </c>
      <c r="K14" s="25">
        <v>0</v>
      </c>
      <c r="L14" s="25">
        <f t="shared" si="0"/>
        <v>0</v>
      </c>
      <c r="M14" s="2"/>
    </row>
    <row r="15" spans="1:13" ht="19.5" customHeight="1">
      <c r="A15" s="8">
        <v>45302</v>
      </c>
      <c r="B15" s="129"/>
      <c r="C15" s="129"/>
      <c r="D15" s="23">
        <v>213.8</v>
      </c>
      <c r="E15" s="26">
        <v>212.38</v>
      </c>
      <c r="F15" s="11">
        <v>800.71900000000005</v>
      </c>
      <c r="G15" s="9">
        <v>24</v>
      </c>
      <c r="H15" s="25">
        <v>0</v>
      </c>
      <c r="I15" s="1">
        <v>0</v>
      </c>
      <c r="J15" s="1">
        <v>0</v>
      </c>
      <c r="K15" s="25">
        <v>0</v>
      </c>
      <c r="L15" s="25">
        <f t="shared" si="0"/>
        <v>0</v>
      </c>
      <c r="M15" s="2"/>
    </row>
    <row r="16" spans="1:13" ht="19.5" customHeight="1">
      <c r="A16" s="8">
        <v>45303</v>
      </c>
      <c r="B16" s="129"/>
      <c r="C16" s="129"/>
      <c r="D16" s="23">
        <v>213.8</v>
      </c>
      <c r="E16" s="26">
        <v>212.4</v>
      </c>
      <c r="F16" s="11">
        <v>802.81</v>
      </c>
      <c r="G16" s="9">
        <v>24</v>
      </c>
      <c r="H16" s="25">
        <v>0</v>
      </c>
      <c r="I16" s="1">
        <v>0</v>
      </c>
      <c r="J16" s="1">
        <v>0</v>
      </c>
      <c r="K16" s="25">
        <v>0</v>
      </c>
      <c r="L16" s="25">
        <f t="shared" si="0"/>
        <v>0</v>
      </c>
      <c r="M16" s="2"/>
    </row>
    <row r="17" spans="1:14" ht="19.5" customHeight="1">
      <c r="A17" s="8">
        <v>45304</v>
      </c>
      <c r="B17" s="129"/>
      <c r="C17" s="129"/>
      <c r="D17" s="23">
        <v>213.8</v>
      </c>
      <c r="E17" s="26">
        <v>212.41</v>
      </c>
      <c r="F17" s="11">
        <v>803.85599999999999</v>
      </c>
      <c r="G17" s="9">
        <v>12</v>
      </c>
      <c r="H17" s="25">
        <v>0</v>
      </c>
      <c r="I17" s="1">
        <v>0</v>
      </c>
      <c r="J17" s="1">
        <v>0</v>
      </c>
      <c r="K17" s="25">
        <v>0</v>
      </c>
      <c r="L17" s="25">
        <f t="shared" si="0"/>
        <v>0</v>
      </c>
      <c r="M17" s="2"/>
    </row>
    <row r="18" spans="1:14" ht="19.5" customHeight="1">
      <c r="A18" s="8">
        <v>45305</v>
      </c>
      <c r="B18" s="129"/>
      <c r="C18" s="129"/>
      <c r="D18" s="23">
        <v>213.8</v>
      </c>
      <c r="E18" s="26">
        <v>212.42</v>
      </c>
      <c r="F18" s="11">
        <v>804.90099999999995</v>
      </c>
      <c r="G18" s="9">
        <v>12</v>
      </c>
      <c r="H18" s="25">
        <v>0</v>
      </c>
      <c r="I18" s="1">
        <v>0</v>
      </c>
      <c r="J18" s="1">
        <v>0</v>
      </c>
      <c r="K18" s="25">
        <v>0</v>
      </c>
      <c r="L18" s="25">
        <f t="shared" si="0"/>
        <v>0</v>
      </c>
      <c r="M18" s="2"/>
    </row>
    <row r="19" spans="1:14" ht="19.5" customHeight="1">
      <c r="A19" s="8">
        <v>45306</v>
      </c>
      <c r="B19" s="129"/>
      <c r="C19" s="129"/>
      <c r="D19" s="23">
        <v>213.8</v>
      </c>
      <c r="E19" s="26">
        <v>212.43</v>
      </c>
      <c r="F19" s="11">
        <v>805.947</v>
      </c>
      <c r="G19" s="9">
        <v>13</v>
      </c>
      <c r="H19" s="25">
        <v>0</v>
      </c>
      <c r="I19" s="1">
        <v>0</v>
      </c>
      <c r="J19" s="1">
        <v>0</v>
      </c>
      <c r="K19" s="25">
        <v>0</v>
      </c>
      <c r="L19" s="25">
        <f t="shared" si="0"/>
        <v>0</v>
      </c>
      <c r="M19" s="2"/>
    </row>
    <row r="20" spans="1:14" ht="19.5" customHeight="1">
      <c r="A20" s="8">
        <v>45307</v>
      </c>
      <c r="B20" s="129"/>
      <c r="C20" s="129"/>
      <c r="D20" s="23">
        <v>213.8</v>
      </c>
      <c r="E20" s="26">
        <v>212.44</v>
      </c>
      <c r="F20" s="11">
        <v>806.99199999999996</v>
      </c>
      <c r="G20" s="9">
        <v>12</v>
      </c>
      <c r="H20" s="25">
        <v>0</v>
      </c>
      <c r="I20" s="1">
        <v>0</v>
      </c>
      <c r="J20" s="1">
        <v>0</v>
      </c>
      <c r="K20" s="25">
        <v>0</v>
      </c>
      <c r="L20" s="25">
        <f t="shared" si="0"/>
        <v>0</v>
      </c>
      <c r="M20" s="2"/>
    </row>
    <row r="21" spans="1:14" ht="19.5" customHeight="1">
      <c r="A21" s="8">
        <v>45308</v>
      </c>
      <c r="B21" s="129"/>
      <c r="C21" s="129"/>
      <c r="D21" s="23">
        <v>213.8</v>
      </c>
      <c r="E21" s="26">
        <v>212.44</v>
      </c>
      <c r="F21" s="11">
        <v>806.99199999999996</v>
      </c>
      <c r="G21" s="9">
        <v>0</v>
      </c>
      <c r="H21" s="25">
        <v>0</v>
      </c>
      <c r="I21" s="1">
        <v>0</v>
      </c>
      <c r="J21" s="1">
        <v>0</v>
      </c>
      <c r="K21" s="25">
        <v>0</v>
      </c>
      <c r="L21" s="25">
        <f t="shared" si="0"/>
        <v>0</v>
      </c>
      <c r="M21" s="2"/>
    </row>
    <row r="22" spans="1:14" ht="19.5" customHeight="1">
      <c r="A22" s="8">
        <v>45309</v>
      </c>
      <c r="B22" s="129"/>
      <c r="C22" s="129"/>
      <c r="D22" s="23">
        <v>213.8</v>
      </c>
      <c r="E22" s="26">
        <v>212.46</v>
      </c>
      <c r="F22" s="11">
        <v>809.08299999999997</v>
      </c>
      <c r="G22" s="9">
        <v>24</v>
      </c>
      <c r="H22" s="25">
        <v>0</v>
      </c>
      <c r="I22" s="1">
        <v>0</v>
      </c>
      <c r="J22" s="1">
        <v>0</v>
      </c>
      <c r="K22" s="25">
        <v>0</v>
      </c>
      <c r="L22" s="25">
        <f t="shared" si="0"/>
        <v>0</v>
      </c>
      <c r="M22" s="2"/>
    </row>
    <row r="23" spans="1:14" ht="19.5" customHeight="1">
      <c r="A23" s="8">
        <v>45310</v>
      </c>
      <c r="B23" s="129"/>
      <c r="C23" s="129"/>
      <c r="D23" s="23">
        <v>213.8</v>
      </c>
      <c r="E23" s="26">
        <v>212.47</v>
      </c>
      <c r="F23" s="11">
        <v>810.12900000000002</v>
      </c>
      <c r="G23" s="9">
        <v>12</v>
      </c>
      <c r="H23" s="25">
        <v>0</v>
      </c>
      <c r="I23" s="1">
        <v>0</v>
      </c>
      <c r="J23" s="1">
        <v>0</v>
      </c>
      <c r="K23" s="25">
        <v>0</v>
      </c>
      <c r="L23" s="25">
        <f t="shared" si="0"/>
        <v>0</v>
      </c>
      <c r="M23" s="2"/>
    </row>
    <row r="24" spans="1:14" ht="19.5" customHeight="1">
      <c r="A24" s="8">
        <v>45311</v>
      </c>
      <c r="B24" s="129"/>
      <c r="C24" s="129"/>
      <c r="D24" s="23">
        <v>213.8</v>
      </c>
      <c r="E24" s="26">
        <v>212.48</v>
      </c>
      <c r="F24" s="11">
        <v>811.17499999999995</v>
      </c>
      <c r="G24" s="9">
        <v>12</v>
      </c>
      <c r="H24" s="25">
        <v>0</v>
      </c>
      <c r="I24" s="1">
        <v>0</v>
      </c>
      <c r="J24" s="1">
        <v>0</v>
      </c>
      <c r="K24" s="25">
        <v>0</v>
      </c>
      <c r="L24" s="25">
        <f t="shared" si="0"/>
        <v>0</v>
      </c>
      <c r="M24" s="2"/>
    </row>
    <row r="25" spans="1:14" ht="19.5" customHeight="1">
      <c r="A25" s="8">
        <v>45312</v>
      </c>
      <c r="B25" s="129"/>
      <c r="C25" s="129"/>
      <c r="D25" s="23">
        <v>213.8</v>
      </c>
      <c r="E25" s="26">
        <v>212.48</v>
      </c>
      <c r="F25" s="11">
        <v>811.17499999999995</v>
      </c>
      <c r="G25" s="9">
        <v>0</v>
      </c>
      <c r="H25" s="25">
        <v>0</v>
      </c>
      <c r="I25" s="1">
        <v>0</v>
      </c>
      <c r="J25" s="1">
        <v>0</v>
      </c>
      <c r="K25" s="25">
        <v>0</v>
      </c>
      <c r="L25" s="25">
        <f t="shared" si="0"/>
        <v>0</v>
      </c>
      <c r="M25" s="2"/>
    </row>
    <row r="26" spans="1:14" ht="19.5" customHeight="1">
      <c r="A26" s="8">
        <v>45313</v>
      </c>
      <c r="B26" s="129"/>
      <c r="C26" s="129"/>
      <c r="D26" s="23">
        <v>213.8</v>
      </c>
      <c r="E26" s="26">
        <v>212.49</v>
      </c>
      <c r="F26" s="11">
        <v>812.22</v>
      </c>
      <c r="G26" s="9">
        <v>12</v>
      </c>
      <c r="H26" s="25">
        <v>0</v>
      </c>
      <c r="I26" s="1">
        <v>0</v>
      </c>
      <c r="J26" s="1">
        <v>0</v>
      </c>
      <c r="K26" s="25">
        <v>0</v>
      </c>
      <c r="L26" s="25">
        <f t="shared" si="0"/>
        <v>0</v>
      </c>
      <c r="M26" s="2"/>
      <c r="N26" s="19"/>
    </row>
    <row r="27" spans="1:14" ht="19.5" customHeight="1">
      <c r="A27" s="8">
        <v>45314</v>
      </c>
      <c r="B27" s="129"/>
      <c r="C27" s="129"/>
      <c r="D27" s="23">
        <v>213.8</v>
      </c>
      <c r="E27" s="26">
        <v>212.49</v>
      </c>
      <c r="F27" s="11">
        <v>812.22</v>
      </c>
      <c r="G27" s="9">
        <v>0</v>
      </c>
      <c r="H27" s="25">
        <v>0</v>
      </c>
      <c r="I27" s="1">
        <v>0</v>
      </c>
      <c r="J27" s="1">
        <v>0</v>
      </c>
      <c r="K27" s="25">
        <v>0</v>
      </c>
      <c r="L27" s="25">
        <f t="shared" si="0"/>
        <v>0</v>
      </c>
      <c r="M27" s="2"/>
    </row>
    <row r="28" spans="1:14" ht="19.5" customHeight="1">
      <c r="A28" s="8">
        <v>45315</v>
      </c>
      <c r="B28" s="129"/>
      <c r="C28" s="129"/>
      <c r="D28" s="23">
        <v>213.8</v>
      </c>
      <c r="E28" s="26">
        <v>212.5</v>
      </c>
      <c r="F28" s="11">
        <v>813.26599999999996</v>
      </c>
      <c r="G28" s="9">
        <v>12</v>
      </c>
      <c r="H28" s="25">
        <v>0</v>
      </c>
      <c r="I28" s="1">
        <v>0</v>
      </c>
      <c r="J28" s="1">
        <v>0</v>
      </c>
      <c r="K28" s="25">
        <v>0</v>
      </c>
      <c r="L28" s="25">
        <f t="shared" si="0"/>
        <v>0</v>
      </c>
      <c r="M28" s="2"/>
    </row>
    <row r="29" spans="1:14" ht="19.5" customHeight="1">
      <c r="A29" s="8">
        <v>45316</v>
      </c>
      <c r="B29" s="129"/>
      <c r="C29" s="129"/>
      <c r="D29" s="23">
        <v>213.8</v>
      </c>
      <c r="E29" s="26">
        <v>212.5</v>
      </c>
      <c r="F29" s="11">
        <v>813.26599999999996</v>
      </c>
      <c r="G29" s="9">
        <v>0</v>
      </c>
      <c r="H29" s="25">
        <v>0</v>
      </c>
      <c r="I29" s="1">
        <v>0</v>
      </c>
      <c r="J29" s="1">
        <v>0</v>
      </c>
      <c r="K29" s="25">
        <v>0</v>
      </c>
      <c r="L29" s="25">
        <f t="shared" si="0"/>
        <v>0</v>
      </c>
      <c r="M29" s="2"/>
    </row>
    <row r="30" spans="1:14" ht="19.5" customHeight="1">
      <c r="A30" s="8">
        <v>45317</v>
      </c>
      <c r="B30" s="129"/>
      <c r="C30" s="129"/>
      <c r="D30" s="23">
        <v>213.8</v>
      </c>
      <c r="E30" s="26">
        <v>212.5</v>
      </c>
      <c r="F30" s="11">
        <v>813.26599999999996</v>
      </c>
      <c r="G30" s="9">
        <v>0</v>
      </c>
      <c r="H30" s="25">
        <v>0</v>
      </c>
      <c r="I30" s="1">
        <v>0</v>
      </c>
      <c r="J30" s="1">
        <v>0</v>
      </c>
      <c r="K30" s="25">
        <v>0</v>
      </c>
      <c r="L30" s="25">
        <f t="shared" si="0"/>
        <v>0</v>
      </c>
      <c r="M30" s="2"/>
    </row>
    <row r="31" spans="1:14" ht="21" customHeight="1">
      <c r="A31" s="8">
        <v>45318</v>
      </c>
      <c r="B31" s="129"/>
      <c r="C31" s="129"/>
      <c r="D31" s="23">
        <v>213.8</v>
      </c>
      <c r="E31" s="26">
        <v>212.51</v>
      </c>
      <c r="F31" s="11">
        <v>814.21100000000001</v>
      </c>
      <c r="G31" s="9">
        <v>12</v>
      </c>
      <c r="H31" s="25">
        <v>0</v>
      </c>
      <c r="I31" s="1">
        <v>0</v>
      </c>
      <c r="J31" s="1">
        <v>0</v>
      </c>
      <c r="K31" s="25">
        <v>0</v>
      </c>
      <c r="L31" s="25">
        <f t="shared" si="0"/>
        <v>0</v>
      </c>
      <c r="M31" s="2"/>
    </row>
    <row r="32" spans="1:14" ht="21" customHeight="1">
      <c r="A32" s="8">
        <v>45319</v>
      </c>
      <c r="B32" s="129"/>
      <c r="C32" s="129"/>
      <c r="D32" s="23">
        <v>213.8</v>
      </c>
      <c r="E32" s="26">
        <v>212.51</v>
      </c>
      <c r="F32" s="11">
        <v>814.21100000000001</v>
      </c>
      <c r="G32" s="9">
        <v>0</v>
      </c>
      <c r="H32" s="25">
        <v>0</v>
      </c>
      <c r="I32" s="1">
        <v>0</v>
      </c>
      <c r="J32" s="1">
        <v>0</v>
      </c>
      <c r="K32" s="25">
        <v>0</v>
      </c>
      <c r="L32" s="25">
        <f t="shared" si="0"/>
        <v>0</v>
      </c>
      <c r="M32" s="2"/>
    </row>
    <row r="33" spans="1:14" ht="21" customHeight="1">
      <c r="A33" s="8">
        <v>45320</v>
      </c>
      <c r="B33" s="129"/>
      <c r="C33" s="129"/>
      <c r="D33" s="23">
        <v>213.8</v>
      </c>
      <c r="E33" s="26">
        <v>212.52</v>
      </c>
      <c r="F33" s="11">
        <v>815.35699999999997</v>
      </c>
      <c r="G33" s="9">
        <v>12</v>
      </c>
      <c r="H33" s="25">
        <v>0</v>
      </c>
      <c r="I33" s="1">
        <v>0</v>
      </c>
      <c r="J33" s="1">
        <v>0</v>
      </c>
      <c r="K33" s="25">
        <v>0</v>
      </c>
      <c r="L33" s="25">
        <f t="shared" si="0"/>
        <v>0</v>
      </c>
      <c r="M33" s="2"/>
    </row>
    <row r="34" spans="1:14" s="22" customFormat="1" ht="21" customHeight="1">
      <c r="A34" s="8">
        <v>45321</v>
      </c>
      <c r="B34" s="129"/>
      <c r="C34" s="129"/>
      <c r="D34" s="23">
        <v>213.8</v>
      </c>
      <c r="E34" s="26">
        <v>212.52</v>
      </c>
      <c r="F34" s="11">
        <v>815.35699999999997</v>
      </c>
      <c r="G34" s="9">
        <v>0</v>
      </c>
      <c r="H34" s="25">
        <v>0</v>
      </c>
      <c r="I34" s="1">
        <v>0</v>
      </c>
      <c r="J34" s="1">
        <v>0</v>
      </c>
      <c r="K34" s="25">
        <v>0</v>
      </c>
      <c r="L34" s="25">
        <f t="shared" ref="L34" si="1">K34+J34+I34+H34</f>
        <v>0</v>
      </c>
      <c r="M34" s="2"/>
    </row>
    <row r="35" spans="1:14" ht="21" customHeight="1">
      <c r="A35" s="8">
        <v>45322</v>
      </c>
      <c r="B35" s="145"/>
      <c r="C35" s="145"/>
      <c r="D35" s="24">
        <v>213.8</v>
      </c>
      <c r="E35" s="26">
        <v>212.52</v>
      </c>
      <c r="F35" s="11">
        <v>815.35699999999997</v>
      </c>
      <c r="G35" s="9">
        <v>0</v>
      </c>
      <c r="H35" s="25">
        <v>0</v>
      </c>
      <c r="I35" s="1">
        <v>0</v>
      </c>
      <c r="J35" s="1">
        <v>0</v>
      </c>
      <c r="K35" s="25">
        <v>0</v>
      </c>
      <c r="L35" s="25">
        <f t="shared" si="0"/>
        <v>0</v>
      </c>
      <c r="M35" s="2"/>
    </row>
    <row r="36" spans="1:14" ht="21" customHeight="1">
      <c r="A36" s="12"/>
      <c r="B36" s="13"/>
      <c r="C36" s="13"/>
      <c r="D36" s="14"/>
      <c r="E36" s="15"/>
      <c r="F36" s="14"/>
      <c r="G36" s="16">
        <f>SUM(G5:G35)</f>
        <v>409</v>
      </c>
      <c r="H36" s="16"/>
      <c r="I36" s="16">
        <f>SUM(I5:I35)</f>
        <v>0</v>
      </c>
      <c r="J36" s="16">
        <f>SUM(J5:J35)</f>
        <v>0</v>
      </c>
      <c r="K36" s="17"/>
      <c r="L36" s="17"/>
      <c r="M36" s="18"/>
      <c r="N36" s="20"/>
    </row>
    <row r="37" spans="1:14" ht="47.25" customHeight="1">
      <c r="A37" s="3"/>
      <c r="B37" s="4"/>
      <c r="C37" s="5"/>
      <c r="D37" s="5"/>
      <c r="E37" s="5"/>
      <c r="F37" s="5"/>
      <c r="G37" s="5">
        <f>G36/11574</f>
        <v>3.5337826162087436E-2</v>
      </c>
      <c r="H37" s="5"/>
      <c r="I37" s="5">
        <f>I36/11574</f>
        <v>0</v>
      </c>
      <c r="J37" s="5">
        <f>J36/11574</f>
        <v>0</v>
      </c>
      <c r="K37" s="6"/>
      <c r="L37" s="6"/>
      <c r="M37" s="7"/>
    </row>
    <row r="38" spans="1:14" ht="15.75" customHeight="1">
      <c r="A38" s="147" t="s">
        <v>9</v>
      </c>
      <c r="B38" s="113"/>
      <c r="C38" s="113"/>
      <c r="D38" s="113"/>
      <c r="I38" s="147" t="s">
        <v>10</v>
      </c>
      <c r="J38" s="113"/>
      <c r="K38" s="113"/>
      <c r="L38" s="113"/>
      <c r="M38" s="7"/>
    </row>
    <row r="39" spans="1:14" ht="15.75" customHeight="1">
      <c r="A39" s="148" t="s">
        <v>16</v>
      </c>
      <c r="B39" s="113"/>
      <c r="C39" s="113"/>
      <c r="D39" s="113"/>
      <c r="I39" s="148" t="s">
        <v>16</v>
      </c>
      <c r="J39" s="113"/>
      <c r="K39" s="113"/>
      <c r="L39" s="113"/>
      <c r="M39" s="7"/>
    </row>
    <row r="40" spans="1:14" ht="15.75" customHeight="1">
      <c r="A40" s="146" t="s">
        <v>17</v>
      </c>
      <c r="B40" s="113"/>
      <c r="C40" s="113"/>
      <c r="D40" s="113"/>
      <c r="I40" s="146" t="s">
        <v>17</v>
      </c>
      <c r="J40" s="113"/>
      <c r="K40" s="113"/>
      <c r="L40" s="113"/>
      <c r="M40" s="7"/>
    </row>
    <row r="41" spans="1:14" ht="15.75" customHeight="1">
      <c r="M41" s="7"/>
    </row>
    <row r="42" spans="1:14" ht="15.75" customHeight="1">
      <c r="M42" s="7"/>
    </row>
    <row r="43" spans="1:14" ht="15.75" customHeight="1">
      <c r="M43" s="7"/>
    </row>
    <row r="44" spans="1:14" ht="15.75" customHeight="1">
      <c r="M44" s="7"/>
    </row>
    <row r="45" spans="1:14" ht="15.75" customHeight="1">
      <c r="M45" s="7"/>
    </row>
    <row r="46" spans="1:14" ht="15.75" customHeight="1">
      <c r="M46" s="7"/>
    </row>
    <row r="47" spans="1:14" ht="15.75" customHeight="1">
      <c r="M47" s="7"/>
    </row>
    <row r="48" spans="1:14" ht="15.75" customHeight="1">
      <c r="M48" s="7"/>
    </row>
    <row r="49" spans="13:13" ht="15.75" customHeight="1">
      <c r="M49" s="7"/>
    </row>
    <row r="50" spans="13:13" ht="15.75" customHeight="1">
      <c r="M50" s="7"/>
    </row>
    <row r="51" spans="13:13" ht="15.75" customHeight="1">
      <c r="M51" s="7"/>
    </row>
    <row r="52" spans="13:13" ht="15.75" customHeight="1">
      <c r="M52" s="7"/>
    </row>
    <row r="53" spans="13:13" ht="15.75" customHeight="1">
      <c r="M53" s="7"/>
    </row>
    <row r="54" spans="13:13" ht="15.75" customHeight="1">
      <c r="M54" s="7"/>
    </row>
    <row r="55" spans="13:13" ht="15.75" customHeight="1">
      <c r="M55" s="7"/>
    </row>
    <row r="56" spans="13:13" ht="15.75" customHeight="1">
      <c r="M56" s="7"/>
    </row>
    <row r="57" spans="13:13" ht="15.75" customHeight="1">
      <c r="M57" s="7"/>
    </row>
    <row r="58" spans="13:13" ht="15.75" customHeight="1">
      <c r="M58" s="7"/>
    </row>
    <row r="59" spans="13:13" ht="15.75" customHeight="1">
      <c r="M59" s="7"/>
    </row>
    <row r="60" spans="13:13" ht="15.75" customHeight="1">
      <c r="M60" s="7"/>
    </row>
    <row r="61" spans="13:13" ht="15.75" customHeight="1">
      <c r="M61" s="7"/>
    </row>
    <row r="62" spans="13:13" ht="15.75" customHeight="1">
      <c r="M62" s="7"/>
    </row>
    <row r="63" spans="13:13" ht="15.75" customHeight="1">
      <c r="M63" s="7"/>
    </row>
    <row r="64" spans="13:13" ht="15.75" customHeight="1">
      <c r="M64" s="7"/>
    </row>
    <row r="65" spans="13:13" ht="15.75" customHeight="1">
      <c r="M65" s="7"/>
    </row>
    <row r="66" spans="13:13" ht="15.75" customHeight="1">
      <c r="M66" s="7"/>
    </row>
    <row r="67" spans="13:13" ht="15.75" customHeight="1">
      <c r="M67" s="7"/>
    </row>
    <row r="68" spans="13:13" ht="15.75" customHeight="1">
      <c r="M68" s="7"/>
    </row>
    <row r="69" spans="13:13" ht="15.75" customHeight="1">
      <c r="M69" s="7"/>
    </row>
    <row r="70" spans="13:13" ht="15.75" customHeight="1">
      <c r="M70" s="7"/>
    </row>
    <row r="71" spans="13:13" ht="15.75" customHeight="1">
      <c r="M71" s="7"/>
    </row>
    <row r="72" spans="13:13" ht="15.75" customHeight="1">
      <c r="M72" s="7"/>
    </row>
    <row r="73" spans="13:13" ht="15.75" customHeight="1">
      <c r="M73" s="7"/>
    </row>
    <row r="74" spans="13:13" ht="15.75" customHeight="1">
      <c r="M74" s="7"/>
    </row>
    <row r="75" spans="13:13" ht="15.75" customHeight="1">
      <c r="M75" s="7"/>
    </row>
    <row r="76" spans="13:13" ht="15.75" customHeight="1">
      <c r="M76" s="7"/>
    </row>
    <row r="77" spans="13:13" ht="15.75" customHeight="1">
      <c r="M77" s="7"/>
    </row>
    <row r="78" spans="13:13" ht="15.75" customHeight="1">
      <c r="M78" s="7"/>
    </row>
    <row r="79" spans="13:13" ht="15.75" customHeight="1">
      <c r="M79" s="7"/>
    </row>
    <row r="80" spans="13:13" ht="15.75" customHeight="1">
      <c r="M80" s="7"/>
    </row>
    <row r="81" spans="13:13" ht="15.75" customHeight="1">
      <c r="M81" s="7"/>
    </row>
    <row r="82" spans="13:13" ht="15.75" customHeight="1">
      <c r="M82" s="7"/>
    </row>
    <row r="83" spans="13:13" ht="15.75" customHeight="1">
      <c r="M83" s="7"/>
    </row>
    <row r="84" spans="13:13" ht="15.75" customHeight="1">
      <c r="M84" s="7"/>
    </row>
    <row r="85" spans="13:13" ht="15.75" customHeight="1">
      <c r="M85" s="7"/>
    </row>
    <row r="86" spans="13:13" ht="15.75" customHeight="1">
      <c r="M86" s="7"/>
    </row>
    <row r="87" spans="13:13" ht="15.75" customHeight="1">
      <c r="M87" s="7"/>
    </row>
    <row r="88" spans="13:13" ht="15.75" customHeight="1">
      <c r="M88" s="7"/>
    </row>
    <row r="89" spans="13:13" ht="15.75" customHeight="1">
      <c r="M89" s="7"/>
    </row>
    <row r="90" spans="13:13" ht="15.75" customHeight="1">
      <c r="M90" s="7"/>
    </row>
    <row r="91" spans="13:13" ht="15.75" customHeight="1">
      <c r="M91" s="7"/>
    </row>
    <row r="92" spans="13:13" ht="15.75" customHeight="1">
      <c r="M92" s="7"/>
    </row>
    <row r="93" spans="13:13" ht="15.75" customHeight="1">
      <c r="M93" s="7"/>
    </row>
    <row r="94" spans="13:13" ht="15.75" customHeight="1">
      <c r="M94" s="7"/>
    </row>
    <row r="95" spans="13:13" ht="15.75" customHeight="1">
      <c r="M95" s="7"/>
    </row>
    <row r="96" spans="13:13" ht="15.75" customHeight="1">
      <c r="M96" s="7"/>
    </row>
    <row r="97" spans="13:13" ht="15.75" customHeight="1">
      <c r="M97" s="7"/>
    </row>
    <row r="98" spans="13:13" ht="15.75" customHeight="1">
      <c r="M98" s="7"/>
    </row>
    <row r="99" spans="13:13" ht="15.75" customHeight="1">
      <c r="M99" s="7"/>
    </row>
    <row r="100" spans="13:13" ht="15.75" customHeight="1">
      <c r="M100" s="7"/>
    </row>
    <row r="101" spans="13:13" ht="15.75" customHeight="1">
      <c r="M101" s="7"/>
    </row>
    <row r="102" spans="13:13" ht="15.75" customHeight="1">
      <c r="M102" s="7"/>
    </row>
  </sheetData>
  <mergeCells count="19">
    <mergeCell ref="B5:B35"/>
    <mergeCell ref="C5:C35"/>
    <mergeCell ref="L3:L4"/>
    <mergeCell ref="C3:C4"/>
    <mergeCell ref="D3:D4"/>
    <mergeCell ref="E3:E4"/>
    <mergeCell ref="F3:F4"/>
    <mergeCell ref="G3:G4"/>
    <mergeCell ref="A40:D40"/>
    <mergeCell ref="I40:L40"/>
    <mergeCell ref="A38:D38"/>
    <mergeCell ref="I38:L38"/>
    <mergeCell ref="A39:D39"/>
    <mergeCell ref="I39:L39"/>
    <mergeCell ref="A1:M2"/>
    <mergeCell ref="M3:M4"/>
    <mergeCell ref="A3:A4"/>
    <mergeCell ref="B3:B4"/>
    <mergeCell ref="H3:K3"/>
  </mergeCells>
  <pageMargins left="0.7" right="0.7" top="0.75" bottom="0.75" header="0" footer="0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DECEMBER 2024</vt:lpstr>
      <vt:lpstr>November 2024</vt:lpstr>
      <vt:lpstr>OCTOBER 2024</vt:lpstr>
      <vt:lpstr>SEPTEMBER 2024</vt:lpstr>
      <vt:lpstr>AUGUST  2024</vt:lpstr>
      <vt:lpstr>JULY  2024</vt:lpstr>
      <vt:lpstr>JUNE 2024</vt:lpstr>
      <vt:lpstr>MAY  2024</vt:lpstr>
      <vt:lpstr>APRIL 2024</vt:lpstr>
      <vt:lpstr>MARCH 2024</vt:lpstr>
      <vt:lpstr>FEBRUARY 2024</vt:lpstr>
      <vt:lpstr>JANUARY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cp:lastPrinted>2024-02-02T06:09:12Z</cp:lastPrinted>
  <dcterms:created xsi:type="dcterms:W3CDTF">2022-06-06T06:49:54Z</dcterms:created>
  <dcterms:modified xsi:type="dcterms:W3CDTF">2025-09-19T12:00:32Z</dcterms:modified>
</cp:coreProperties>
</file>