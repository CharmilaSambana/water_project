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160" firstSheet="4" activeTab="11"/>
  </bookViews>
  <sheets>
    <sheet name="JANUARY 2021 " sheetId="12" r:id="rId1"/>
    <sheet name="FEBRUARY 2021" sheetId="11" r:id="rId2"/>
    <sheet name="MARCH 2021" sheetId="10" r:id="rId3"/>
    <sheet name="APRIL 2021" sheetId="9" r:id="rId4"/>
    <sheet name="MAY 2021" sheetId="8" r:id="rId5"/>
    <sheet name="JUNE 2021" sheetId="7" r:id="rId6"/>
    <sheet name="JULY 2021 " sheetId="6" r:id="rId7"/>
    <sheet name="AUGUST 2021" sheetId="5" r:id="rId8"/>
    <sheet name="SEPTEMBER 2021" sheetId="4" r:id="rId9"/>
    <sheet name="OCTOBER 2021" sheetId="3" r:id="rId10"/>
    <sheet name="NOVEMBER 2021 " sheetId="2" r:id="rId11"/>
    <sheet name="DECEMBER 2021" sheetId="1" r:id="rId12"/>
  </sheets>
  <definedNames>
    <definedName name="_xlnm.Print_Area" localSheetId="8">'SEPTEMBER 2021'!$A$1:$N$39</definedName>
  </definedNames>
  <calcPr calcId="124519"/>
</workbook>
</file>

<file path=xl/calcChain.xml><?xml version="1.0" encoding="utf-8"?>
<calcChain xmlns="http://schemas.openxmlformats.org/spreadsheetml/2006/main">
  <c r="M36" i="1"/>
  <c r="L36"/>
  <c r="K36"/>
  <c r="J36"/>
  <c r="I36"/>
  <c r="H36"/>
  <c r="M35" i="2"/>
  <c r="L35"/>
  <c r="K35"/>
  <c r="J35"/>
  <c r="I35"/>
  <c r="H35"/>
  <c r="M36" i="3"/>
  <c r="L36"/>
  <c r="K36"/>
  <c r="J36"/>
  <c r="I36"/>
  <c r="H36"/>
  <c r="M35" i="4"/>
  <c r="L35"/>
  <c r="K35"/>
  <c r="J35"/>
  <c r="I35"/>
  <c r="H35"/>
  <c r="M36" i="5"/>
  <c r="L36"/>
  <c r="K36"/>
  <c r="J36"/>
  <c r="I36"/>
  <c r="H36"/>
  <c r="M36" i="6"/>
  <c r="L36"/>
  <c r="K36"/>
  <c r="J36"/>
  <c r="I36"/>
  <c r="H36"/>
  <c r="M35" i="7"/>
  <c r="L35"/>
  <c r="K35"/>
  <c r="J35"/>
  <c r="I35"/>
  <c r="H35"/>
  <c r="M36" i="8"/>
  <c r="L36"/>
  <c r="K36"/>
  <c r="J36"/>
  <c r="I36"/>
  <c r="H36"/>
  <c r="M35" i="9"/>
  <c r="L35"/>
  <c r="K35"/>
  <c r="J35"/>
  <c r="I35"/>
  <c r="H35"/>
  <c r="M36" i="10"/>
  <c r="L36"/>
  <c r="K36"/>
  <c r="J36"/>
  <c r="I36"/>
  <c r="H36"/>
  <c r="M33" i="11"/>
  <c r="L33"/>
  <c r="K33"/>
  <c r="J33"/>
  <c r="I33"/>
  <c r="H33"/>
  <c r="H36" i="12"/>
  <c r="I36"/>
  <c r="J36"/>
  <c r="K36"/>
  <c r="L36"/>
  <c r="M36"/>
  <c r="M35" l="1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2" i="11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i="10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4" i="9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i="8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4" i="7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i="6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i="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4" i="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5" i="3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4" i="2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34" i="1" l="1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5"/>
  <c r="M5"/>
</calcChain>
</file>

<file path=xl/sharedStrings.xml><?xml version="1.0" encoding="utf-8"?>
<sst xmlns="http://schemas.openxmlformats.org/spreadsheetml/2006/main" count="288" uniqueCount="33">
  <si>
    <t>Date</t>
  </si>
  <si>
    <t>Name of the Project</t>
  </si>
  <si>
    <t>Name of the River</t>
  </si>
  <si>
    <t>FRL (in mts)</t>
  </si>
  <si>
    <t>Present Water Level (in Mts)</t>
  </si>
  <si>
    <t>Inflows (in Cusecs)</t>
  </si>
  <si>
    <t>Outflows (in Cusecs)</t>
  </si>
  <si>
    <t>Total Out flows (in Cusecs)</t>
  </si>
  <si>
    <t>Rainfall</t>
  </si>
  <si>
    <t>Assistant Executive Engineer</t>
  </si>
  <si>
    <t>Deputy Executive Engineer</t>
  </si>
  <si>
    <t>PEDDAGEDDA RESERVOIR PROJECT</t>
  </si>
  <si>
    <t>VEGAVATHI RIVER</t>
  </si>
  <si>
    <t>RIVER SLUICE IN CUSECS</t>
  </si>
  <si>
    <t>LOSS</t>
  </si>
  <si>
    <t>SPILLWAY</t>
  </si>
  <si>
    <t>PP Sub Division 2</t>
  </si>
  <si>
    <t xml:space="preserve">Saluru </t>
  </si>
  <si>
    <t>RIGHT HEAD SLUICE IN CUSECS</t>
  </si>
  <si>
    <t>Present Capacity (in Mcft)</t>
  </si>
  <si>
    <t>Gross Capacity in Mcft</t>
  </si>
  <si>
    <t>RIVER DISCHARGE PARTICULARS OF PEDDAGEDDA RESERVOIR PROJECT FOR THE MONTH OF JANUARY, 2021</t>
  </si>
  <si>
    <t>RIVER DISCHARGE PARTICULARS OF PEDDAGEDDA RESERVOIR PROJECT FOR THE MONTH OF FEBRUARY , 2021</t>
  </si>
  <si>
    <t>RIVER DISCHARGE PARTICULARS OF PEDDAGEDDA RESERVOIR PROJECT FOR THE MONTH OF MARCH, 2021</t>
  </si>
  <si>
    <t>RIVER DISCHARGE PARTICULARS OF PEDDAGEDDA RESERVOIR PROJECT FOR THE MONTH OF APRIL , 2021</t>
  </si>
  <si>
    <t>RIVER DISCHARGE PARTICULARS OF PEDDAGEDDA RESERVOIR PROJECT FOR THE MONTH OF MAY, 2021</t>
  </si>
  <si>
    <t>RIVER DISCHARGE PARTICULARS OF PEDDAGEDDA RESERVOIR PROJECT FOR THE MONTH OF JUNE, 2021</t>
  </si>
  <si>
    <t>RIVER DISCHARGE PARTICULARS OF PEDDAGEDDA RESERVOIR PROJECT FOR THE MONTH OF JULY, 2021</t>
  </si>
  <si>
    <t>RIVER DISCHARGE PARTICULARS OF PEDDAGEDDA RESERVOIR PROJECT FOR THE MONTH OF  AUGUST , 2021</t>
  </si>
  <si>
    <t>RIVER DISCHARGE PARTICULARS OF PEDDAGEDDA RESERVOIR PROJECT FOR THE MONTH OF SEPTEMBER, 2021</t>
  </si>
  <si>
    <t>RIVER DISCHARGE PARTICULARS OF PEDDAGEDDA RESERVOIR PROJECT FOR THE MONTH OF OCTOBER, 2021</t>
  </si>
  <si>
    <t>RIVER DISCHARGE PARTICULARS OF PEDDAGEDDA RESERVOIR PROJECT FOR THE MONTH OF NOVEMBER, 2021</t>
  </si>
  <si>
    <t>RIVER DISCHARGE PARTICULARS OF PEDDAGEDDA RESERVOIR PROJECT FOR THE MONTH OF DECEMBER, 2021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</si>
</sst>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dd/mm/yyyy;@"/>
  </numFmts>
  <fonts count="9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2" fontId="6" fillId="0" borderId="11" xfId="0" quotePrefix="1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64" fontId="6" fillId="0" borderId="11" xfId="0" quotePrefix="1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/>
    <xf numFmtId="164" fontId="6" fillId="0" borderId="0" xfId="0" quotePrefix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" fillId="0" borderId="11" xfId="0" applyFont="1" applyBorder="1" applyAlignment="1">
      <alignment horizontal="center" vertical="center" wrapText="1"/>
    </xf>
    <xf numFmtId="0" fontId="0" fillId="0" borderId="0" xfId="0"/>
    <xf numFmtId="164" fontId="6" fillId="0" borderId="17" xfId="0" quotePrefix="1" applyNumberFormat="1" applyFont="1" applyBorder="1" applyAlignment="1">
      <alignment horizontal="center" vertical="center" wrapText="1"/>
    </xf>
    <xf numFmtId="164" fontId="6" fillId="0" borderId="16" xfId="0" quotePrefix="1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/>
    <xf numFmtId="164" fontId="6" fillId="0" borderId="13" xfId="0" quotePrefix="1" applyNumberFormat="1" applyFont="1" applyBorder="1" applyAlignment="1">
      <alignment horizontal="center" vertical="center" wrapText="1"/>
    </xf>
    <xf numFmtId="164" fontId="6" fillId="0" borderId="18" xfId="0" quotePrefix="1" applyNumberFormat="1" applyFont="1" applyBorder="1" applyAlignment="1">
      <alignment horizontal="center" vertical="center" wrapText="1"/>
    </xf>
    <xf numFmtId="164" fontId="6" fillId="0" borderId="0" xfId="0" quotePrefix="1" applyNumberFormat="1" applyFont="1" applyBorder="1" applyAlignment="1">
      <alignment horizontal="center" vertical="center" wrapText="1"/>
    </xf>
    <xf numFmtId="164" fontId="6" fillId="0" borderId="19" xfId="0" quotePrefix="1" applyNumberFormat="1" applyFont="1" applyBorder="1" applyAlignment="1">
      <alignment horizontal="center" vertical="center" wrapText="1"/>
    </xf>
    <xf numFmtId="164" fontId="0" fillId="0" borderId="20" xfId="0" applyNumberForma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/>
    </xf>
    <xf numFmtId="164" fontId="0" fillId="0" borderId="13" xfId="0" applyNumberFormat="1" applyFill="1" applyBorder="1" applyAlignment="1">
      <alignment horizontal="center" vertical="center"/>
    </xf>
    <xf numFmtId="166" fontId="5" fillId="0" borderId="21" xfId="0" applyNumberFormat="1" applyFont="1" applyBorder="1" applyAlignment="1">
      <alignment horizontal="center" vertical="center"/>
    </xf>
    <xf numFmtId="1" fontId="6" fillId="0" borderId="11" xfId="0" quotePrefix="1" applyNumberFormat="1" applyFont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 vertical="center" wrapText="1"/>
    </xf>
    <xf numFmtId="0" fontId="2" fillId="0" borderId="10" xfId="0" applyFont="1" applyBorder="1"/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1" fillId="0" borderId="7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 textRotation="90"/>
    </xf>
    <xf numFmtId="0" fontId="2" fillId="0" borderId="12" xfId="0" applyFont="1" applyBorder="1"/>
    <xf numFmtId="0" fontId="2" fillId="0" borderId="15" xfId="0" applyFont="1" applyBorder="1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13" xfId="0" applyNumberFormat="1" applyFont="1" applyBorder="1" applyAlignment="1">
      <alignment horizontal="center" vertical="center" textRotation="90"/>
    </xf>
    <xf numFmtId="0" fontId="2" fillId="0" borderId="13" xfId="0" applyFont="1" applyBorder="1"/>
    <xf numFmtId="165" fontId="6" fillId="0" borderId="0" xfId="0" quotePrefix="1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10" zoomScale="60" workbookViewId="0">
      <selection activeCell="H36" sqref="H36:M36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6" width="8.7109375" style="26" customWidth="1"/>
    <col min="7" max="7" width="11.570312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40" t="s">
        <v>21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4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4" ht="19.5" customHeight="1">
      <c r="A5" s="8">
        <v>44197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213.35</v>
      </c>
      <c r="G5" s="11">
        <v>901.91</v>
      </c>
      <c r="H5" s="9">
        <v>0</v>
      </c>
      <c r="I5" s="9">
        <v>0</v>
      </c>
      <c r="J5" s="37">
        <v>0</v>
      </c>
      <c r="K5" s="1">
        <v>35</v>
      </c>
      <c r="L5" s="38">
        <v>0</v>
      </c>
      <c r="M5" s="23">
        <f>L5+K5+J5+I5</f>
        <v>35</v>
      </c>
      <c r="N5" s="2"/>
    </row>
    <row r="6" spans="1:14" ht="19.5" customHeight="1">
      <c r="A6" s="8">
        <v>44198</v>
      </c>
      <c r="B6" s="57"/>
      <c r="C6" s="57"/>
      <c r="D6" s="21">
        <v>213.8</v>
      </c>
      <c r="E6" s="29">
        <v>949</v>
      </c>
      <c r="F6" s="24">
        <v>213.31</v>
      </c>
      <c r="G6" s="11">
        <v>897.67</v>
      </c>
      <c r="H6" s="9">
        <v>0</v>
      </c>
      <c r="I6" s="9">
        <v>0</v>
      </c>
      <c r="J6" s="37">
        <v>0</v>
      </c>
      <c r="K6" s="1">
        <v>50</v>
      </c>
      <c r="L6" s="38">
        <v>0</v>
      </c>
      <c r="M6" s="23">
        <f t="shared" ref="M6:M35" si="0">L6+K6+J6+I6</f>
        <v>50</v>
      </c>
      <c r="N6" s="2"/>
    </row>
    <row r="7" spans="1:14" ht="19.5" customHeight="1">
      <c r="A7" s="8">
        <v>44199</v>
      </c>
      <c r="B7" s="57"/>
      <c r="C7" s="57"/>
      <c r="D7" s="21">
        <v>213.8</v>
      </c>
      <c r="E7" s="29">
        <v>949</v>
      </c>
      <c r="F7" s="24">
        <v>213.29</v>
      </c>
      <c r="G7" s="11">
        <v>895.56</v>
      </c>
      <c r="H7" s="9">
        <v>0</v>
      </c>
      <c r="I7" s="9">
        <v>0</v>
      </c>
      <c r="J7" s="37">
        <v>0</v>
      </c>
      <c r="K7" s="1">
        <v>0</v>
      </c>
      <c r="L7" s="38">
        <v>0</v>
      </c>
      <c r="M7" s="23">
        <f t="shared" si="0"/>
        <v>0</v>
      </c>
      <c r="N7" s="2"/>
    </row>
    <row r="8" spans="1:14" ht="19.5" customHeight="1">
      <c r="A8" s="8">
        <v>44200</v>
      </c>
      <c r="B8" s="57"/>
      <c r="C8" s="57"/>
      <c r="D8" s="21">
        <v>213.8</v>
      </c>
      <c r="E8" s="29">
        <v>949</v>
      </c>
      <c r="F8" s="24">
        <v>213.29</v>
      </c>
      <c r="G8" s="11">
        <v>895.56</v>
      </c>
      <c r="H8" s="9">
        <v>0</v>
      </c>
      <c r="I8" s="9">
        <v>0</v>
      </c>
      <c r="J8" s="37">
        <v>0</v>
      </c>
      <c r="K8" s="1">
        <v>25</v>
      </c>
      <c r="L8" s="38">
        <v>0</v>
      </c>
      <c r="M8" s="23">
        <f t="shared" si="0"/>
        <v>25</v>
      </c>
      <c r="N8" s="2"/>
    </row>
    <row r="9" spans="1:14" ht="19.5" customHeight="1">
      <c r="A9" s="8">
        <v>44201</v>
      </c>
      <c r="B9" s="57"/>
      <c r="C9" s="57"/>
      <c r="D9" s="21">
        <v>213.8</v>
      </c>
      <c r="E9" s="29">
        <v>949</v>
      </c>
      <c r="F9" s="24">
        <v>213.29</v>
      </c>
      <c r="G9" s="11">
        <v>895.56</v>
      </c>
      <c r="H9" s="9">
        <v>0</v>
      </c>
      <c r="I9" s="9">
        <v>0</v>
      </c>
      <c r="J9" s="37">
        <v>0</v>
      </c>
      <c r="K9" s="1">
        <v>25</v>
      </c>
      <c r="L9" s="38">
        <v>0</v>
      </c>
      <c r="M9" s="23">
        <f t="shared" si="0"/>
        <v>25</v>
      </c>
      <c r="N9" s="2"/>
    </row>
    <row r="10" spans="1:14" ht="19.5" customHeight="1">
      <c r="A10" s="8">
        <v>44202</v>
      </c>
      <c r="B10" s="57"/>
      <c r="C10" s="57"/>
      <c r="D10" s="21">
        <v>213.8</v>
      </c>
      <c r="E10" s="29">
        <v>949</v>
      </c>
      <c r="F10" s="24">
        <v>213.29</v>
      </c>
      <c r="G10" s="11">
        <v>895.56</v>
      </c>
      <c r="H10" s="9">
        <v>0</v>
      </c>
      <c r="I10" s="9">
        <v>0</v>
      </c>
      <c r="J10" s="37">
        <v>0</v>
      </c>
      <c r="K10" s="1">
        <v>25</v>
      </c>
      <c r="L10" s="38">
        <v>0</v>
      </c>
      <c r="M10" s="23">
        <f t="shared" si="0"/>
        <v>25</v>
      </c>
      <c r="N10" s="2"/>
    </row>
    <row r="11" spans="1:14" ht="19.5" customHeight="1">
      <c r="A11" s="8">
        <v>44203</v>
      </c>
      <c r="B11" s="57"/>
      <c r="C11" s="57"/>
      <c r="D11" s="21">
        <v>213.8</v>
      </c>
      <c r="E11" s="29">
        <v>949</v>
      </c>
      <c r="F11" s="24">
        <v>213.29</v>
      </c>
      <c r="G11" s="11">
        <v>895.56</v>
      </c>
      <c r="H11" s="9">
        <v>0</v>
      </c>
      <c r="I11" s="9">
        <v>0</v>
      </c>
      <c r="J11" s="37">
        <v>0</v>
      </c>
      <c r="K11" s="1">
        <v>25</v>
      </c>
      <c r="L11" s="38">
        <v>0</v>
      </c>
      <c r="M11" s="23">
        <f t="shared" si="0"/>
        <v>25</v>
      </c>
      <c r="N11" s="2"/>
    </row>
    <row r="12" spans="1:14" ht="19.5" customHeight="1">
      <c r="A12" s="8">
        <v>44204</v>
      </c>
      <c r="B12" s="57"/>
      <c r="C12" s="57"/>
      <c r="D12" s="21">
        <v>213.8</v>
      </c>
      <c r="E12" s="29">
        <v>949</v>
      </c>
      <c r="F12" s="24">
        <v>213.29</v>
      </c>
      <c r="G12" s="11">
        <v>895.56</v>
      </c>
      <c r="H12" s="9">
        <v>0</v>
      </c>
      <c r="I12" s="9">
        <v>0</v>
      </c>
      <c r="J12" s="37">
        <v>0</v>
      </c>
      <c r="K12" s="1">
        <v>25</v>
      </c>
      <c r="L12" s="38">
        <v>0</v>
      </c>
      <c r="M12" s="23">
        <f t="shared" si="0"/>
        <v>25</v>
      </c>
      <c r="N12" s="2"/>
    </row>
    <row r="13" spans="1:14" ht="19.5" customHeight="1">
      <c r="A13" s="8">
        <v>44205</v>
      </c>
      <c r="B13" s="57"/>
      <c r="C13" s="57"/>
      <c r="D13" s="21">
        <v>213.8</v>
      </c>
      <c r="E13" s="29">
        <v>949</v>
      </c>
      <c r="F13" s="24">
        <v>213.29</v>
      </c>
      <c r="G13" s="11">
        <v>895.56</v>
      </c>
      <c r="H13" s="9">
        <v>0</v>
      </c>
      <c r="I13" s="9">
        <v>0</v>
      </c>
      <c r="J13" s="37">
        <v>0</v>
      </c>
      <c r="K13" s="1">
        <v>25</v>
      </c>
      <c r="L13" s="38">
        <v>0</v>
      </c>
      <c r="M13" s="23">
        <f t="shared" si="0"/>
        <v>25</v>
      </c>
      <c r="N13" s="2"/>
    </row>
    <row r="14" spans="1:14" ht="19.5" customHeight="1">
      <c r="A14" s="8">
        <v>44206</v>
      </c>
      <c r="B14" s="57"/>
      <c r="C14" s="57"/>
      <c r="D14" s="21">
        <v>213.8</v>
      </c>
      <c r="E14" s="29">
        <v>949</v>
      </c>
      <c r="F14" s="24">
        <v>213.29</v>
      </c>
      <c r="G14" s="11">
        <v>895.56</v>
      </c>
      <c r="H14" s="9">
        <v>0</v>
      </c>
      <c r="I14" s="9">
        <v>0</v>
      </c>
      <c r="J14" s="37">
        <v>0</v>
      </c>
      <c r="K14" s="1">
        <v>25</v>
      </c>
      <c r="L14" s="38">
        <v>0</v>
      </c>
      <c r="M14" s="23">
        <f t="shared" si="0"/>
        <v>25</v>
      </c>
      <c r="N14" s="2"/>
    </row>
    <row r="15" spans="1:14" ht="19.5" customHeight="1">
      <c r="A15" s="8">
        <v>44207</v>
      </c>
      <c r="B15" s="57"/>
      <c r="C15" s="57"/>
      <c r="D15" s="21">
        <v>213.8</v>
      </c>
      <c r="E15" s="29">
        <v>949</v>
      </c>
      <c r="F15" s="24">
        <v>213.29</v>
      </c>
      <c r="G15" s="11">
        <v>895.56</v>
      </c>
      <c r="H15" s="9">
        <v>0</v>
      </c>
      <c r="I15" s="9">
        <v>0</v>
      </c>
      <c r="J15" s="37">
        <v>0</v>
      </c>
      <c r="K15" s="1">
        <v>25</v>
      </c>
      <c r="L15" s="38">
        <v>0</v>
      </c>
      <c r="M15" s="23">
        <f t="shared" si="0"/>
        <v>25</v>
      </c>
      <c r="N15" s="2"/>
    </row>
    <row r="16" spans="1:14" ht="19.5" customHeight="1">
      <c r="A16" s="8">
        <v>44208</v>
      </c>
      <c r="B16" s="57"/>
      <c r="C16" s="57"/>
      <c r="D16" s="21">
        <v>213.8</v>
      </c>
      <c r="E16" s="29">
        <v>949</v>
      </c>
      <c r="F16" s="24">
        <v>213.29</v>
      </c>
      <c r="G16" s="11">
        <v>895.56</v>
      </c>
      <c r="H16" s="9">
        <v>0</v>
      </c>
      <c r="I16" s="9">
        <v>0</v>
      </c>
      <c r="J16" s="37">
        <v>0</v>
      </c>
      <c r="K16" s="1">
        <v>25</v>
      </c>
      <c r="L16" s="38">
        <v>0</v>
      </c>
      <c r="M16" s="23">
        <f t="shared" si="0"/>
        <v>25</v>
      </c>
      <c r="N16" s="2"/>
    </row>
    <row r="17" spans="1:15" ht="19.5" customHeight="1">
      <c r="A17" s="8">
        <v>44209</v>
      </c>
      <c r="B17" s="57"/>
      <c r="C17" s="57"/>
      <c r="D17" s="21">
        <v>213.8</v>
      </c>
      <c r="E17" s="29">
        <v>949</v>
      </c>
      <c r="F17" s="24">
        <v>213.29</v>
      </c>
      <c r="G17" s="11">
        <v>895.56</v>
      </c>
      <c r="H17" s="9">
        <v>0</v>
      </c>
      <c r="I17" s="9">
        <v>0</v>
      </c>
      <c r="J17" s="37">
        <v>0</v>
      </c>
      <c r="K17" s="1">
        <v>25</v>
      </c>
      <c r="L17" s="38">
        <v>0</v>
      </c>
      <c r="M17" s="23">
        <f t="shared" si="0"/>
        <v>25</v>
      </c>
      <c r="N17" s="2"/>
    </row>
    <row r="18" spans="1:15" ht="19.5" customHeight="1">
      <c r="A18" s="8">
        <v>44210</v>
      </c>
      <c r="B18" s="57"/>
      <c r="C18" s="57"/>
      <c r="D18" s="21">
        <v>213.8</v>
      </c>
      <c r="E18" s="29">
        <v>949</v>
      </c>
      <c r="F18" s="24">
        <v>213.29</v>
      </c>
      <c r="G18" s="11">
        <v>895.56</v>
      </c>
      <c r="H18" s="9">
        <v>0</v>
      </c>
      <c r="I18" s="9">
        <v>0</v>
      </c>
      <c r="J18" s="37">
        <v>0</v>
      </c>
      <c r="K18" s="1">
        <v>25</v>
      </c>
      <c r="L18" s="38">
        <v>0</v>
      </c>
      <c r="M18" s="23">
        <f t="shared" si="0"/>
        <v>25</v>
      </c>
      <c r="N18" s="2"/>
    </row>
    <row r="19" spans="1:15" ht="19.5" customHeight="1">
      <c r="A19" s="8">
        <v>44211</v>
      </c>
      <c r="B19" s="57"/>
      <c r="C19" s="57"/>
      <c r="D19" s="21">
        <v>213.8</v>
      </c>
      <c r="E19" s="29">
        <v>949</v>
      </c>
      <c r="F19" s="24">
        <v>213.29</v>
      </c>
      <c r="G19" s="11">
        <v>895.56</v>
      </c>
      <c r="H19" s="9">
        <v>0</v>
      </c>
      <c r="I19" s="9">
        <v>0</v>
      </c>
      <c r="J19" s="37">
        <v>0</v>
      </c>
      <c r="K19" s="1">
        <v>25</v>
      </c>
      <c r="L19" s="38">
        <v>0</v>
      </c>
      <c r="M19" s="23">
        <f t="shared" si="0"/>
        <v>25</v>
      </c>
      <c r="N19" s="2"/>
    </row>
    <row r="20" spans="1:15" ht="19.5" customHeight="1">
      <c r="A20" s="8">
        <v>44212</v>
      </c>
      <c r="B20" s="57"/>
      <c r="C20" s="57"/>
      <c r="D20" s="21">
        <v>213.8</v>
      </c>
      <c r="E20" s="29">
        <v>949</v>
      </c>
      <c r="F20" s="24">
        <v>213.29</v>
      </c>
      <c r="G20" s="11">
        <v>895.56</v>
      </c>
      <c r="H20" s="9">
        <v>0</v>
      </c>
      <c r="I20" s="9">
        <v>0</v>
      </c>
      <c r="J20" s="37">
        <v>0</v>
      </c>
      <c r="K20" s="1">
        <v>25</v>
      </c>
      <c r="L20" s="38">
        <v>0</v>
      </c>
      <c r="M20" s="23">
        <f t="shared" si="0"/>
        <v>25</v>
      </c>
      <c r="N20" s="2"/>
    </row>
    <row r="21" spans="1:15" ht="19.5" customHeight="1">
      <c r="A21" s="8">
        <v>44213</v>
      </c>
      <c r="B21" s="57"/>
      <c r="C21" s="57"/>
      <c r="D21" s="21">
        <v>213.8</v>
      </c>
      <c r="E21" s="29">
        <v>949</v>
      </c>
      <c r="F21" s="24">
        <v>213.15</v>
      </c>
      <c r="G21" s="11">
        <v>879.36</v>
      </c>
      <c r="H21" s="9">
        <v>0</v>
      </c>
      <c r="I21" s="9">
        <v>0</v>
      </c>
      <c r="J21" s="37">
        <v>0</v>
      </c>
      <c r="K21" s="37">
        <v>0</v>
      </c>
      <c r="L21" s="38">
        <v>0</v>
      </c>
      <c r="M21" s="23">
        <f t="shared" si="0"/>
        <v>0</v>
      </c>
      <c r="N21" s="2"/>
    </row>
    <row r="22" spans="1:15" ht="19.5" customHeight="1">
      <c r="A22" s="8">
        <v>44214</v>
      </c>
      <c r="B22" s="57"/>
      <c r="C22" s="57"/>
      <c r="D22" s="21">
        <v>213.8</v>
      </c>
      <c r="E22" s="29">
        <v>949</v>
      </c>
      <c r="F22" s="24">
        <v>213.15</v>
      </c>
      <c r="G22" s="11">
        <v>879.36</v>
      </c>
      <c r="H22" s="9">
        <v>0</v>
      </c>
      <c r="I22" s="9">
        <v>0</v>
      </c>
      <c r="J22" s="37">
        <v>0</v>
      </c>
      <c r="K22" s="37">
        <v>0</v>
      </c>
      <c r="L22" s="38">
        <v>0</v>
      </c>
      <c r="M22" s="23">
        <f t="shared" si="0"/>
        <v>0</v>
      </c>
      <c r="N22" s="2"/>
    </row>
    <row r="23" spans="1:15" ht="19.5" customHeight="1">
      <c r="A23" s="8">
        <v>44215</v>
      </c>
      <c r="B23" s="57"/>
      <c r="C23" s="57"/>
      <c r="D23" s="21">
        <v>213.8</v>
      </c>
      <c r="E23" s="29">
        <v>949</v>
      </c>
      <c r="F23" s="24">
        <v>213.15</v>
      </c>
      <c r="G23" s="11">
        <v>879.36</v>
      </c>
      <c r="H23" s="9">
        <v>0</v>
      </c>
      <c r="I23" s="9">
        <v>0</v>
      </c>
      <c r="J23" s="37">
        <v>0</v>
      </c>
      <c r="K23" s="37">
        <v>0</v>
      </c>
      <c r="L23" s="38">
        <v>0</v>
      </c>
      <c r="M23" s="23">
        <f t="shared" si="0"/>
        <v>0</v>
      </c>
      <c r="N23" s="2"/>
    </row>
    <row r="24" spans="1:15" ht="19.5" customHeight="1">
      <c r="A24" s="8">
        <v>44216</v>
      </c>
      <c r="B24" s="57"/>
      <c r="C24" s="57"/>
      <c r="D24" s="21">
        <v>213.8</v>
      </c>
      <c r="E24" s="29">
        <v>949</v>
      </c>
      <c r="F24" s="24">
        <v>213.15</v>
      </c>
      <c r="G24" s="11">
        <v>879.36</v>
      </c>
      <c r="H24" s="9">
        <v>0</v>
      </c>
      <c r="I24" s="9">
        <v>0</v>
      </c>
      <c r="J24" s="37">
        <v>0</v>
      </c>
      <c r="K24" s="37">
        <v>0</v>
      </c>
      <c r="L24" s="38">
        <v>0</v>
      </c>
      <c r="M24" s="23">
        <f t="shared" si="0"/>
        <v>0</v>
      </c>
      <c r="N24" s="2"/>
    </row>
    <row r="25" spans="1:15" ht="19.5" customHeight="1">
      <c r="A25" s="8">
        <v>44217</v>
      </c>
      <c r="B25" s="57"/>
      <c r="C25" s="57"/>
      <c r="D25" s="21">
        <v>213.8</v>
      </c>
      <c r="E25" s="29">
        <v>949</v>
      </c>
      <c r="F25" s="24">
        <v>213.15</v>
      </c>
      <c r="G25" s="11">
        <v>879.36</v>
      </c>
      <c r="H25" s="9">
        <v>0</v>
      </c>
      <c r="I25" s="9">
        <v>0</v>
      </c>
      <c r="J25" s="37">
        <v>0</v>
      </c>
      <c r="K25" s="37">
        <v>0</v>
      </c>
      <c r="L25" s="38">
        <v>0</v>
      </c>
      <c r="M25" s="23">
        <f t="shared" si="0"/>
        <v>0</v>
      </c>
      <c r="N25" s="2"/>
    </row>
    <row r="26" spans="1:15" ht="19.5" customHeight="1">
      <c r="A26" s="8">
        <v>44218</v>
      </c>
      <c r="B26" s="57"/>
      <c r="C26" s="57"/>
      <c r="D26" s="21">
        <v>213.8</v>
      </c>
      <c r="E26" s="29">
        <v>949</v>
      </c>
      <c r="F26" s="24">
        <v>213.09</v>
      </c>
      <c r="G26" s="11">
        <v>874.03</v>
      </c>
      <c r="H26" s="9">
        <v>0</v>
      </c>
      <c r="I26" s="9">
        <v>0</v>
      </c>
      <c r="J26" s="37">
        <v>0</v>
      </c>
      <c r="K26" s="37">
        <v>0</v>
      </c>
      <c r="L26" s="38">
        <v>0</v>
      </c>
      <c r="M26" s="23">
        <f t="shared" si="0"/>
        <v>0</v>
      </c>
      <c r="N26" s="2"/>
      <c r="O26" s="17"/>
    </row>
    <row r="27" spans="1:15" ht="19.5" customHeight="1">
      <c r="A27" s="8">
        <v>44219</v>
      </c>
      <c r="B27" s="57"/>
      <c r="C27" s="57"/>
      <c r="D27" s="21">
        <v>213.8</v>
      </c>
      <c r="E27" s="29">
        <v>949</v>
      </c>
      <c r="F27" s="24">
        <v>213.08</v>
      </c>
      <c r="G27" s="11">
        <v>873.44</v>
      </c>
      <c r="H27" s="9">
        <v>0</v>
      </c>
      <c r="I27" s="9">
        <v>0</v>
      </c>
      <c r="J27" s="37">
        <v>0</v>
      </c>
      <c r="K27" s="37">
        <v>0</v>
      </c>
      <c r="L27" s="38">
        <v>0</v>
      </c>
      <c r="M27" s="23">
        <f t="shared" si="0"/>
        <v>0</v>
      </c>
      <c r="N27" s="2"/>
    </row>
    <row r="28" spans="1:15" ht="19.5" customHeight="1">
      <c r="A28" s="8">
        <v>44220</v>
      </c>
      <c r="B28" s="57"/>
      <c r="C28" s="57"/>
      <c r="D28" s="21">
        <v>213.8</v>
      </c>
      <c r="E28" s="29">
        <v>949</v>
      </c>
      <c r="F28" s="24">
        <v>213.08</v>
      </c>
      <c r="G28" s="11">
        <v>873.44</v>
      </c>
      <c r="H28" s="9">
        <v>0</v>
      </c>
      <c r="I28" s="9">
        <v>0</v>
      </c>
      <c r="J28" s="37">
        <v>0</v>
      </c>
      <c r="K28" s="37">
        <v>0</v>
      </c>
      <c r="L28" s="38">
        <v>0</v>
      </c>
      <c r="M28" s="23">
        <f t="shared" si="0"/>
        <v>0</v>
      </c>
      <c r="N28" s="2"/>
    </row>
    <row r="29" spans="1:15" ht="19.5" customHeight="1">
      <c r="A29" s="8">
        <v>44221</v>
      </c>
      <c r="B29" s="57"/>
      <c r="C29" s="57"/>
      <c r="D29" s="21">
        <v>213.8</v>
      </c>
      <c r="E29" s="29">
        <v>949</v>
      </c>
      <c r="F29" s="24">
        <v>213.08</v>
      </c>
      <c r="G29" s="11">
        <v>873.44</v>
      </c>
      <c r="H29" s="9">
        <v>0</v>
      </c>
      <c r="I29" s="9">
        <v>0</v>
      </c>
      <c r="J29" s="37">
        <v>0</v>
      </c>
      <c r="K29" s="37">
        <v>0</v>
      </c>
      <c r="L29" s="38">
        <v>0</v>
      </c>
      <c r="M29" s="23">
        <f t="shared" si="0"/>
        <v>0</v>
      </c>
      <c r="N29" s="2"/>
    </row>
    <row r="30" spans="1:15" ht="19.5" customHeight="1">
      <c r="A30" s="8">
        <v>44222</v>
      </c>
      <c r="B30" s="57"/>
      <c r="C30" s="57"/>
      <c r="D30" s="21">
        <v>213.8</v>
      </c>
      <c r="E30" s="29">
        <v>949</v>
      </c>
      <c r="F30" s="24">
        <v>213.08</v>
      </c>
      <c r="G30" s="11">
        <v>873.44</v>
      </c>
      <c r="H30" s="9">
        <v>0</v>
      </c>
      <c r="I30" s="9">
        <v>0</v>
      </c>
      <c r="J30" s="37">
        <v>0</v>
      </c>
      <c r="K30" s="37">
        <v>0</v>
      </c>
      <c r="L30" s="38">
        <v>0</v>
      </c>
      <c r="M30" s="23">
        <f t="shared" si="0"/>
        <v>0</v>
      </c>
      <c r="N30" s="2"/>
    </row>
    <row r="31" spans="1:15" ht="21" customHeight="1">
      <c r="A31" s="8">
        <v>44223</v>
      </c>
      <c r="B31" s="57"/>
      <c r="C31" s="57"/>
      <c r="D31" s="21">
        <v>213.8</v>
      </c>
      <c r="E31" s="29">
        <v>949</v>
      </c>
      <c r="F31" s="24">
        <v>212.97</v>
      </c>
      <c r="G31" s="11">
        <v>863.12</v>
      </c>
      <c r="H31" s="9">
        <v>0</v>
      </c>
      <c r="I31" s="9">
        <v>0</v>
      </c>
      <c r="J31" s="37">
        <v>0</v>
      </c>
      <c r="K31" s="37">
        <v>0</v>
      </c>
      <c r="L31" s="38">
        <v>0</v>
      </c>
      <c r="M31" s="23">
        <f t="shared" si="0"/>
        <v>0</v>
      </c>
      <c r="N31" s="2"/>
    </row>
    <row r="32" spans="1:15" ht="21" customHeight="1">
      <c r="A32" s="8">
        <v>44224</v>
      </c>
      <c r="B32" s="57"/>
      <c r="C32" s="57"/>
      <c r="D32" s="21">
        <v>213.8</v>
      </c>
      <c r="E32" s="29">
        <v>949</v>
      </c>
      <c r="F32" s="24">
        <v>212.97</v>
      </c>
      <c r="G32" s="11">
        <v>863.12</v>
      </c>
      <c r="H32" s="9">
        <v>0</v>
      </c>
      <c r="I32" s="9">
        <v>0</v>
      </c>
      <c r="J32" s="37">
        <v>0</v>
      </c>
      <c r="K32" s="1">
        <v>50</v>
      </c>
      <c r="L32" s="38">
        <v>0</v>
      </c>
      <c r="M32" s="23">
        <f t="shared" si="0"/>
        <v>50</v>
      </c>
      <c r="N32" s="2"/>
    </row>
    <row r="33" spans="1:15" ht="21" customHeight="1">
      <c r="A33" s="8">
        <v>44225</v>
      </c>
      <c r="B33" s="57"/>
      <c r="C33" s="57"/>
      <c r="D33" s="21">
        <v>213.8</v>
      </c>
      <c r="E33" s="29">
        <v>949</v>
      </c>
      <c r="F33" s="24">
        <v>212.93</v>
      </c>
      <c r="G33" s="11">
        <v>858.8</v>
      </c>
      <c r="H33" s="9">
        <v>0</v>
      </c>
      <c r="I33" s="9">
        <v>0</v>
      </c>
      <c r="J33" s="37">
        <v>0</v>
      </c>
      <c r="K33" s="1">
        <v>50</v>
      </c>
      <c r="L33" s="38">
        <v>0</v>
      </c>
      <c r="M33" s="23">
        <f t="shared" si="0"/>
        <v>50</v>
      </c>
      <c r="N33" s="2"/>
    </row>
    <row r="34" spans="1:15" ht="21" customHeight="1">
      <c r="A34" s="8">
        <v>44226</v>
      </c>
      <c r="B34" s="57"/>
      <c r="C34" s="57"/>
      <c r="D34" s="21">
        <v>213.8</v>
      </c>
      <c r="E34" s="29">
        <v>949</v>
      </c>
      <c r="F34" s="24">
        <v>212.81</v>
      </c>
      <c r="G34" s="11">
        <v>845.43</v>
      </c>
      <c r="H34" s="9">
        <v>0</v>
      </c>
      <c r="I34" s="9">
        <v>0</v>
      </c>
      <c r="J34" s="1">
        <v>20</v>
      </c>
      <c r="K34" s="1">
        <v>50</v>
      </c>
      <c r="L34" s="38">
        <v>0</v>
      </c>
      <c r="M34" s="23">
        <f t="shared" si="0"/>
        <v>70</v>
      </c>
      <c r="N34" s="2"/>
    </row>
    <row r="35" spans="1:15" ht="21" customHeight="1">
      <c r="A35" s="8">
        <v>44227</v>
      </c>
      <c r="B35" s="58"/>
      <c r="C35" s="58"/>
      <c r="D35" s="22">
        <v>213.8</v>
      </c>
      <c r="E35" s="29">
        <v>949</v>
      </c>
      <c r="F35" s="24">
        <v>212.76</v>
      </c>
      <c r="G35" s="11">
        <v>840.14</v>
      </c>
      <c r="H35" s="9">
        <v>0</v>
      </c>
      <c r="I35" s="9">
        <v>0</v>
      </c>
      <c r="J35" s="1">
        <v>20</v>
      </c>
      <c r="K35" s="1">
        <v>40</v>
      </c>
      <c r="L35" s="38">
        <v>0</v>
      </c>
      <c r="M35" s="23">
        <f t="shared" si="0"/>
        <v>60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63"/>
      <c r="H36" s="63">
        <f t="shared" ref="H36:M36" si="1">SUM(H5:H35)</f>
        <v>0</v>
      </c>
      <c r="I36" s="63">
        <f t="shared" si="1"/>
        <v>0</v>
      </c>
      <c r="J36" s="63">
        <f t="shared" si="1"/>
        <v>40</v>
      </c>
      <c r="K36" s="63">
        <f t="shared" si="1"/>
        <v>600</v>
      </c>
      <c r="L36" s="63">
        <f t="shared" si="1"/>
        <v>0</v>
      </c>
      <c r="M36" s="63">
        <f t="shared" si="1"/>
        <v>640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27"/>
      <c r="M37" s="27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9"/>
  <sheetViews>
    <sheetView view="pageBreakPreview" topLeftCell="A5" zoomScale="60" workbookViewId="0">
      <selection activeCell="H33" sqref="H33:M33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40" t="s">
        <v>22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4" ht="51.75" customHeight="1">
      <c r="A4" s="57"/>
      <c r="B4" s="57"/>
      <c r="C4" s="57"/>
      <c r="D4" s="57"/>
      <c r="E4" s="52"/>
      <c r="F4" s="5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4" ht="19.5" customHeight="1">
      <c r="A5" s="34">
        <v>44228</v>
      </c>
      <c r="B5" s="61" t="s">
        <v>11</v>
      </c>
      <c r="C5" s="61" t="s">
        <v>12</v>
      </c>
      <c r="D5" s="29">
        <v>213.8</v>
      </c>
      <c r="E5" s="29">
        <v>949</v>
      </c>
      <c r="F5" s="24">
        <v>212.76</v>
      </c>
      <c r="G5" s="32">
        <v>840.14</v>
      </c>
      <c r="H5" s="9">
        <v>0</v>
      </c>
      <c r="I5" s="38">
        <v>0</v>
      </c>
      <c r="J5" s="37">
        <v>0</v>
      </c>
      <c r="K5" s="1">
        <v>40</v>
      </c>
      <c r="L5" s="38">
        <v>0</v>
      </c>
      <c r="M5" s="23">
        <f>L5+K5+J5+I5</f>
        <v>40</v>
      </c>
      <c r="N5" s="2"/>
    </row>
    <row r="6" spans="1:14" ht="19.5" customHeight="1">
      <c r="A6" s="34">
        <v>44229</v>
      </c>
      <c r="B6" s="62"/>
      <c r="C6" s="62"/>
      <c r="D6" s="29">
        <v>213.8</v>
      </c>
      <c r="E6" s="29">
        <v>949</v>
      </c>
      <c r="F6" s="24">
        <v>212.68</v>
      </c>
      <c r="G6" s="32">
        <v>831.66</v>
      </c>
      <c r="H6" s="9">
        <v>0</v>
      </c>
      <c r="I6" s="38">
        <v>0</v>
      </c>
      <c r="J6" s="37">
        <v>0</v>
      </c>
      <c r="K6" s="1">
        <v>60</v>
      </c>
      <c r="L6" s="38">
        <v>0</v>
      </c>
      <c r="M6" s="23">
        <f t="shared" ref="M6:M32" si="0">L6+K6+J6+I6</f>
        <v>60</v>
      </c>
      <c r="N6" s="2"/>
    </row>
    <row r="7" spans="1:14" ht="19.5" customHeight="1">
      <c r="A7" s="34">
        <v>44230</v>
      </c>
      <c r="B7" s="62"/>
      <c r="C7" s="62"/>
      <c r="D7" s="29">
        <v>213.8</v>
      </c>
      <c r="E7" s="29">
        <v>949</v>
      </c>
      <c r="F7" s="24">
        <v>212.63</v>
      </c>
      <c r="G7" s="32">
        <v>826</v>
      </c>
      <c r="H7" s="9">
        <v>0</v>
      </c>
      <c r="I7" s="38">
        <v>0</v>
      </c>
      <c r="J7" s="37">
        <v>0</v>
      </c>
      <c r="K7" s="1">
        <v>60</v>
      </c>
      <c r="L7" s="38">
        <v>0</v>
      </c>
      <c r="M7" s="23">
        <f t="shared" si="0"/>
        <v>60</v>
      </c>
      <c r="N7" s="2"/>
    </row>
    <row r="8" spans="1:14" ht="19.5" customHeight="1">
      <c r="A8" s="34">
        <v>44231</v>
      </c>
      <c r="B8" s="62"/>
      <c r="C8" s="62"/>
      <c r="D8" s="29">
        <v>213.8</v>
      </c>
      <c r="E8" s="29">
        <v>949</v>
      </c>
      <c r="F8" s="24">
        <v>212.58</v>
      </c>
      <c r="G8" s="32">
        <v>821.43</v>
      </c>
      <c r="H8" s="9">
        <v>0</v>
      </c>
      <c r="I8" s="38">
        <v>0</v>
      </c>
      <c r="J8" s="37">
        <v>0</v>
      </c>
      <c r="K8" s="1">
        <v>60</v>
      </c>
      <c r="L8" s="38">
        <v>0</v>
      </c>
      <c r="M8" s="23">
        <f t="shared" si="0"/>
        <v>60</v>
      </c>
      <c r="N8" s="2"/>
    </row>
    <row r="9" spans="1:14" ht="19.5" customHeight="1">
      <c r="A9" s="34">
        <v>44232</v>
      </c>
      <c r="B9" s="62"/>
      <c r="C9" s="62"/>
      <c r="D9" s="29">
        <v>213.8</v>
      </c>
      <c r="E9" s="29">
        <v>949</v>
      </c>
      <c r="F9" s="24">
        <v>212.53</v>
      </c>
      <c r="G9" s="32">
        <v>821.43</v>
      </c>
      <c r="H9" s="9">
        <v>0</v>
      </c>
      <c r="I9" s="38">
        <v>0</v>
      </c>
      <c r="J9" s="37">
        <v>0</v>
      </c>
      <c r="K9" s="1">
        <v>60</v>
      </c>
      <c r="L9" s="38">
        <v>0</v>
      </c>
      <c r="M9" s="23">
        <f t="shared" si="0"/>
        <v>60</v>
      </c>
      <c r="N9" s="2"/>
    </row>
    <row r="10" spans="1:14" ht="19.5" customHeight="1">
      <c r="A10" s="34">
        <v>44233</v>
      </c>
      <c r="B10" s="62"/>
      <c r="C10" s="62"/>
      <c r="D10" s="29">
        <v>213.8</v>
      </c>
      <c r="E10" s="29">
        <v>949</v>
      </c>
      <c r="F10" s="24">
        <v>212.53</v>
      </c>
      <c r="G10" s="32">
        <v>821.43</v>
      </c>
      <c r="H10" s="9">
        <v>0</v>
      </c>
      <c r="I10" s="38">
        <v>0</v>
      </c>
      <c r="J10" s="37">
        <v>0</v>
      </c>
      <c r="K10" s="1">
        <v>60</v>
      </c>
      <c r="L10" s="38">
        <v>0</v>
      </c>
      <c r="M10" s="23">
        <f t="shared" si="0"/>
        <v>60</v>
      </c>
      <c r="N10" s="2"/>
    </row>
    <row r="11" spans="1:14" ht="19.5" customHeight="1">
      <c r="A11" s="34">
        <v>44234</v>
      </c>
      <c r="B11" s="62"/>
      <c r="C11" s="62"/>
      <c r="D11" s="29">
        <v>213.8</v>
      </c>
      <c r="E11" s="29">
        <v>949</v>
      </c>
      <c r="F11" s="24">
        <v>212.53</v>
      </c>
      <c r="G11" s="32">
        <v>821.43</v>
      </c>
      <c r="H11" s="9">
        <v>0</v>
      </c>
      <c r="I11" s="38">
        <v>0</v>
      </c>
      <c r="J11" s="37">
        <v>0</v>
      </c>
      <c r="K11" s="1">
        <v>0</v>
      </c>
      <c r="L11" s="38">
        <v>0</v>
      </c>
      <c r="M11" s="23">
        <f t="shared" si="0"/>
        <v>0</v>
      </c>
      <c r="N11" s="2"/>
    </row>
    <row r="12" spans="1:14" ht="19.5" customHeight="1">
      <c r="A12" s="34">
        <v>44235</v>
      </c>
      <c r="B12" s="62"/>
      <c r="C12" s="62"/>
      <c r="D12" s="29">
        <v>213.8</v>
      </c>
      <c r="E12" s="29">
        <v>949</v>
      </c>
      <c r="F12" s="24">
        <v>212.53</v>
      </c>
      <c r="G12" s="32">
        <v>821.43</v>
      </c>
      <c r="H12" s="9">
        <v>0</v>
      </c>
      <c r="I12" s="38">
        <v>0</v>
      </c>
      <c r="J12" s="37">
        <v>0</v>
      </c>
      <c r="K12" s="1">
        <v>0</v>
      </c>
      <c r="L12" s="38">
        <v>0</v>
      </c>
      <c r="M12" s="23">
        <f t="shared" si="0"/>
        <v>0</v>
      </c>
      <c r="N12" s="2"/>
    </row>
    <row r="13" spans="1:14" ht="19.5" customHeight="1">
      <c r="A13" s="34">
        <v>44236</v>
      </c>
      <c r="B13" s="62"/>
      <c r="C13" s="62"/>
      <c r="D13" s="29">
        <v>213.8</v>
      </c>
      <c r="E13" s="29">
        <v>949</v>
      </c>
      <c r="F13" s="35">
        <v>212.33</v>
      </c>
      <c r="G13" s="33">
        <v>795</v>
      </c>
      <c r="H13" s="9">
        <v>0</v>
      </c>
      <c r="I13" s="38">
        <v>0</v>
      </c>
      <c r="J13" s="37">
        <v>0</v>
      </c>
      <c r="K13" s="1">
        <v>60</v>
      </c>
      <c r="L13" s="38">
        <v>0</v>
      </c>
      <c r="M13" s="23">
        <f t="shared" si="0"/>
        <v>60</v>
      </c>
      <c r="N13" s="2"/>
    </row>
    <row r="14" spans="1:14" ht="19.5" customHeight="1">
      <c r="A14" s="34">
        <v>44237</v>
      </c>
      <c r="B14" s="62"/>
      <c r="C14" s="62"/>
      <c r="D14" s="29">
        <v>213.8</v>
      </c>
      <c r="E14" s="29">
        <v>949</v>
      </c>
      <c r="F14" s="24">
        <v>212.3</v>
      </c>
      <c r="G14" s="32">
        <v>792.13</v>
      </c>
      <c r="H14" s="9">
        <v>0</v>
      </c>
      <c r="I14" s="38">
        <v>0</v>
      </c>
      <c r="J14" s="37">
        <v>0</v>
      </c>
      <c r="K14" s="1">
        <v>35</v>
      </c>
      <c r="L14" s="38">
        <v>0</v>
      </c>
      <c r="M14" s="23">
        <f t="shared" si="0"/>
        <v>35</v>
      </c>
      <c r="N14" s="2"/>
    </row>
    <row r="15" spans="1:14" ht="19.5" customHeight="1">
      <c r="A15" s="34">
        <v>44238</v>
      </c>
      <c r="B15" s="62"/>
      <c r="C15" s="62"/>
      <c r="D15" s="29">
        <v>213.8</v>
      </c>
      <c r="E15" s="29">
        <v>949</v>
      </c>
      <c r="F15" s="24">
        <v>212.28</v>
      </c>
      <c r="G15" s="32">
        <v>790.01400000000001</v>
      </c>
      <c r="H15" s="9">
        <v>0</v>
      </c>
      <c r="I15" s="38">
        <v>0</v>
      </c>
      <c r="J15" s="37">
        <v>0</v>
      </c>
      <c r="K15" s="1">
        <v>25</v>
      </c>
      <c r="L15" s="38">
        <v>0</v>
      </c>
      <c r="M15" s="23">
        <f t="shared" si="0"/>
        <v>25</v>
      </c>
      <c r="N15" s="2"/>
    </row>
    <row r="16" spans="1:14" ht="19.5" customHeight="1">
      <c r="A16" s="34">
        <v>44239</v>
      </c>
      <c r="B16" s="62"/>
      <c r="C16" s="62"/>
      <c r="D16" s="29">
        <v>213.8</v>
      </c>
      <c r="E16" s="29">
        <v>949</v>
      </c>
      <c r="F16" s="24">
        <v>212.28</v>
      </c>
      <c r="G16" s="32">
        <v>790.14</v>
      </c>
      <c r="H16" s="9">
        <v>0</v>
      </c>
      <c r="I16" s="38">
        <v>0</v>
      </c>
      <c r="J16" s="37">
        <v>0</v>
      </c>
      <c r="K16" s="1">
        <v>25</v>
      </c>
      <c r="L16" s="38">
        <v>0</v>
      </c>
      <c r="M16" s="23">
        <f t="shared" si="0"/>
        <v>25</v>
      </c>
      <c r="N16" s="2"/>
    </row>
    <row r="17" spans="1:15" ht="19.5" customHeight="1">
      <c r="A17" s="34">
        <v>44240</v>
      </c>
      <c r="B17" s="62"/>
      <c r="C17" s="62"/>
      <c r="D17" s="29">
        <v>213.8</v>
      </c>
      <c r="E17" s="29">
        <v>949</v>
      </c>
      <c r="F17" s="24">
        <v>212.24</v>
      </c>
      <c r="G17" s="32">
        <v>786.55</v>
      </c>
      <c r="H17" s="9">
        <v>0</v>
      </c>
      <c r="I17" s="38">
        <v>0</v>
      </c>
      <c r="J17" s="37">
        <v>0</v>
      </c>
      <c r="K17" s="38">
        <v>0</v>
      </c>
      <c r="L17" s="38">
        <v>0</v>
      </c>
      <c r="M17" s="23">
        <f t="shared" si="0"/>
        <v>0</v>
      </c>
      <c r="N17" s="2"/>
    </row>
    <row r="18" spans="1:15" ht="19.5" customHeight="1">
      <c r="A18" s="34">
        <v>44241</v>
      </c>
      <c r="B18" s="62"/>
      <c r="C18" s="62"/>
      <c r="D18" s="29">
        <v>213.8</v>
      </c>
      <c r="E18" s="29">
        <v>949</v>
      </c>
      <c r="F18" s="24">
        <v>212.24</v>
      </c>
      <c r="G18" s="32">
        <v>786.55</v>
      </c>
      <c r="H18" s="9">
        <v>0</v>
      </c>
      <c r="I18" s="38">
        <v>0</v>
      </c>
      <c r="J18" s="37">
        <v>0</v>
      </c>
      <c r="K18" s="38">
        <v>0</v>
      </c>
      <c r="L18" s="38">
        <v>0</v>
      </c>
      <c r="M18" s="23">
        <f t="shared" si="0"/>
        <v>0</v>
      </c>
      <c r="N18" s="2"/>
    </row>
    <row r="19" spans="1:15" ht="19.5" customHeight="1">
      <c r="A19" s="34">
        <v>44242</v>
      </c>
      <c r="B19" s="62"/>
      <c r="C19" s="62"/>
      <c r="D19" s="29">
        <v>213.8</v>
      </c>
      <c r="E19" s="29">
        <v>949</v>
      </c>
      <c r="F19" s="24">
        <v>212.24</v>
      </c>
      <c r="G19" s="32">
        <v>786.55</v>
      </c>
      <c r="H19" s="9">
        <v>0</v>
      </c>
      <c r="I19" s="38">
        <v>0</v>
      </c>
      <c r="J19" s="37">
        <v>0</v>
      </c>
      <c r="K19" s="38">
        <v>0</v>
      </c>
      <c r="L19" s="38">
        <v>0</v>
      </c>
      <c r="M19" s="23">
        <f t="shared" si="0"/>
        <v>0</v>
      </c>
      <c r="N19" s="2"/>
    </row>
    <row r="20" spans="1:15" ht="19.5" customHeight="1">
      <c r="A20" s="34">
        <v>44243</v>
      </c>
      <c r="B20" s="62"/>
      <c r="C20" s="62"/>
      <c r="D20" s="29">
        <v>213.8</v>
      </c>
      <c r="E20" s="29">
        <v>949</v>
      </c>
      <c r="F20" s="24">
        <v>212.22</v>
      </c>
      <c r="G20" s="32">
        <v>784.83</v>
      </c>
      <c r="H20" s="9">
        <v>0</v>
      </c>
      <c r="I20" s="38">
        <v>0</v>
      </c>
      <c r="J20" s="37">
        <v>0</v>
      </c>
      <c r="K20" s="38">
        <v>0</v>
      </c>
      <c r="L20" s="38">
        <v>0</v>
      </c>
      <c r="M20" s="23">
        <f t="shared" si="0"/>
        <v>0</v>
      </c>
      <c r="N20" s="2"/>
    </row>
    <row r="21" spans="1:15" ht="19.5" customHeight="1">
      <c r="A21" s="34">
        <v>44244</v>
      </c>
      <c r="B21" s="62"/>
      <c r="C21" s="62"/>
      <c r="D21" s="29">
        <v>213.8</v>
      </c>
      <c r="E21" s="29">
        <v>949</v>
      </c>
      <c r="F21" s="24">
        <v>212.19</v>
      </c>
      <c r="G21" s="32">
        <v>780.48299999999995</v>
      </c>
      <c r="H21" s="9">
        <v>0</v>
      </c>
      <c r="I21" s="38">
        <v>0</v>
      </c>
      <c r="J21" s="37">
        <v>0</v>
      </c>
      <c r="K21" s="38">
        <v>0</v>
      </c>
      <c r="L21" s="38">
        <v>0</v>
      </c>
      <c r="M21" s="23">
        <f t="shared" si="0"/>
        <v>0</v>
      </c>
      <c r="N21" s="2"/>
    </row>
    <row r="22" spans="1:15" ht="19.5" customHeight="1">
      <c r="A22" s="34">
        <v>44245</v>
      </c>
      <c r="B22" s="62"/>
      <c r="C22" s="62"/>
      <c r="D22" s="29">
        <v>213.8</v>
      </c>
      <c r="E22" s="29">
        <v>949</v>
      </c>
      <c r="F22" s="24">
        <v>212.19</v>
      </c>
      <c r="G22" s="32">
        <v>780.48299999999995</v>
      </c>
      <c r="H22" s="9">
        <v>0</v>
      </c>
      <c r="I22" s="38">
        <v>0</v>
      </c>
      <c r="J22" s="37">
        <v>0</v>
      </c>
      <c r="K22" s="38">
        <v>0</v>
      </c>
      <c r="L22" s="38">
        <v>0</v>
      </c>
      <c r="M22" s="23">
        <f t="shared" si="0"/>
        <v>0</v>
      </c>
      <c r="N22" s="2"/>
    </row>
    <row r="23" spans="1:15" ht="19.5" customHeight="1">
      <c r="A23" s="34">
        <v>44246</v>
      </c>
      <c r="B23" s="62"/>
      <c r="C23" s="62"/>
      <c r="D23" s="29">
        <v>213.8</v>
      </c>
      <c r="E23" s="29">
        <v>949</v>
      </c>
      <c r="F23" s="24">
        <v>212.19</v>
      </c>
      <c r="G23" s="32">
        <v>780.48299999999995</v>
      </c>
      <c r="H23" s="9">
        <v>0</v>
      </c>
      <c r="I23" s="38">
        <v>0</v>
      </c>
      <c r="J23" s="37">
        <v>0</v>
      </c>
      <c r="K23" s="38">
        <v>0</v>
      </c>
      <c r="L23" s="38">
        <v>0</v>
      </c>
      <c r="M23" s="23">
        <f t="shared" si="0"/>
        <v>0</v>
      </c>
      <c r="N23" s="2"/>
    </row>
    <row r="24" spans="1:15" ht="19.5" customHeight="1">
      <c r="A24" s="34">
        <v>44247</v>
      </c>
      <c r="B24" s="62"/>
      <c r="C24" s="62"/>
      <c r="D24" s="29">
        <v>213.8</v>
      </c>
      <c r="E24" s="29">
        <v>949</v>
      </c>
      <c r="F24" s="24">
        <v>212.1</v>
      </c>
      <c r="G24" s="32">
        <v>767.62</v>
      </c>
      <c r="H24" s="9">
        <v>0</v>
      </c>
      <c r="I24" s="38">
        <v>0</v>
      </c>
      <c r="J24" s="37">
        <v>0</v>
      </c>
      <c r="K24" s="1">
        <v>50</v>
      </c>
      <c r="L24" s="38">
        <v>0</v>
      </c>
      <c r="M24" s="23">
        <f t="shared" si="0"/>
        <v>50</v>
      </c>
      <c r="N24" s="2"/>
    </row>
    <row r="25" spans="1:15" ht="19.5" customHeight="1">
      <c r="A25" s="34">
        <v>44248</v>
      </c>
      <c r="B25" s="62"/>
      <c r="C25" s="62"/>
      <c r="D25" s="29">
        <v>213.8</v>
      </c>
      <c r="E25" s="29">
        <v>949</v>
      </c>
      <c r="F25" s="24">
        <v>212.04</v>
      </c>
      <c r="G25" s="32">
        <v>758.88</v>
      </c>
      <c r="H25" s="9">
        <v>0</v>
      </c>
      <c r="I25" s="38">
        <v>0</v>
      </c>
      <c r="J25" s="37">
        <v>0</v>
      </c>
      <c r="K25" s="1">
        <v>50</v>
      </c>
      <c r="L25" s="38">
        <v>0</v>
      </c>
      <c r="M25" s="23">
        <f t="shared" si="0"/>
        <v>50</v>
      </c>
      <c r="N25" s="2"/>
    </row>
    <row r="26" spans="1:15" ht="19.5" customHeight="1">
      <c r="A26" s="34">
        <v>44249</v>
      </c>
      <c r="B26" s="62"/>
      <c r="C26" s="62"/>
      <c r="D26" s="29">
        <v>213.8</v>
      </c>
      <c r="E26" s="29">
        <v>949</v>
      </c>
      <c r="F26" s="24">
        <v>212.04</v>
      </c>
      <c r="G26" s="32">
        <v>758.88</v>
      </c>
      <c r="H26" s="9">
        <v>0</v>
      </c>
      <c r="I26" s="38">
        <v>0</v>
      </c>
      <c r="J26" s="37">
        <v>0</v>
      </c>
      <c r="K26" s="1">
        <v>50</v>
      </c>
      <c r="L26" s="38">
        <v>0</v>
      </c>
      <c r="M26" s="23">
        <f t="shared" si="0"/>
        <v>50</v>
      </c>
      <c r="N26" s="2"/>
      <c r="O26" s="17"/>
    </row>
    <row r="27" spans="1:15" ht="19.5" customHeight="1">
      <c r="A27" s="34">
        <v>44250</v>
      </c>
      <c r="B27" s="62"/>
      <c r="C27" s="62"/>
      <c r="D27" s="29">
        <v>213.8</v>
      </c>
      <c r="E27" s="29">
        <v>949</v>
      </c>
      <c r="F27" s="24">
        <v>212.01</v>
      </c>
      <c r="G27" s="32">
        <v>754.56</v>
      </c>
      <c r="H27" s="9">
        <v>0</v>
      </c>
      <c r="I27" s="38">
        <v>0</v>
      </c>
      <c r="J27" s="37">
        <v>0</v>
      </c>
      <c r="K27" s="1">
        <v>50</v>
      </c>
      <c r="L27" s="38">
        <v>0</v>
      </c>
      <c r="M27" s="23">
        <f t="shared" si="0"/>
        <v>50</v>
      </c>
      <c r="N27" s="2"/>
    </row>
    <row r="28" spans="1:15" ht="19.5" customHeight="1">
      <c r="A28" s="34">
        <v>44251</v>
      </c>
      <c r="B28" s="62"/>
      <c r="C28" s="62"/>
      <c r="D28" s="29">
        <v>213.8</v>
      </c>
      <c r="E28" s="29">
        <v>949</v>
      </c>
      <c r="F28" s="24">
        <v>211.98</v>
      </c>
      <c r="G28" s="32">
        <v>750.26</v>
      </c>
      <c r="H28" s="9">
        <v>0</v>
      </c>
      <c r="I28" s="38">
        <v>0</v>
      </c>
      <c r="J28" s="37">
        <v>0</v>
      </c>
      <c r="K28" s="1">
        <v>50</v>
      </c>
      <c r="L28" s="38">
        <v>0</v>
      </c>
      <c r="M28" s="23">
        <f t="shared" si="0"/>
        <v>50</v>
      </c>
      <c r="N28" s="2"/>
    </row>
    <row r="29" spans="1:15" ht="19.5" customHeight="1">
      <c r="A29" s="34">
        <v>44252</v>
      </c>
      <c r="B29" s="62"/>
      <c r="C29" s="62"/>
      <c r="D29" s="29">
        <v>213.8</v>
      </c>
      <c r="E29" s="29">
        <v>949</v>
      </c>
      <c r="F29" s="24">
        <v>211.95</v>
      </c>
      <c r="G29" s="32">
        <v>745.94</v>
      </c>
      <c r="H29" s="9">
        <v>0</v>
      </c>
      <c r="I29" s="38">
        <v>0</v>
      </c>
      <c r="J29" s="37">
        <v>0</v>
      </c>
      <c r="K29" s="1">
        <v>50</v>
      </c>
      <c r="L29" s="38">
        <v>0</v>
      </c>
      <c r="M29" s="23">
        <f t="shared" si="0"/>
        <v>50</v>
      </c>
      <c r="N29" s="2"/>
    </row>
    <row r="30" spans="1:15" ht="19.5" customHeight="1">
      <c r="A30" s="34">
        <v>44253</v>
      </c>
      <c r="B30" s="62"/>
      <c r="C30" s="62"/>
      <c r="D30" s="29">
        <v>213.8</v>
      </c>
      <c r="E30" s="29">
        <v>949</v>
      </c>
      <c r="F30" s="24">
        <v>211.93</v>
      </c>
      <c r="G30" s="32">
        <v>743.35</v>
      </c>
      <c r="H30" s="9">
        <v>0</v>
      </c>
      <c r="I30" s="38">
        <v>0</v>
      </c>
      <c r="J30" s="37">
        <v>0</v>
      </c>
      <c r="K30" s="38">
        <v>0</v>
      </c>
      <c r="L30" s="38">
        <v>0</v>
      </c>
      <c r="M30" s="23">
        <f t="shared" si="0"/>
        <v>0</v>
      </c>
      <c r="N30" s="2"/>
    </row>
    <row r="31" spans="1:15" ht="21" customHeight="1">
      <c r="A31" s="34">
        <v>44254</v>
      </c>
      <c r="B31" s="62"/>
      <c r="C31" s="62"/>
      <c r="D31" s="29">
        <v>213.8</v>
      </c>
      <c r="E31" s="29">
        <v>949</v>
      </c>
      <c r="F31" s="24">
        <v>211.93</v>
      </c>
      <c r="G31" s="32">
        <v>743.35</v>
      </c>
      <c r="H31" s="9">
        <v>0</v>
      </c>
      <c r="I31" s="38">
        <v>0</v>
      </c>
      <c r="J31" s="37">
        <v>0</v>
      </c>
      <c r="K31" s="38">
        <v>0</v>
      </c>
      <c r="L31" s="38">
        <v>0</v>
      </c>
      <c r="M31" s="23">
        <f t="shared" si="0"/>
        <v>0</v>
      </c>
      <c r="N31" s="2"/>
    </row>
    <row r="32" spans="1:15" ht="21" customHeight="1">
      <c r="A32" s="34">
        <v>44255</v>
      </c>
      <c r="B32" s="62"/>
      <c r="C32" s="62"/>
      <c r="D32" s="29">
        <v>213.8</v>
      </c>
      <c r="E32" s="29">
        <v>949</v>
      </c>
      <c r="F32" s="24">
        <v>211.93</v>
      </c>
      <c r="G32" s="32">
        <v>743.35</v>
      </c>
      <c r="H32" s="9">
        <v>0</v>
      </c>
      <c r="I32" s="38">
        <v>0</v>
      </c>
      <c r="J32" s="37">
        <v>0</v>
      </c>
      <c r="K32" s="38">
        <v>0</v>
      </c>
      <c r="L32" s="38">
        <v>0</v>
      </c>
      <c r="M32" s="23">
        <f t="shared" si="0"/>
        <v>0</v>
      </c>
      <c r="N32" s="2"/>
    </row>
    <row r="33" spans="1:15" ht="21" customHeight="1">
      <c r="A33" s="12"/>
      <c r="B33" s="13"/>
      <c r="C33" s="13"/>
      <c r="D33" s="14"/>
      <c r="E33" s="31"/>
      <c r="F33" s="15"/>
      <c r="G33" s="14"/>
      <c r="H33" s="63">
        <f t="shared" ref="H33:M33" si="1">SUM(H2:H32)</f>
        <v>0</v>
      </c>
      <c r="I33" s="63">
        <f t="shared" si="1"/>
        <v>0</v>
      </c>
      <c r="J33" s="63">
        <f t="shared" si="1"/>
        <v>0</v>
      </c>
      <c r="K33" s="63">
        <f t="shared" si="1"/>
        <v>785</v>
      </c>
      <c r="L33" s="63">
        <f t="shared" si="1"/>
        <v>0</v>
      </c>
      <c r="M33" s="63">
        <f t="shared" si="1"/>
        <v>785</v>
      </c>
      <c r="N33" s="16"/>
      <c r="O33" s="18"/>
    </row>
    <row r="34" spans="1:15" ht="47.25" customHeight="1">
      <c r="A34" s="3"/>
      <c r="B34" s="4"/>
      <c r="C34" s="5"/>
      <c r="D34" s="5"/>
      <c r="E34" s="31"/>
      <c r="F34" s="5"/>
      <c r="G34" s="5"/>
      <c r="H34" s="5"/>
      <c r="I34" s="5"/>
      <c r="J34" s="5"/>
      <c r="K34" s="5"/>
      <c r="L34" s="27"/>
      <c r="M34" s="27"/>
      <c r="N34" s="7"/>
    </row>
    <row r="35" spans="1:15" ht="15.75" customHeight="1">
      <c r="A35" s="59" t="s">
        <v>9</v>
      </c>
      <c r="B35" s="54"/>
      <c r="C35" s="54"/>
      <c r="D35" s="54"/>
      <c r="E35" s="31"/>
      <c r="J35" s="59" t="s">
        <v>10</v>
      </c>
      <c r="K35" s="54"/>
      <c r="L35" s="54"/>
      <c r="M35" s="54"/>
      <c r="N35" s="7"/>
    </row>
    <row r="36" spans="1:15" ht="15.75" customHeight="1">
      <c r="A36" s="60" t="s">
        <v>16</v>
      </c>
      <c r="B36" s="54"/>
      <c r="C36" s="54"/>
      <c r="D36" s="54"/>
      <c r="J36" s="60" t="s">
        <v>16</v>
      </c>
      <c r="K36" s="54"/>
      <c r="L36" s="54"/>
      <c r="M36" s="54"/>
      <c r="N36" s="7"/>
    </row>
    <row r="37" spans="1:15" ht="15.75" customHeight="1">
      <c r="A37" s="53" t="s">
        <v>17</v>
      </c>
      <c r="B37" s="54"/>
      <c r="C37" s="54"/>
      <c r="D37" s="54"/>
      <c r="J37" s="53" t="s">
        <v>17</v>
      </c>
      <c r="K37" s="54"/>
      <c r="L37" s="54"/>
      <c r="M37" s="54"/>
      <c r="N37" s="7"/>
    </row>
    <row r="38" spans="1:15" ht="15.75" customHeight="1">
      <c r="N38" s="7"/>
    </row>
    <row r="39" spans="1:15" ht="15.75" customHeight="1"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</sheetData>
  <mergeCells count="20">
    <mergeCell ref="A37:D37"/>
    <mergeCell ref="J37:M37"/>
    <mergeCell ref="N3:N4"/>
    <mergeCell ref="B5:B32"/>
    <mergeCell ref="C5:C32"/>
    <mergeCell ref="A35:D35"/>
    <mergeCell ref="J35:M35"/>
    <mergeCell ref="A36:D36"/>
    <mergeCell ref="J36:M36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22" zoomScale="60" workbookViewId="0">
      <selection activeCell="H36" sqref="H36:M36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40" t="s">
        <v>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4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4" ht="19.5" customHeight="1">
      <c r="A5" s="8">
        <v>44256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211.89</v>
      </c>
      <c r="G5" s="11">
        <v>739.88699999999994</v>
      </c>
      <c r="H5" s="9"/>
      <c r="I5" s="23">
        <v>0</v>
      </c>
      <c r="J5" s="1">
        <v>0</v>
      </c>
      <c r="K5" s="1">
        <v>0</v>
      </c>
      <c r="L5" s="23">
        <v>20</v>
      </c>
      <c r="M5" s="23">
        <f>L5+K5+J5+I5</f>
        <v>20</v>
      </c>
      <c r="N5" s="2"/>
    </row>
    <row r="6" spans="1:14" ht="19.5" customHeight="1">
      <c r="A6" s="8">
        <v>44257</v>
      </c>
      <c r="B6" s="57"/>
      <c r="C6" s="57"/>
      <c r="D6" s="21">
        <v>213.8</v>
      </c>
      <c r="E6" s="29">
        <v>949</v>
      </c>
      <c r="F6" s="24">
        <v>211.87</v>
      </c>
      <c r="G6" s="11">
        <v>738.15899999999999</v>
      </c>
      <c r="H6" s="9"/>
      <c r="I6" s="23">
        <v>0</v>
      </c>
      <c r="J6" s="1">
        <v>0</v>
      </c>
      <c r="K6" s="1">
        <v>0</v>
      </c>
      <c r="L6" s="23">
        <v>20</v>
      </c>
      <c r="M6" s="23">
        <f t="shared" ref="M6:M35" si="0">L6+K6+J6+I6</f>
        <v>20</v>
      </c>
      <c r="N6" s="2"/>
    </row>
    <row r="7" spans="1:14" ht="19.5" customHeight="1">
      <c r="A7" s="8">
        <v>44258</v>
      </c>
      <c r="B7" s="57"/>
      <c r="C7" s="57"/>
      <c r="D7" s="21">
        <v>213.8</v>
      </c>
      <c r="E7" s="29">
        <v>949</v>
      </c>
      <c r="F7" s="24">
        <v>211.85</v>
      </c>
      <c r="G7" s="11">
        <v>735.99</v>
      </c>
      <c r="H7" s="9"/>
      <c r="I7" s="23">
        <v>0</v>
      </c>
      <c r="J7" s="1">
        <v>0</v>
      </c>
      <c r="K7" s="1">
        <v>0</v>
      </c>
      <c r="L7" s="23">
        <v>25</v>
      </c>
      <c r="M7" s="23">
        <f t="shared" si="0"/>
        <v>25</v>
      </c>
      <c r="N7" s="2"/>
    </row>
    <row r="8" spans="1:14" ht="19.5" customHeight="1">
      <c r="A8" s="8">
        <v>44259</v>
      </c>
      <c r="B8" s="57"/>
      <c r="C8" s="57"/>
      <c r="D8" s="21">
        <v>213.8</v>
      </c>
      <c r="E8" s="29">
        <v>949</v>
      </c>
      <c r="F8" s="24">
        <v>211.83</v>
      </c>
      <c r="G8" s="11">
        <v>733.83900000000006</v>
      </c>
      <c r="H8" s="9"/>
      <c r="I8" s="23">
        <v>0</v>
      </c>
      <c r="J8" s="1">
        <v>0</v>
      </c>
      <c r="K8" s="1">
        <v>0</v>
      </c>
      <c r="L8" s="23">
        <v>25</v>
      </c>
      <c r="M8" s="23">
        <f t="shared" si="0"/>
        <v>25</v>
      </c>
      <c r="N8" s="2"/>
    </row>
    <row r="9" spans="1:14" ht="19.5" customHeight="1">
      <c r="A9" s="8">
        <v>44260</v>
      </c>
      <c r="B9" s="57"/>
      <c r="C9" s="57"/>
      <c r="D9" s="21">
        <v>213.8</v>
      </c>
      <c r="E9" s="29">
        <v>949</v>
      </c>
      <c r="F9" s="24">
        <v>211.81</v>
      </c>
      <c r="G9" s="11">
        <v>731.67899999999997</v>
      </c>
      <c r="H9" s="9"/>
      <c r="I9" s="23">
        <v>0</v>
      </c>
      <c r="J9" s="1">
        <v>0</v>
      </c>
      <c r="K9" s="1">
        <v>0</v>
      </c>
      <c r="L9" s="23">
        <v>25</v>
      </c>
      <c r="M9" s="23">
        <f t="shared" si="0"/>
        <v>25</v>
      </c>
      <c r="N9" s="2"/>
    </row>
    <row r="10" spans="1:14" ht="19.5" customHeight="1">
      <c r="A10" s="8">
        <v>44261</v>
      </c>
      <c r="B10" s="57"/>
      <c r="C10" s="57"/>
      <c r="D10" s="21">
        <v>213.8</v>
      </c>
      <c r="E10" s="29">
        <v>949</v>
      </c>
      <c r="F10" s="24">
        <v>211.79</v>
      </c>
      <c r="G10" s="11">
        <v>729.53</v>
      </c>
      <c r="H10" s="9"/>
      <c r="I10" s="23">
        <v>0</v>
      </c>
      <c r="J10" s="1">
        <v>0</v>
      </c>
      <c r="K10" s="1">
        <v>0</v>
      </c>
      <c r="L10" s="23">
        <v>25</v>
      </c>
      <c r="M10" s="23">
        <f t="shared" si="0"/>
        <v>25</v>
      </c>
      <c r="N10" s="2"/>
    </row>
    <row r="11" spans="1:14" ht="19.5" customHeight="1">
      <c r="A11" s="8">
        <v>44262</v>
      </c>
      <c r="B11" s="57"/>
      <c r="C11" s="57"/>
      <c r="D11" s="21">
        <v>213.8</v>
      </c>
      <c r="E11" s="29">
        <v>949</v>
      </c>
      <c r="F11" s="24">
        <v>211.65</v>
      </c>
      <c r="G11" s="11">
        <v>714.41</v>
      </c>
      <c r="H11" s="9"/>
      <c r="I11" s="23">
        <v>0</v>
      </c>
      <c r="J11" s="1">
        <v>0</v>
      </c>
      <c r="K11" s="1">
        <v>0</v>
      </c>
      <c r="L11" s="23">
        <v>25</v>
      </c>
      <c r="M11" s="23">
        <f t="shared" si="0"/>
        <v>25</v>
      </c>
      <c r="N11" s="2"/>
    </row>
    <row r="12" spans="1:14" ht="19.5" customHeight="1">
      <c r="A12" s="8">
        <v>44263</v>
      </c>
      <c r="B12" s="57"/>
      <c r="C12" s="57"/>
      <c r="D12" s="21">
        <v>213.8</v>
      </c>
      <c r="E12" s="29">
        <v>949</v>
      </c>
      <c r="F12" s="24">
        <v>211.65</v>
      </c>
      <c r="G12" s="11">
        <v>714.41</v>
      </c>
      <c r="H12" s="9"/>
      <c r="I12" s="23">
        <v>0</v>
      </c>
      <c r="J12" s="1">
        <v>0</v>
      </c>
      <c r="K12" s="1">
        <v>0</v>
      </c>
      <c r="L12" s="23">
        <v>25</v>
      </c>
      <c r="M12" s="23">
        <f t="shared" si="0"/>
        <v>25</v>
      </c>
      <c r="N12" s="2"/>
    </row>
    <row r="13" spans="1:14" ht="19.5" customHeight="1">
      <c r="A13" s="8">
        <v>44264</v>
      </c>
      <c r="B13" s="57"/>
      <c r="C13" s="57"/>
      <c r="D13" s="21">
        <v>213.8</v>
      </c>
      <c r="E13" s="29">
        <v>949</v>
      </c>
      <c r="F13" s="24">
        <v>211.65</v>
      </c>
      <c r="G13" s="11">
        <v>714.41</v>
      </c>
      <c r="H13" s="9"/>
      <c r="I13" s="23">
        <v>0</v>
      </c>
      <c r="J13" s="1">
        <v>0</v>
      </c>
      <c r="K13" s="1">
        <v>0</v>
      </c>
      <c r="L13" s="23">
        <v>25</v>
      </c>
      <c r="M13" s="23">
        <f t="shared" si="0"/>
        <v>25</v>
      </c>
      <c r="N13" s="2"/>
    </row>
    <row r="14" spans="1:14" ht="19.5" customHeight="1">
      <c r="A14" s="8">
        <v>44265</v>
      </c>
      <c r="B14" s="57"/>
      <c r="C14" s="57"/>
      <c r="D14" s="21">
        <v>213.8</v>
      </c>
      <c r="E14" s="29">
        <v>949</v>
      </c>
      <c r="F14" s="24">
        <v>211.65</v>
      </c>
      <c r="G14" s="11">
        <v>714.41</v>
      </c>
      <c r="H14" s="9"/>
      <c r="I14" s="23">
        <v>0</v>
      </c>
      <c r="J14" s="1">
        <v>0</v>
      </c>
      <c r="K14" s="1">
        <v>0</v>
      </c>
      <c r="L14" s="23">
        <v>25</v>
      </c>
      <c r="M14" s="23">
        <f t="shared" si="0"/>
        <v>25</v>
      </c>
      <c r="N14" s="2"/>
    </row>
    <row r="15" spans="1:14" ht="19.5" customHeight="1">
      <c r="A15" s="8">
        <v>44266</v>
      </c>
      <c r="B15" s="57"/>
      <c r="C15" s="57"/>
      <c r="D15" s="21">
        <v>213.8</v>
      </c>
      <c r="E15" s="29">
        <v>949</v>
      </c>
      <c r="F15" s="24">
        <v>211.65</v>
      </c>
      <c r="G15" s="11">
        <v>714.41</v>
      </c>
      <c r="H15" s="9"/>
      <c r="I15" s="23">
        <v>0</v>
      </c>
      <c r="J15" s="1">
        <v>0</v>
      </c>
      <c r="K15" s="1">
        <v>0</v>
      </c>
      <c r="L15" s="23">
        <v>25</v>
      </c>
      <c r="M15" s="23">
        <f t="shared" si="0"/>
        <v>25</v>
      </c>
      <c r="N15" s="2"/>
    </row>
    <row r="16" spans="1:14" ht="19.5" customHeight="1">
      <c r="A16" s="8">
        <v>44267</v>
      </c>
      <c r="B16" s="57"/>
      <c r="C16" s="57"/>
      <c r="D16" s="21">
        <v>213.8</v>
      </c>
      <c r="E16" s="29">
        <v>949</v>
      </c>
      <c r="F16" s="24">
        <v>211.65</v>
      </c>
      <c r="G16" s="11">
        <v>714.41</v>
      </c>
      <c r="H16" s="9"/>
      <c r="I16" s="23">
        <v>0</v>
      </c>
      <c r="J16" s="1">
        <v>0</v>
      </c>
      <c r="K16" s="1">
        <v>0</v>
      </c>
      <c r="L16" s="23">
        <v>25</v>
      </c>
      <c r="M16" s="23">
        <f t="shared" si="0"/>
        <v>25</v>
      </c>
      <c r="N16" s="2"/>
    </row>
    <row r="17" spans="1:15" ht="19.5" customHeight="1">
      <c r="A17" s="8">
        <v>44268</v>
      </c>
      <c r="B17" s="57"/>
      <c r="C17" s="57"/>
      <c r="D17" s="21">
        <v>213.8</v>
      </c>
      <c r="E17" s="29">
        <v>949</v>
      </c>
      <c r="F17" s="24">
        <v>211.65</v>
      </c>
      <c r="G17" s="11">
        <v>714.41</v>
      </c>
      <c r="H17" s="9"/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8">
        <v>44269</v>
      </c>
      <c r="B18" s="57"/>
      <c r="C18" s="57"/>
      <c r="D18" s="21">
        <v>213.8</v>
      </c>
      <c r="E18" s="29">
        <v>949</v>
      </c>
      <c r="F18" s="24">
        <v>211.63</v>
      </c>
      <c r="G18" s="11">
        <v>712.25</v>
      </c>
      <c r="H18" s="9"/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8">
        <v>44270</v>
      </c>
      <c r="B19" s="57"/>
      <c r="C19" s="57"/>
      <c r="D19" s="21">
        <v>213.8</v>
      </c>
      <c r="E19" s="29">
        <v>949</v>
      </c>
      <c r="F19" s="24">
        <v>211.61</v>
      </c>
      <c r="G19" s="11">
        <v>710.09</v>
      </c>
      <c r="H19" s="9"/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8">
        <v>44271</v>
      </c>
      <c r="B20" s="57"/>
      <c r="C20" s="57"/>
      <c r="D20" s="21">
        <v>213.8</v>
      </c>
      <c r="E20" s="29">
        <v>949</v>
      </c>
      <c r="F20" s="24">
        <v>211.58</v>
      </c>
      <c r="G20" s="11">
        <v>707.93</v>
      </c>
      <c r="H20" s="9"/>
      <c r="I20" s="23">
        <v>0</v>
      </c>
      <c r="J20" s="1">
        <v>0</v>
      </c>
      <c r="K20" s="1">
        <v>0</v>
      </c>
      <c r="L20" s="23">
        <v>25</v>
      </c>
      <c r="M20" s="23">
        <f t="shared" si="0"/>
        <v>25</v>
      </c>
      <c r="N20" s="2"/>
    </row>
    <row r="21" spans="1:15" ht="19.5" customHeight="1">
      <c r="A21" s="8">
        <v>44272</v>
      </c>
      <c r="B21" s="57"/>
      <c r="C21" s="57"/>
      <c r="D21" s="21">
        <v>213.8</v>
      </c>
      <c r="E21" s="29">
        <v>949</v>
      </c>
      <c r="F21" s="24">
        <v>211.55</v>
      </c>
      <c r="G21" s="11">
        <v>705.77</v>
      </c>
      <c r="H21" s="9"/>
      <c r="I21" s="23">
        <v>0</v>
      </c>
      <c r="J21" s="1">
        <v>0</v>
      </c>
      <c r="K21" s="1">
        <v>0</v>
      </c>
      <c r="L21" s="23">
        <v>25</v>
      </c>
      <c r="M21" s="23">
        <f t="shared" si="0"/>
        <v>25</v>
      </c>
      <c r="N21" s="2"/>
    </row>
    <row r="22" spans="1:15" ht="19.5" customHeight="1">
      <c r="A22" s="8">
        <v>44273</v>
      </c>
      <c r="B22" s="57"/>
      <c r="C22" s="57"/>
      <c r="D22" s="21">
        <v>213.8</v>
      </c>
      <c r="E22" s="29">
        <v>949</v>
      </c>
      <c r="F22" s="24">
        <v>211.52</v>
      </c>
      <c r="G22" s="11">
        <v>703.17</v>
      </c>
      <c r="H22" s="9"/>
      <c r="I22" s="23">
        <v>0</v>
      </c>
      <c r="J22" s="1">
        <v>0</v>
      </c>
      <c r="K22" s="1">
        <v>0</v>
      </c>
      <c r="L22" s="23">
        <v>30</v>
      </c>
      <c r="M22" s="23">
        <f t="shared" si="0"/>
        <v>30</v>
      </c>
      <c r="N22" s="2"/>
    </row>
    <row r="23" spans="1:15" ht="19.5" customHeight="1">
      <c r="A23" s="8">
        <v>44274</v>
      </c>
      <c r="B23" s="57"/>
      <c r="C23" s="57"/>
      <c r="D23" s="21">
        <v>213.8</v>
      </c>
      <c r="E23" s="29">
        <v>949</v>
      </c>
      <c r="F23" s="24">
        <v>211.48</v>
      </c>
      <c r="G23" s="11">
        <v>699.72</v>
      </c>
      <c r="H23" s="9"/>
      <c r="I23" s="23">
        <v>0</v>
      </c>
      <c r="J23" s="1">
        <v>0</v>
      </c>
      <c r="K23" s="1">
        <v>40</v>
      </c>
      <c r="L23" s="23">
        <v>0</v>
      </c>
      <c r="M23" s="23">
        <f t="shared" si="0"/>
        <v>40</v>
      </c>
      <c r="N23" s="2"/>
    </row>
    <row r="24" spans="1:15" ht="19.5" customHeight="1">
      <c r="A24" s="8">
        <v>44275</v>
      </c>
      <c r="B24" s="57"/>
      <c r="C24" s="57"/>
      <c r="D24" s="21">
        <v>213.8</v>
      </c>
      <c r="E24" s="29">
        <v>949</v>
      </c>
      <c r="F24" s="24">
        <v>211.43</v>
      </c>
      <c r="G24" s="11">
        <v>696.26</v>
      </c>
      <c r="H24" s="9"/>
      <c r="I24" s="23">
        <v>0</v>
      </c>
      <c r="J24" s="1">
        <v>0</v>
      </c>
      <c r="K24" s="1">
        <v>40</v>
      </c>
      <c r="L24" s="23">
        <v>0</v>
      </c>
      <c r="M24" s="23">
        <f t="shared" si="0"/>
        <v>40</v>
      </c>
      <c r="N24" s="2"/>
    </row>
    <row r="25" spans="1:15" ht="19.5" customHeight="1">
      <c r="A25" s="8">
        <v>44276</v>
      </c>
      <c r="B25" s="57"/>
      <c r="C25" s="57"/>
      <c r="D25" s="21">
        <v>213.8</v>
      </c>
      <c r="E25" s="29">
        <v>949</v>
      </c>
      <c r="F25" s="24">
        <v>211.48</v>
      </c>
      <c r="G25" s="11">
        <v>699.72</v>
      </c>
      <c r="H25" s="9"/>
      <c r="I25" s="23">
        <v>0</v>
      </c>
      <c r="J25" s="1">
        <v>0</v>
      </c>
      <c r="K25" s="1">
        <v>40</v>
      </c>
      <c r="L25" s="23">
        <v>10</v>
      </c>
      <c r="M25" s="23">
        <f t="shared" si="0"/>
        <v>50</v>
      </c>
      <c r="N25" s="2"/>
    </row>
    <row r="26" spans="1:15" ht="19.5" customHeight="1">
      <c r="A26" s="8">
        <v>44277</v>
      </c>
      <c r="B26" s="57"/>
      <c r="C26" s="57"/>
      <c r="D26" s="21">
        <v>213.8</v>
      </c>
      <c r="E26" s="29">
        <v>949</v>
      </c>
      <c r="F26" s="24">
        <v>211.48</v>
      </c>
      <c r="G26" s="11">
        <v>699.72</v>
      </c>
      <c r="H26" s="9"/>
      <c r="I26" s="23">
        <v>0</v>
      </c>
      <c r="J26" s="1">
        <v>0</v>
      </c>
      <c r="K26" s="1">
        <v>40</v>
      </c>
      <c r="L26" s="23">
        <v>10</v>
      </c>
      <c r="M26" s="23">
        <f t="shared" si="0"/>
        <v>50</v>
      </c>
      <c r="N26" s="2"/>
      <c r="O26" s="17"/>
    </row>
    <row r="27" spans="1:15" ht="19.5" customHeight="1">
      <c r="A27" s="8">
        <v>44278</v>
      </c>
      <c r="B27" s="57"/>
      <c r="C27" s="57"/>
      <c r="D27" s="21">
        <v>213.8</v>
      </c>
      <c r="E27" s="29">
        <v>949</v>
      </c>
      <c r="F27" s="24">
        <v>211.38</v>
      </c>
      <c r="G27" s="11">
        <v>619.94000000000005</v>
      </c>
      <c r="H27" s="9"/>
      <c r="I27" s="23">
        <v>0</v>
      </c>
      <c r="J27" s="1">
        <v>0</v>
      </c>
      <c r="K27" s="1">
        <v>0</v>
      </c>
      <c r="L27" s="23">
        <v>10</v>
      </c>
      <c r="M27" s="23">
        <f t="shared" si="0"/>
        <v>10</v>
      </c>
      <c r="N27" s="2"/>
    </row>
    <row r="28" spans="1:15" ht="19.5" customHeight="1">
      <c r="A28" s="8">
        <v>44279</v>
      </c>
      <c r="B28" s="57"/>
      <c r="C28" s="57"/>
      <c r="D28" s="21">
        <v>213.8</v>
      </c>
      <c r="E28" s="29">
        <v>949</v>
      </c>
      <c r="F28" s="24">
        <v>211.38</v>
      </c>
      <c r="G28" s="11">
        <v>619.94000000000005</v>
      </c>
      <c r="H28" s="9"/>
      <c r="I28" s="23">
        <v>0</v>
      </c>
      <c r="J28" s="1">
        <v>0</v>
      </c>
      <c r="K28" s="1">
        <v>0</v>
      </c>
      <c r="L28" s="23">
        <v>10</v>
      </c>
      <c r="M28" s="23">
        <f t="shared" si="0"/>
        <v>10</v>
      </c>
      <c r="N28" s="2"/>
    </row>
    <row r="29" spans="1:15" ht="19.5" customHeight="1">
      <c r="A29" s="8">
        <v>44280</v>
      </c>
      <c r="B29" s="57"/>
      <c r="C29" s="57"/>
      <c r="D29" s="21">
        <v>213.8</v>
      </c>
      <c r="E29" s="29">
        <v>949</v>
      </c>
      <c r="F29" s="24">
        <v>211.38</v>
      </c>
      <c r="G29" s="11">
        <v>619.94000000000005</v>
      </c>
      <c r="H29" s="9"/>
      <c r="I29" s="23">
        <v>0</v>
      </c>
      <c r="J29" s="1">
        <v>0</v>
      </c>
      <c r="K29" s="1">
        <v>0</v>
      </c>
      <c r="L29" s="23">
        <v>20</v>
      </c>
      <c r="M29" s="23">
        <f t="shared" si="0"/>
        <v>20</v>
      </c>
      <c r="N29" s="2"/>
    </row>
    <row r="30" spans="1:15" ht="19.5" customHeight="1">
      <c r="A30" s="8">
        <v>44281</v>
      </c>
      <c r="B30" s="57"/>
      <c r="C30" s="57"/>
      <c r="D30" s="21">
        <v>213.8</v>
      </c>
      <c r="E30" s="29">
        <v>949</v>
      </c>
      <c r="F30" s="24">
        <v>211.27</v>
      </c>
      <c r="G30" s="11">
        <v>682.44</v>
      </c>
      <c r="H30" s="9"/>
      <c r="I30" s="23">
        <v>0</v>
      </c>
      <c r="J30" s="1">
        <v>0</v>
      </c>
      <c r="K30" s="1">
        <v>0</v>
      </c>
      <c r="L30" s="23">
        <v>20</v>
      </c>
      <c r="M30" s="23">
        <f t="shared" si="0"/>
        <v>20</v>
      </c>
      <c r="N30" s="2"/>
    </row>
    <row r="31" spans="1:15" ht="21" customHeight="1">
      <c r="A31" s="8">
        <v>44282</v>
      </c>
      <c r="B31" s="57"/>
      <c r="C31" s="57"/>
      <c r="D31" s="21">
        <v>213.8</v>
      </c>
      <c r="E31" s="29">
        <v>949</v>
      </c>
      <c r="F31" s="24">
        <v>211.25</v>
      </c>
      <c r="G31" s="11">
        <v>680.71</v>
      </c>
      <c r="H31" s="9"/>
      <c r="I31" s="23">
        <v>0</v>
      </c>
      <c r="J31" s="1">
        <v>0</v>
      </c>
      <c r="K31" s="1">
        <v>0</v>
      </c>
      <c r="L31" s="23">
        <v>20</v>
      </c>
      <c r="M31" s="23">
        <f t="shared" si="0"/>
        <v>20</v>
      </c>
      <c r="N31" s="2"/>
    </row>
    <row r="32" spans="1:15" ht="21" customHeight="1">
      <c r="A32" s="8">
        <v>44283</v>
      </c>
      <c r="B32" s="57"/>
      <c r="C32" s="57"/>
      <c r="D32" s="21">
        <v>213.8</v>
      </c>
      <c r="E32" s="29">
        <v>949</v>
      </c>
      <c r="F32" s="24">
        <v>211.23</v>
      </c>
      <c r="G32" s="11">
        <v>678.98</v>
      </c>
      <c r="H32" s="9"/>
      <c r="I32" s="23">
        <v>0</v>
      </c>
      <c r="J32" s="1">
        <v>0</v>
      </c>
      <c r="K32" s="1">
        <v>0</v>
      </c>
      <c r="L32" s="23">
        <v>20</v>
      </c>
      <c r="M32" s="23">
        <f t="shared" si="0"/>
        <v>20</v>
      </c>
      <c r="N32" s="2"/>
    </row>
    <row r="33" spans="1:15" ht="21" customHeight="1">
      <c r="A33" s="8">
        <v>44284</v>
      </c>
      <c r="B33" s="57"/>
      <c r="C33" s="57"/>
      <c r="D33" s="21">
        <v>213.8</v>
      </c>
      <c r="E33" s="29">
        <v>949</v>
      </c>
      <c r="F33" s="24">
        <v>211.21</v>
      </c>
      <c r="G33" s="11">
        <v>677.25</v>
      </c>
      <c r="H33" s="9"/>
      <c r="I33" s="23">
        <v>0</v>
      </c>
      <c r="J33" s="1">
        <v>0</v>
      </c>
      <c r="K33" s="1">
        <v>0</v>
      </c>
      <c r="L33" s="23">
        <v>20</v>
      </c>
      <c r="M33" s="23">
        <f t="shared" si="0"/>
        <v>20</v>
      </c>
      <c r="N33" s="2"/>
    </row>
    <row r="34" spans="1:15" ht="21" customHeight="1">
      <c r="A34" s="8">
        <v>44285</v>
      </c>
      <c r="B34" s="57"/>
      <c r="C34" s="57"/>
      <c r="D34" s="21">
        <v>213.8</v>
      </c>
      <c r="E34" s="29">
        <v>949</v>
      </c>
      <c r="F34" s="24">
        <v>211.19</v>
      </c>
      <c r="G34" s="11">
        <v>675.53</v>
      </c>
      <c r="H34" s="9"/>
      <c r="I34" s="23">
        <v>0</v>
      </c>
      <c r="J34" s="1">
        <v>0</v>
      </c>
      <c r="K34" s="1">
        <v>0</v>
      </c>
      <c r="L34" s="23">
        <v>20</v>
      </c>
      <c r="M34" s="23">
        <f t="shared" si="0"/>
        <v>20</v>
      </c>
      <c r="N34" s="2"/>
    </row>
    <row r="35" spans="1:15" ht="21" customHeight="1">
      <c r="A35" s="8">
        <v>44286</v>
      </c>
      <c r="B35" s="58"/>
      <c r="C35" s="58"/>
      <c r="D35" s="22">
        <v>213.8</v>
      </c>
      <c r="E35" s="29">
        <v>949</v>
      </c>
      <c r="F35" s="24">
        <v>211.17</v>
      </c>
      <c r="G35" s="11">
        <v>673.8</v>
      </c>
      <c r="H35" s="9"/>
      <c r="I35" s="23">
        <v>0</v>
      </c>
      <c r="J35" s="1">
        <v>0</v>
      </c>
      <c r="K35" s="1">
        <v>0</v>
      </c>
      <c r="L35" s="23">
        <v>20</v>
      </c>
      <c r="M35" s="23">
        <f t="shared" si="0"/>
        <v>20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63">
        <f t="shared" ref="H36:M36" si="1">SUM(H5:H35)</f>
        <v>0</v>
      </c>
      <c r="I36" s="63">
        <f t="shared" si="1"/>
        <v>0</v>
      </c>
      <c r="J36" s="63">
        <f t="shared" si="1"/>
        <v>0</v>
      </c>
      <c r="K36" s="63">
        <f t="shared" si="1"/>
        <v>160</v>
      </c>
      <c r="L36" s="63">
        <f t="shared" si="1"/>
        <v>550</v>
      </c>
      <c r="M36" s="63">
        <f t="shared" si="1"/>
        <v>710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27"/>
      <c r="M37" s="27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25" zoomScale="60" workbookViewId="0">
      <selection activeCell="H35" sqref="H35:M35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40" t="s">
        <v>24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4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4" ht="19.5" customHeight="1">
      <c r="A5" s="8">
        <v>44287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211.15</v>
      </c>
      <c r="G5" s="11">
        <v>672.07</v>
      </c>
      <c r="H5" s="9"/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44288</v>
      </c>
      <c r="B6" s="57"/>
      <c r="C6" s="57"/>
      <c r="D6" s="21">
        <v>213.8</v>
      </c>
      <c r="E6" s="29">
        <v>949</v>
      </c>
      <c r="F6" s="24">
        <v>211.13</v>
      </c>
      <c r="G6" s="11">
        <v>670.34</v>
      </c>
      <c r="H6" s="9"/>
      <c r="I6" s="23">
        <v>0</v>
      </c>
      <c r="J6" s="1">
        <v>0</v>
      </c>
      <c r="K6" s="1">
        <v>0</v>
      </c>
      <c r="L6" s="23">
        <v>0</v>
      </c>
      <c r="M6" s="23">
        <f t="shared" ref="M6:M34" si="0">L6+K6+J6+I6</f>
        <v>0</v>
      </c>
      <c r="N6" s="2"/>
    </row>
    <row r="7" spans="1:14" ht="19.5" customHeight="1">
      <c r="A7" s="8">
        <v>44289</v>
      </c>
      <c r="B7" s="57"/>
      <c r="C7" s="57"/>
      <c r="D7" s="21">
        <v>213.8</v>
      </c>
      <c r="E7" s="29">
        <v>949</v>
      </c>
      <c r="F7" s="24">
        <v>211.11</v>
      </c>
      <c r="G7" s="11">
        <v>668.61</v>
      </c>
      <c r="H7" s="9"/>
      <c r="I7" s="23">
        <v>0</v>
      </c>
      <c r="J7" s="1">
        <v>0</v>
      </c>
      <c r="K7" s="1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44290</v>
      </c>
      <c r="B8" s="57"/>
      <c r="C8" s="57"/>
      <c r="D8" s="21">
        <v>213.8</v>
      </c>
      <c r="E8" s="29">
        <v>949</v>
      </c>
      <c r="F8" s="24">
        <v>211.09</v>
      </c>
      <c r="G8" s="11">
        <v>667.33</v>
      </c>
      <c r="H8" s="9"/>
      <c r="I8" s="23">
        <v>0</v>
      </c>
      <c r="J8" s="1">
        <v>0</v>
      </c>
      <c r="K8" s="1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44291</v>
      </c>
      <c r="B9" s="57"/>
      <c r="C9" s="57"/>
      <c r="D9" s="21">
        <v>213.8</v>
      </c>
      <c r="E9" s="29">
        <v>949</v>
      </c>
      <c r="F9" s="24">
        <v>211.07</v>
      </c>
      <c r="G9" s="11">
        <v>665.85</v>
      </c>
      <c r="H9" s="9"/>
      <c r="I9" s="23">
        <v>0</v>
      </c>
      <c r="J9" s="1">
        <v>0</v>
      </c>
      <c r="K9" s="1">
        <v>0</v>
      </c>
      <c r="L9" s="23">
        <v>0</v>
      </c>
      <c r="M9" s="23">
        <f t="shared" si="0"/>
        <v>0</v>
      </c>
      <c r="N9" s="2"/>
    </row>
    <row r="10" spans="1:14" ht="19.5" customHeight="1">
      <c r="A10" s="8">
        <v>44292</v>
      </c>
      <c r="B10" s="57"/>
      <c r="C10" s="57"/>
      <c r="D10" s="21">
        <v>213.8</v>
      </c>
      <c r="E10" s="29">
        <v>949</v>
      </c>
      <c r="F10" s="24">
        <v>211.05</v>
      </c>
      <c r="G10" s="11">
        <v>663.92</v>
      </c>
      <c r="H10" s="9"/>
      <c r="I10" s="23">
        <v>0</v>
      </c>
      <c r="J10" s="1">
        <v>0</v>
      </c>
      <c r="K10" s="1">
        <v>0</v>
      </c>
      <c r="L10" s="23">
        <v>0</v>
      </c>
      <c r="M10" s="23">
        <f t="shared" si="0"/>
        <v>0</v>
      </c>
      <c r="N10" s="2"/>
    </row>
    <row r="11" spans="1:14" ht="19.5" customHeight="1">
      <c r="A11" s="8">
        <v>44293</v>
      </c>
      <c r="B11" s="57"/>
      <c r="C11" s="57"/>
      <c r="D11" s="21">
        <v>213.8</v>
      </c>
      <c r="E11" s="29">
        <v>949</v>
      </c>
      <c r="F11" s="24">
        <v>211.04</v>
      </c>
      <c r="G11" s="11">
        <v>662.19</v>
      </c>
      <c r="H11" s="9"/>
      <c r="I11" s="23">
        <v>0</v>
      </c>
      <c r="J11" s="1">
        <v>0</v>
      </c>
      <c r="K11" s="1">
        <v>0</v>
      </c>
      <c r="L11" s="23">
        <v>0</v>
      </c>
      <c r="M11" s="23">
        <f t="shared" si="0"/>
        <v>0</v>
      </c>
      <c r="N11" s="2"/>
    </row>
    <row r="12" spans="1:14" ht="19.5" customHeight="1">
      <c r="A12" s="8">
        <v>44294</v>
      </c>
      <c r="B12" s="57"/>
      <c r="C12" s="57"/>
      <c r="D12" s="21">
        <v>213.8</v>
      </c>
      <c r="E12" s="29">
        <v>949</v>
      </c>
      <c r="F12" s="24">
        <v>211.04</v>
      </c>
      <c r="G12" s="11">
        <v>662.19</v>
      </c>
      <c r="H12" s="9"/>
      <c r="I12" s="23">
        <v>0</v>
      </c>
      <c r="J12" s="1">
        <v>0</v>
      </c>
      <c r="K12" s="1">
        <v>0</v>
      </c>
      <c r="L12" s="23">
        <v>0</v>
      </c>
      <c r="M12" s="23">
        <f t="shared" si="0"/>
        <v>0</v>
      </c>
      <c r="N12" s="2"/>
    </row>
    <row r="13" spans="1:14" ht="19.5" customHeight="1">
      <c r="A13" s="8">
        <v>44295</v>
      </c>
      <c r="B13" s="57"/>
      <c r="C13" s="57"/>
      <c r="D13" s="21">
        <v>213.8</v>
      </c>
      <c r="E13" s="29">
        <v>949</v>
      </c>
      <c r="F13" s="24">
        <v>211.04</v>
      </c>
      <c r="G13" s="11">
        <v>662.19</v>
      </c>
      <c r="H13" s="9"/>
      <c r="I13" s="23">
        <v>0</v>
      </c>
      <c r="J13" s="1">
        <v>0</v>
      </c>
      <c r="K13" s="1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8">
        <v>44296</v>
      </c>
      <c r="B14" s="57"/>
      <c r="C14" s="57"/>
      <c r="D14" s="21">
        <v>213.8</v>
      </c>
      <c r="E14" s="29">
        <v>949</v>
      </c>
      <c r="F14" s="24">
        <v>211.04</v>
      </c>
      <c r="G14" s="11">
        <v>662.19</v>
      </c>
      <c r="H14" s="9">
        <v>25</v>
      </c>
      <c r="I14" s="23">
        <v>0</v>
      </c>
      <c r="J14" s="1">
        <v>0</v>
      </c>
      <c r="K14" s="1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8">
        <v>44297</v>
      </c>
      <c r="B15" s="57"/>
      <c r="C15" s="57"/>
      <c r="D15" s="21">
        <v>213.8</v>
      </c>
      <c r="E15" s="29">
        <v>949</v>
      </c>
      <c r="F15" s="24">
        <v>211.04</v>
      </c>
      <c r="G15" s="11">
        <v>662.19</v>
      </c>
      <c r="H15" s="9">
        <v>10</v>
      </c>
      <c r="I15" s="23">
        <v>0</v>
      </c>
      <c r="J15" s="1">
        <v>0</v>
      </c>
      <c r="K15" s="1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8">
        <v>44298</v>
      </c>
      <c r="B16" s="57"/>
      <c r="C16" s="57"/>
      <c r="D16" s="21">
        <v>213.8</v>
      </c>
      <c r="E16" s="29">
        <v>949</v>
      </c>
      <c r="F16" s="24">
        <v>211.04</v>
      </c>
      <c r="G16" s="11">
        <v>662.19</v>
      </c>
      <c r="H16" s="9">
        <v>10</v>
      </c>
      <c r="I16" s="23">
        <v>0</v>
      </c>
      <c r="J16" s="1">
        <v>0</v>
      </c>
      <c r="K16" s="1">
        <v>0</v>
      </c>
      <c r="L16" s="23">
        <v>0</v>
      </c>
      <c r="M16" s="23">
        <f t="shared" si="0"/>
        <v>0</v>
      </c>
      <c r="N16" s="2"/>
    </row>
    <row r="17" spans="1:15" ht="19.5" customHeight="1">
      <c r="A17" s="8">
        <v>44299</v>
      </c>
      <c r="B17" s="57"/>
      <c r="C17" s="57"/>
      <c r="D17" s="21">
        <v>213.8</v>
      </c>
      <c r="E17" s="29">
        <v>949</v>
      </c>
      <c r="F17" s="24">
        <v>211.04</v>
      </c>
      <c r="G17" s="11">
        <v>662.19</v>
      </c>
      <c r="H17" s="9">
        <v>10</v>
      </c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8">
        <v>44300</v>
      </c>
      <c r="B18" s="57"/>
      <c r="C18" s="57"/>
      <c r="D18" s="21">
        <v>213.8</v>
      </c>
      <c r="E18" s="29">
        <v>949</v>
      </c>
      <c r="F18" s="24">
        <v>211.04</v>
      </c>
      <c r="G18" s="11">
        <v>662.19</v>
      </c>
      <c r="H18" s="9">
        <v>10</v>
      </c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8">
        <v>44301</v>
      </c>
      <c r="B19" s="57"/>
      <c r="C19" s="57"/>
      <c r="D19" s="21">
        <v>213.8</v>
      </c>
      <c r="E19" s="29">
        <v>949</v>
      </c>
      <c r="F19" s="24">
        <v>211.04</v>
      </c>
      <c r="G19" s="11">
        <v>662.19</v>
      </c>
      <c r="H19" s="9">
        <v>10</v>
      </c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8">
        <v>44302</v>
      </c>
      <c r="B20" s="57"/>
      <c r="C20" s="57"/>
      <c r="D20" s="21">
        <v>213.8</v>
      </c>
      <c r="E20" s="29">
        <v>949</v>
      </c>
      <c r="F20" s="24">
        <v>211.03</v>
      </c>
      <c r="G20" s="11">
        <v>660.46</v>
      </c>
      <c r="H20" s="9"/>
      <c r="I20" s="23">
        <v>0</v>
      </c>
      <c r="J20" s="1">
        <v>0</v>
      </c>
      <c r="K20" s="1">
        <v>0</v>
      </c>
      <c r="L20" s="23">
        <v>0</v>
      </c>
      <c r="M20" s="23">
        <f t="shared" si="0"/>
        <v>0</v>
      </c>
      <c r="N20" s="2"/>
    </row>
    <row r="21" spans="1:15" ht="19.5" customHeight="1">
      <c r="A21" s="8">
        <v>44303</v>
      </c>
      <c r="B21" s="57"/>
      <c r="C21" s="57"/>
      <c r="D21" s="21">
        <v>213.8</v>
      </c>
      <c r="E21" s="29">
        <v>949</v>
      </c>
      <c r="F21" s="24">
        <v>211.03</v>
      </c>
      <c r="G21" s="11">
        <v>660.46</v>
      </c>
      <c r="H21" s="9">
        <v>10</v>
      </c>
      <c r="I21" s="23">
        <v>0</v>
      </c>
      <c r="J21" s="1">
        <v>0</v>
      </c>
      <c r="K21" s="1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8">
        <v>44304</v>
      </c>
      <c r="B22" s="57"/>
      <c r="C22" s="57"/>
      <c r="D22" s="21">
        <v>213.8</v>
      </c>
      <c r="E22" s="29">
        <v>949</v>
      </c>
      <c r="F22" s="24">
        <v>211.03</v>
      </c>
      <c r="G22" s="11">
        <v>660.46</v>
      </c>
      <c r="H22" s="9">
        <v>10</v>
      </c>
      <c r="I22" s="23">
        <v>0</v>
      </c>
      <c r="J22" s="1">
        <v>0</v>
      </c>
      <c r="K22" s="1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8">
        <v>44305</v>
      </c>
      <c r="B23" s="57"/>
      <c r="C23" s="57"/>
      <c r="D23" s="21">
        <v>213.8</v>
      </c>
      <c r="E23" s="29">
        <v>949</v>
      </c>
      <c r="F23" s="24">
        <v>211.03</v>
      </c>
      <c r="G23" s="11">
        <v>660.46</v>
      </c>
      <c r="H23" s="9">
        <v>10</v>
      </c>
      <c r="I23" s="23">
        <v>0</v>
      </c>
      <c r="J23" s="1">
        <v>0</v>
      </c>
      <c r="K23" s="1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8">
        <v>44306</v>
      </c>
      <c r="B24" s="57"/>
      <c r="C24" s="57"/>
      <c r="D24" s="21">
        <v>213.8</v>
      </c>
      <c r="E24" s="29">
        <v>949</v>
      </c>
      <c r="F24" s="24">
        <v>211.03</v>
      </c>
      <c r="G24" s="11">
        <v>660.46</v>
      </c>
      <c r="H24" s="9">
        <v>10</v>
      </c>
      <c r="I24" s="23">
        <v>0</v>
      </c>
      <c r="J24" s="1">
        <v>0</v>
      </c>
      <c r="K24" s="1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8">
        <v>44307</v>
      </c>
      <c r="B25" s="57"/>
      <c r="C25" s="57"/>
      <c r="D25" s="21">
        <v>213.8</v>
      </c>
      <c r="E25" s="29">
        <v>949</v>
      </c>
      <c r="F25" s="24">
        <v>211.03</v>
      </c>
      <c r="G25" s="11">
        <v>660.46</v>
      </c>
      <c r="H25" s="9">
        <v>10</v>
      </c>
      <c r="I25" s="23">
        <v>0</v>
      </c>
      <c r="J25" s="1">
        <v>0</v>
      </c>
      <c r="K25" s="1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8">
        <v>44308</v>
      </c>
      <c r="B26" s="57"/>
      <c r="C26" s="57"/>
      <c r="D26" s="21">
        <v>213.8</v>
      </c>
      <c r="E26" s="29">
        <v>949</v>
      </c>
      <c r="F26" s="24">
        <v>211.03</v>
      </c>
      <c r="G26" s="11">
        <v>660.46</v>
      </c>
      <c r="H26" s="9">
        <v>10</v>
      </c>
      <c r="I26" s="23">
        <v>0</v>
      </c>
      <c r="J26" s="1">
        <v>0</v>
      </c>
      <c r="K26" s="1">
        <v>0</v>
      </c>
      <c r="L26" s="23">
        <v>0</v>
      </c>
      <c r="M26" s="23">
        <f t="shared" si="0"/>
        <v>0</v>
      </c>
      <c r="N26" s="2"/>
      <c r="O26" s="17"/>
    </row>
    <row r="27" spans="1:15" ht="19.5" customHeight="1">
      <c r="A27" s="8">
        <v>44309</v>
      </c>
      <c r="B27" s="57"/>
      <c r="C27" s="57"/>
      <c r="D27" s="21">
        <v>213.8</v>
      </c>
      <c r="E27" s="29">
        <v>949</v>
      </c>
      <c r="F27" s="24">
        <v>211.03</v>
      </c>
      <c r="G27" s="11">
        <v>660.46</v>
      </c>
      <c r="H27" s="9">
        <v>10</v>
      </c>
      <c r="I27" s="23">
        <v>0</v>
      </c>
      <c r="J27" s="1">
        <v>0</v>
      </c>
      <c r="K27" s="1">
        <v>0</v>
      </c>
      <c r="L27" s="23">
        <v>0</v>
      </c>
      <c r="M27" s="23">
        <f t="shared" si="0"/>
        <v>0</v>
      </c>
      <c r="N27" s="2"/>
    </row>
    <row r="28" spans="1:15" ht="19.5" customHeight="1">
      <c r="A28" s="8">
        <v>44310</v>
      </c>
      <c r="B28" s="57"/>
      <c r="C28" s="57"/>
      <c r="D28" s="21">
        <v>213.8</v>
      </c>
      <c r="E28" s="29">
        <v>949</v>
      </c>
      <c r="F28" s="24">
        <v>211.03</v>
      </c>
      <c r="G28" s="11">
        <v>660.46</v>
      </c>
      <c r="H28" s="9">
        <v>10</v>
      </c>
      <c r="I28" s="23">
        <v>0</v>
      </c>
      <c r="J28" s="1">
        <v>0</v>
      </c>
      <c r="K28" s="1">
        <v>0</v>
      </c>
      <c r="L28" s="23">
        <v>0</v>
      </c>
      <c r="M28" s="23">
        <f t="shared" si="0"/>
        <v>0</v>
      </c>
      <c r="N28" s="2"/>
    </row>
    <row r="29" spans="1:15" ht="19.5" customHeight="1">
      <c r="A29" s="8">
        <v>44311</v>
      </c>
      <c r="B29" s="57"/>
      <c r="C29" s="57"/>
      <c r="D29" s="21">
        <v>213.8</v>
      </c>
      <c r="E29" s="29">
        <v>949</v>
      </c>
      <c r="F29" s="24">
        <v>211.01</v>
      </c>
      <c r="G29" s="11">
        <v>658.74</v>
      </c>
      <c r="H29" s="9"/>
      <c r="I29" s="23">
        <v>0</v>
      </c>
      <c r="J29" s="1">
        <v>0</v>
      </c>
      <c r="K29" s="1">
        <v>0</v>
      </c>
      <c r="L29" s="23">
        <v>0</v>
      </c>
      <c r="M29" s="23">
        <f t="shared" si="0"/>
        <v>0</v>
      </c>
      <c r="N29" s="2"/>
    </row>
    <row r="30" spans="1:15" ht="19.5" customHeight="1">
      <c r="A30" s="8">
        <v>44312</v>
      </c>
      <c r="B30" s="57"/>
      <c r="C30" s="57"/>
      <c r="D30" s="21">
        <v>213.8</v>
      </c>
      <c r="E30" s="29">
        <v>949</v>
      </c>
      <c r="F30" s="24">
        <v>211</v>
      </c>
      <c r="G30" s="11">
        <v>658.87</v>
      </c>
      <c r="H30" s="9"/>
      <c r="I30" s="23">
        <v>0</v>
      </c>
      <c r="J30" s="1">
        <v>0</v>
      </c>
      <c r="K30" s="1">
        <v>0</v>
      </c>
      <c r="L30" s="23">
        <v>0</v>
      </c>
      <c r="M30" s="23">
        <f t="shared" si="0"/>
        <v>0</v>
      </c>
      <c r="N30" s="2"/>
    </row>
    <row r="31" spans="1:15" ht="21" customHeight="1">
      <c r="A31" s="8">
        <v>44313</v>
      </c>
      <c r="B31" s="57"/>
      <c r="C31" s="57"/>
      <c r="D31" s="21">
        <v>213.8</v>
      </c>
      <c r="E31" s="29">
        <v>949</v>
      </c>
      <c r="F31" s="24">
        <v>211</v>
      </c>
      <c r="G31" s="11">
        <v>658.87</v>
      </c>
      <c r="H31" s="9"/>
      <c r="I31" s="23">
        <v>0</v>
      </c>
      <c r="J31" s="1">
        <v>0</v>
      </c>
      <c r="K31" s="1">
        <v>0</v>
      </c>
      <c r="L31" s="23">
        <v>0</v>
      </c>
      <c r="M31" s="23">
        <f t="shared" si="0"/>
        <v>0</v>
      </c>
      <c r="N31" s="2"/>
    </row>
    <row r="32" spans="1:15" ht="21" customHeight="1">
      <c r="A32" s="8">
        <v>44314</v>
      </c>
      <c r="B32" s="57"/>
      <c r="C32" s="57"/>
      <c r="D32" s="21">
        <v>213.8</v>
      </c>
      <c r="E32" s="29">
        <v>949</v>
      </c>
      <c r="F32" s="24">
        <v>210.98</v>
      </c>
      <c r="G32" s="11">
        <v>656.14</v>
      </c>
      <c r="H32" s="9"/>
      <c r="I32" s="23">
        <v>0</v>
      </c>
      <c r="J32" s="1">
        <v>0</v>
      </c>
      <c r="K32" s="1">
        <v>0</v>
      </c>
      <c r="L32" s="23">
        <v>0</v>
      </c>
      <c r="M32" s="23">
        <f t="shared" si="0"/>
        <v>0</v>
      </c>
      <c r="N32" s="2"/>
    </row>
    <row r="33" spans="1:15" ht="21" customHeight="1">
      <c r="A33" s="8">
        <v>44315</v>
      </c>
      <c r="B33" s="57"/>
      <c r="C33" s="57"/>
      <c r="D33" s="21">
        <v>213.8</v>
      </c>
      <c r="E33" s="29">
        <v>949</v>
      </c>
      <c r="F33" s="24">
        <v>210.96</v>
      </c>
      <c r="G33" s="11">
        <v>654.41999999999996</v>
      </c>
      <c r="H33" s="9"/>
      <c r="I33" s="23">
        <v>0</v>
      </c>
      <c r="J33" s="1">
        <v>0</v>
      </c>
      <c r="K33" s="1">
        <v>0</v>
      </c>
      <c r="L33" s="23">
        <v>0</v>
      </c>
      <c r="M33" s="23">
        <f t="shared" si="0"/>
        <v>0</v>
      </c>
      <c r="N33" s="2"/>
    </row>
    <row r="34" spans="1:15" ht="21" customHeight="1">
      <c r="A34" s="8">
        <v>44316</v>
      </c>
      <c r="B34" s="58"/>
      <c r="C34" s="58"/>
      <c r="D34" s="22">
        <v>213.8</v>
      </c>
      <c r="E34" s="29">
        <v>949</v>
      </c>
      <c r="F34" s="24">
        <v>210.94</v>
      </c>
      <c r="G34" s="11">
        <v>652.69000000000005</v>
      </c>
      <c r="H34" s="9"/>
      <c r="I34" s="23">
        <v>0</v>
      </c>
      <c r="J34" s="1">
        <v>0</v>
      </c>
      <c r="K34" s="1">
        <v>0</v>
      </c>
      <c r="L34" s="23">
        <v>0</v>
      </c>
      <c r="M34" s="23">
        <f t="shared" si="0"/>
        <v>0</v>
      </c>
      <c r="N34" s="2"/>
    </row>
    <row r="35" spans="1:15" ht="21" customHeight="1">
      <c r="A35" s="12"/>
      <c r="B35" s="13"/>
      <c r="C35" s="13"/>
      <c r="D35" s="14"/>
      <c r="E35" s="31"/>
      <c r="F35" s="15"/>
      <c r="G35" s="14"/>
      <c r="H35" s="63">
        <f t="shared" ref="H35:M35" si="1">SUM(H4:H34)</f>
        <v>155</v>
      </c>
      <c r="I35" s="63">
        <f t="shared" si="1"/>
        <v>0</v>
      </c>
      <c r="J35" s="63">
        <f t="shared" si="1"/>
        <v>0</v>
      </c>
      <c r="K35" s="63">
        <f t="shared" si="1"/>
        <v>0</v>
      </c>
      <c r="L35" s="63">
        <f t="shared" si="1"/>
        <v>0</v>
      </c>
      <c r="M35" s="63">
        <f t="shared" si="1"/>
        <v>0</v>
      </c>
      <c r="N35" s="16"/>
      <c r="O35" s="18"/>
    </row>
    <row r="36" spans="1:15" ht="47.25" customHeight="1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27"/>
      <c r="M36" s="27"/>
      <c r="N36" s="7"/>
    </row>
    <row r="37" spans="1:15" ht="15.75" customHeight="1">
      <c r="A37" s="59" t="s">
        <v>9</v>
      </c>
      <c r="B37" s="54"/>
      <c r="C37" s="54"/>
      <c r="D37" s="54"/>
      <c r="J37" s="59" t="s">
        <v>10</v>
      </c>
      <c r="K37" s="54"/>
      <c r="L37" s="54"/>
      <c r="M37" s="54"/>
      <c r="N37" s="7"/>
    </row>
    <row r="38" spans="1:15" ht="15.75" customHeight="1">
      <c r="A38" s="60" t="s">
        <v>16</v>
      </c>
      <c r="B38" s="54"/>
      <c r="C38" s="54"/>
      <c r="D38" s="54"/>
      <c r="J38" s="60" t="s">
        <v>16</v>
      </c>
      <c r="K38" s="54"/>
      <c r="L38" s="54"/>
      <c r="M38" s="54"/>
      <c r="N38" s="7"/>
    </row>
    <row r="39" spans="1:15" ht="15.75" customHeight="1">
      <c r="A39" s="53" t="s">
        <v>17</v>
      </c>
      <c r="B39" s="54"/>
      <c r="C39" s="54"/>
      <c r="D39" s="54"/>
      <c r="J39" s="53" t="s">
        <v>17</v>
      </c>
      <c r="K39" s="54"/>
      <c r="L39" s="54"/>
      <c r="M39" s="54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28" zoomScale="60" workbookViewId="0">
      <selection activeCell="H36" sqref="H36:M36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40" t="s">
        <v>25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4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4" ht="19.5" customHeight="1">
      <c r="A5" s="8">
        <v>44317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210.93</v>
      </c>
      <c r="G5" s="11">
        <v>651.83000000000004</v>
      </c>
      <c r="H5" s="9"/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44318</v>
      </c>
      <c r="B6" s="57"/>
      <c r="C6" s="57"/>
      <c r="D6" s="21">
        <v>213.8</v>
      </c>
      <c r="E6" s="29">
        <v>949</v>
      </c>
      <c r="F6" s="24">
        <v>210.91</v>
      </c>
      <c r="G6" s="11">
        <v>649.79</v>
      </c>
      <c r="H6" s="9"/>
      <c r="I6" s="23">
        <v>0</v>
      </c>
      <c r="J6" s="1">
        <v>0</v>
      </c>
      <c r="K6" s="1">
        <v>0</v>
      </c>
      <c r="L6" s="23">
        <v>0</v>
      </c>
      <c r="M6" s="23">
        <f t="shared" ref="M6:M35" si="0">L6+K6+J6+I6</f>
        <v>0</v>
      </c>
      <c r="N6" s="2"/>
    </row>
    <row r="7" spans="1:14" ht="19.5" customHeight="1">
      <c r="A7" s="8">
        <v>44319</v>
      </c>
      <c r="B7" s="57"/>
      <c r="C7" s="57"/>
      <c r="D7" s="21">
        <v>213.8</v>
      </c>
      <c r="E7" s="29">
        <v>949</v>
      </c>
      <c r="F7" s="24">
        <v>210.93</v>
      </c>
      <c r="G7" s="11">
        <v>651.20000000000005</v>
      </c>
      <c r="H7" s="9"/>
      <c r="I7" s="23">
        <v>0</v>
      </c>
      <c r="J7" s="1">
        <v>0</v>
      </c>
      <c r="K7" s="1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44320</v>
      </c>
      <c r="B8" s="57"/>
      <c r="C8" s="57"/>
      <c r="D8" s="21">
        <v>213.8</v>
      </c>
      <c r="E8" s="29">
        <v>949</v>
      </c>
      <c r="F8" s="24">
        <v>210.95</v>
      </c>
      <c r="G8" s="11">
        <v>652.62</v>
      </c>
      <c r="H8" s="9">
        <v>16</v>
      </c>
      <c r="I8" s="23">
        <v>0</v>
      </c>
      <c r="J8" s="1">
        <v>0</v>
      </c>
      <c r="K8" s="1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44321</v>
      </c>
      <c r="B9" s="57"/>
      <c r="C9" s="57"/>
      <c r="D9" s="21">
        <v>213.8</v>
      </c>
      <c r="E9" s="29">
        <v>949</v>
      </c>
      <c r="F9" s="24">
        <v>210.95</v>
      </c>
      <c r="G9" s="11">
        <v>652.62</v>
      </c>
      <c r="H9" s="9"/>
      <c r="I9" s="23">
        <v>0</v>
      </c>
      <c r="J9" s="1">
        <v>0</v>
      </c>
      <c r="K9" s="1">
        <v>0</v>
      </c>
      <c r="L9" s="23">
        <v>0</v>
      </c>
      <c r="M9" s="23">
        <f t="shared" si="0"/>
        <v>0</v>
      </c>
      <c r="N9" s="2"/>
    </row>
    <row r="10" spans="1:14" ht="19.5" customHeight="1">
      <c r="A10" s="8">
        <v>44322</v>
      </c>
      <c r="B10" s="57"/>
      <c r="C10" s="57"/>
      <c r="D10" s="21">
        <v>213.8</v>
      </c>
      <c r="E10" s="29">
        <v>949</v>
      </c>
      <c r="F10" s="24">
        <v>210.96</v>
      </c>
      <c r="G10" s="11">
        <v>653.62</v>
      </c>
      <c r="H10" s="9">
        <v>8</v>
      </c>
      <c r="I10" s="23">
        <v>0</v>
      </c>
      <c r="J10" s="1">
        <v>0</v>
      </c>
      <c r="K10" s="1">
        <v>0</v>
      </c>
      <c r="L10" s="23">
        <v>0</v>
      </c>
      <c r="M10" s="23">
        <f t="shared" si="0"/>
        <v>0</v>
      </c>
      <c r="N10" s="2"/>
    </row>
    <row r="11" spans="1:14" ht="19.5" customHeight="1">
      <c r="A11" s="8">
        <v>44323</v>
      </c>
      <c r="B11" s="57"/>
      <c r="C11" s="57"/>
      <c r="D11" s="21">
        <v>213.8</v>
      </c>
      <c r="E11" s="29">
        <v>949</v>
      </c>
      <c r="F11" s="24">
        <v>210.96</v>
      </c>
      <c r="G11" s="11">
        <v>653.62</v>
      </c>
      <c r="H11" s="9"/>
      <c r="I11" s="23">
        <v>0</v>
      </c>
      <c r="J11" s="1">
        <v>0</v>
      </c>
      <c r="K11" s="1">
        <v>0</v>
      </c>
      <c r="L11" s="23">
        <v>0</v>
      </c>
      <c r="M11" s="23">
        <f t="shared" si="0"/>
        <v>0</v>
      </c>
      <c r="N11" s="2"/>
    </row>
    <row r="12" spans="1:14" ht="19.5" customHeight="1">
      <c r="A12" s="8">
        <v>44324</v>
      </c>
      <c r="B12" s="57"/>
      <c r="C12" s="57"/>
      <c r="D12" s="21">
        <v>213.8</v>
      </c>
      <c r="E12" s="29">
        <v>949</v>
      </c>
      <c r="F12" s="24">
        <v>210.95</v>
      </c>
      <c r="G12" s="11">
        <v>652.62</v>
      </c>
      <c r="H12" s="9"/>
      <c r="I12" s="23">
        <v>0</v>
      </c>
      <c r="J12" s="1">
        <v>0</v>
      </c>
      <c r="K12" s="1">
        <v>0</v>
      </c>
      <c r="L12" s="23">
        <v>0</v>
      </c>
      <c r="M12" s="23">
        <f t="shared" si="0"/>
        <v>0</v>
      </c>
      <c r="N12" s="2"/>
    </row>
    <row r="13" spans="1:14" ht="19.5" customHeight="1">
      <c r="A13" s="8">
        <v>44325</v>
      </c>
      <c r="B13" s="57"/>
      <c r="C13" s="57"/>
      <c r="D13" s="21">
        <v>213.8</v>
      </c>
      <c r="E13" s="29">
        <v>949</v>
      </c>
      <c r="F13" s="24">
        <v>210.95</v>
      </c>
      <c r="G13" s="11">
        <v>652.62</v>
      </c>
      <c r="H13" s="9"/>
      <c r="I13" s="23">
        <v>0</v>
      </c>
      <c r="J13" s="1">
        <v>0</v>
      </c>
      <c r="K13" s="1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8">
        <v>44326</v>
      </c>
      <c r="B14" s="57"/>
      <c r="C14" s="57"/>
      <c r="D14" s="21">
        <v>213.8</v>
      </c>
      <c r="E14" s="29">
        <v>949</v>
      </c>
      <c r="F14" s="24">
        <v>210.95</v>
      </c>
      <c r="G14" s="11">
        <v>652.62</v>
      </c>
      <c r="H14" s="9"/>
      <c r="I14" s="23">
        <v>0</v>
      </c>
      <c r="J14" s="1">
        <v>0</v>
      </c>
      <c r="K14" s="1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8">
        <v>44327</v>
      </c>
      <c r="B15" s="57"/>
      <c r="C15" s="57"/>
      <c r="D15" s="21">
        <v>213.8</v>
      </c>
      <c r="E15" s="29">
        <v>949</v>
      </c>
      <c r="F15" s="24">
        <v>210.95</v>
      </c>
      <c r="G15" s="11">
        <v>652.62</v>
      </c>
      <c r="H15" s="9"/>
      <c r="I15" s="23">
        <v>0</v>
      </c>
      <c r="J15" s="1">
        <v>0</v>
      </c>
      <c r="K15" s="1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8">
        <v>44328</v>
      </c>
      <c r="B16" s="57"/>
      <c r="C16" s="57"/>
      <c r="D16" s="21">
        <v>213.8</v>
      </c>
      <c r="E16" s="29">
        <v>949</v>
      </c>
      <c r="F16" s="24">
        <v>210.95</v>
      </c>
      <c r="G16" s="11">
        <v>652.62</v>
      </c>
      <c r="H16" s="9"/>
      <c r="I16" s="23">
        <v>0</v>
      </c>
      <c r="J16" s="1">
        <v>0</v>
      </c>
      <c r="K16" s="1">
        <v>0</v>
      </c>
      <c r="L16" s="23">
        <v>0</v>
      </c>
      <c r="M16" s="23">
        <f t="shared" si="0"/>
        <v>0</v>
      </c>
      <c r="N16" s="2"/>
    </row>
    <row r="17" spans="1:15" ht="19.5" customHeight="1">
      <c r="A17" s="8">
        <v>44329</v>
      </c>
      <c r="B17" s="57"/>
      <c r="C17" s="57"/>
      <c r="D17" s="21">
        <v>213.8</v>
      </c>
      <c r="E17" s="29">
        <v>949</v>
      </c>
      <c r="F17" s="24">
        <v>210.99</v>
      </c>
      <c r="G17" s="11">
        <v>655.79899999999998</v>
      </c>
      <c r="H17" s="9"/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8">
        <v>44330</v>
      </c>
      <c r="B18" s="57"/>
      <c r="C18" s="57"/>
      <c r="D18" s="21">
        <v>213.8</v>
      </c>
      <c r="E18" s="29">
        <v>949</v>
      </c>
      <c r="F18" s="24">
        <v>211</v>
      </c>
      <c r="G18" s="11">
        <v>656.221</v>
      </c>
      <c r="H18" s="9">
        <v>10</v>
      </c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8">
        <v>44331</v>
      </c>
      <c r="B19" s="57"/>
      <c r="C19" s="57"/>
      <c r="D19" s="21">
        <v>213.8</v>
      </c>
      <c r="E19" s="29">
        <v>949</v>
      </c>
      <c r="F19" s="24">
        <v>211</v>
      </c>
      <c r="G19" s="11">
        <v>656.221</v>
      </c>
      <c r="H19" s="9"/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8">
        <v>44332</v>
      </c>
      <c r="B20" s="57"/>
      <c r="C20" s="57"/>
      <c r="D20" s="21">
        <v>213.8</v>
      </c>
      <c r="E20" s="29">
        <v>949</v>
      </c>
      <c r="F20" s="24">
        <v>211</v>
      </c>
      <c r="G20" s="11">
        <v>656.221</v>
      </c>
      <c r="H20" s="9"/>
      <c r="I20" s="23">
        <v>0</v>
      </c>
      <c r="J20" s="1">
        <v>0</v>
      </c>
      <c r="K20" s="1">
        <v>0</v>
      </c>
      <c r="L20" s="23">
        <v>0</v>
      </c>
      <c r="M20" s="23">
        <f t="shared" si="0"/>
        <v>0</v>
      </c>
      <c r="N20" s="2"/>
    </row>
    <row r="21" spans="1:15" ht="19.5" customHeight="1">
      <c r="A21" s="8">
        <v>44333</v>
      </c>
      <c r="B21" s="57"/>
      <c r="C21" s="57"/>
      <c r="D21" s="21">
        <v>213.8</v>
      </c>
      <c r="E21" s="29">
        <v>949</v>
      </c>
      <c r="F21" s="24">
        <v>211</v>
      </c>
      <c r="G21" s="11">
        <v>656.221</v>
      </c>
      <c r="H21" s="9"/>
      <c r="I21" s="23">
        <v>0</v>
      </c>
      <c r="J21" s="1">
        <v>0</v>
      </c>
      <c r="K21" s="1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8">
        <v>44334</v>
      </c>
      <c r="B22" s="57"/>
      <c r="C22" s="57"/>
      <c r="D22" s="21">
        <v>213.8</v>
      </c>
      <c r="E22" s="29">
        <v>949</v>
      </c>
      <c r="F22" s="24">
        <v>211</v>
      </c>
      <c r="G22" s="11">
        <v>656.221</v>
      </c>
      <c r="H22" s="9"/>
      <c r="I22" s="23">
        <v>0</v>
      </c>
      <c r="J22" s="1">
        <v>0</v>
      </c>
      <c r="K22" s="1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8">
        <v>44335</v>
      </c>
      <c r="B23" s="57"/>
      <c r="C23" s="57"/>
      <c r="D23" s="21">
        <v>213.8</v>
      </c>
      <c r="E23" s="29">
        <v>949</v>
      </c>
      <c r="F23" s="24">
        <v>211</v>
      </c>
      <c r="G23" s="11">
        <v>656.221</v>
      </c>
      <c r="H23" s="9"/>
      <c r="I23" s="23">
        <v>0</v>
      </c>
      <c r="J23" s="1">
        <v>0</v>
      </c>
      <c r="K23" s="1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8">
        <v>44336</v>
      </c>
      <c r="B24" s="57"/>
      <c r="C24" s="57"/>
      <c r="D24" s="21">
        <v>213.8</v>
      </c>
      <c r="E24" s="29">
        <v>949</v>
      </c>
      <c r="F24" s="24">
        <v>211</v>
      </c>
      <c r="G24" s="11">
        <v>656.221</v>
      </c>
      <c r="H24" s="9"/>
      <c r="I24" s="23">
        <v>0</v>
      </c>
      <c r="J24" s="1">
        <v>0</v>
      </c>
      <c r="K24" s="1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8">
        <v>44337</v>
      </c>
      <c r="B25" s="57"/>
      <c r="C25" s="57"/>
      <c r="D25" s="21">
        <v>213.8</v>
      </c>
      <c r="E25" s="29">
        <v>949</v>
      </c>
      <c r="F25" s="24">
        <v>210.98</v>
      </c>
      <c r="G25" s="11">
        <v>655.09</v>
      </c>
      <c r="H25" s="9"/>
      <c r="I25" s="23">
        <v>0</v>
      </c>
      <c r="J25" s="1">
        <v>0</v>
      </c>
      <c r="K25" s="1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8">
        <v>44338</v>
      </c>
      <c r="B26" s="57"/>
      <c r="C26" s="57"/>
      <c r="D26" s="21">
        <v>213.8</v>
      </c>
      <c r="E26" s="29">
        <v>949</v>
      </c>
      <c r="F26" s="24">
        <v>211</v>
      </c>
      <c r="G26" s="11">
        <v>652.22</v>
      </c>
      <c r="H26" s="9">
        <v>13</v>
      </c>
      <c r="I26" s="23">
        <v>0</v>
      </c>
      <c r="J26" s="1">
        <v>0</v>
      </c>
      <c r="K26" s="1">
        <v>0</v>
      </c>
      <c r="L26" s="23">
        <v>0</v>
      </c>
      <c r="M26" s="23">
        <f t="shared" si="0"/>
        <v>0</v>
      </c>
      <c r="N26" s="2"/>
      <c r="O26" s="17"/>
    </row>
    <row r="27" spans="1:15" ht="19.5" customHeight="1">
      <c r="A27" s="8">
        <v>44339</v>
      </c>
      <c r="B27" s="57"/>
      <c r="C27" s="57"/>
      <c r="D27" s="21">
        <v>213.8</v>
      </c>
      <c r="E27" s="29">
        <v>949</v>
      </c>
      <c r="F27" s="24">
        <v>211</v>
      </c>
      <c r="G27" s="11">
        <v>652.22</v>
      </c>
      <c r="H27" s="9"/>
      <c r="I27" s="23">
        <v>0</v>
      </c>
      <c r="J27" s="1">
        <v>0</v>
      </c>
      <c r="K27" s="1">
        <v>0</v>
      </c>
      <c r="L27" s="23">
        <v>0</v>
      </c>
      <c r="M27" s="23">
        <f t="shared" si="0"/>
        <v>0</v>
      </c>
      <c r="N27" s="2"/>
    </row>
    <row r="28" spans="1:15" ht="19.5" customHeight="1">
      <c r="A28" s="8">
        <v>44340</v>
      </c>
      <c r="B28" s="57"/>
      <c r="C28" s="57"/>
      <c r="D28" s="21">
        <v>213.8</v>
      </c>
      <c r="E28" s="29">
        <v>949</v>
      </c>
      <c r="F28" s="24">
        <v>211</v>
      </c>
      <c r="G28" s="11">
        <v>652.22</v>
      </c>
      <c r="H28" s="9"/>
      <c r="I28" s="23">
        <v>0</v>
      </c>
      <c r="J28" s="1">
        <v>0</v>
      </c>
      <c r="K28" s="1">
        <v>0</v>
      </c>
      <c r="L28" s="23">
        <v>0</v>
      </c>
      <c r="M28" s="23">
        <f t="shared" si="0"/>
        <v>0</v>
      </c>
      <c r="N28" s="2"/>
    </row>
    <row r="29" spans="1:15" ht="19.5" customHeight="1">
      <c r="A29" s="8">
        <v>44341</v>
      </c>
      <c r="B29" s="57"/>
      <c r="C29" s="57"/>
      <c r="D29" s="21">
        <v>213.8</v>
      </c>
      <c r="E29" s="29">
        <v>949</v>
      </c>
      <c r="F29" s="24">
        <v>211</v>
      </c>
      <c r="G29" s="11">
        <v>652.22</v>
      </c>
      <c r="H29" s="9"/>
      <c r="I29" s="23">
        <v>0</v>
      </c>
      <c r="J29" s="1">
        <v>0</v>
      </c>
      <c r="K29" s="1">
        <v>0</v>
      </c>
      <c r="L29" s="23">
        <v>0</v>
      </c>
      <c r="M29" s="23">
        <f t="shared" si="0"/>
        <v>0</v>
      </c>
      <c r="N29" s="2"/>
    </row>
    <row r="30" spans="1:15" ht="19.5" customHeight="1">
      <c r="A30" s="8">
        <v>44342</v>
      </c>
      <c r="B30" s="57"/>
      <c r="C30" s="57"/>
      <c r="D30" s="21">
        <v>213.8</v>
      </c>
      <c r="E30" s="29">
        <v>949</v>
      </c>
      <c r="F30" s="24">
        <v>211</v>
      </c>
      <c r="G30" s="11">
        <v>652.22</v>
      </c>
      <c r="H30" s="9"/>
      <c r="I30" s="23">
        <v>0</v>
      </c>
      <c r="J30" s="1">
        <v>0</v>
      </c>
      <c r="K30" s="1">
        <v>0</v>
      </c>
      <c r="L30" s="23">
        <v>0</v>
      </c>
      <c r="M30" s="23">
        <f t="shared" si="0"/>
        <v>0</v>
      </c>
      <c r="N30" s="2"/>
    </row>
    <row r="31" spans="1:15" ht="21" customHeight="1">
      <c r="A31" s="8">
        <v>44343</v>
      </c>
      <c r="B31" s="57"/>
      <c r="C31" s="57"/>
      <c r="D31" s="21">
        <v>213.8</v>
      </c>
      <c r="E31" s="29">
        <v>949</v>
      </c>
      <c r="F31" s="24">
        <v>210.98</v>
      </c>
      <c r="G31" s="11">
        <v>655.09</v>
      </c>
      <c r="H31" s="9"/>
      <c r="I31" s="23">
        <v>0</v>
      </c>
      <c r="J31" s="1">
        <v>0</v>
      </c>
      <c r="K31" s="1">
        <v>0</v>
      </c>
      <c r="L31" s="23">
        <v>0</v>
      </c>
      <c r="M31" s="23">
        <f t="shared" si="0"/>
        <v>0</v>
      </c>
      <c r="N31" s="2"/>
    </row>
    <row r="32" spans="1:15" ht="21" customHeight="1">
      <c r="A32" s="8">
        <v>44344</v>
      </c>
      <c r="B32" s="57"/>
      <c r="C32" s="57"/>
      <c r="D32" s="21">
        <v>213.8</v>
      </c>
      <c r="E32" s="29">
        <v>949</v>
      </c>
      <c r="F32" s="24">
        <v>210.95</v>
      </c>
      <c r="G32" s="11">
        <v>652.34</v>
      </c>
      <c r="H32" s="9"/>
      <c r="I32" s="23">
        <v>0</v>
      </c>
      <c r="J32" s="1">
        <v>0</v>
      </c>
      <c r="K32" s="1">
        <v>0</v>
      </c>
      <c r="L32" s="23">
        <v>0</v>
      </c>
      <c r="M32" s="23">
        <f t="shared" si="0"/>
        <v>0</v>
      </c>
      <c r="N32" s="2"/>
    </row>
    <row r="33" spans="1:15" ht="21" customHeight="1">
      <c r="A33" s="8">
        <v>44345</v>
      </c>
      <c r="B33" s="57"/>
      <c r="C33" s="57"/>
      <c r="D33" s="21">
        <v>213.8</v>
      </c>
      <c r="E33" s="29">
        <v>949</v>
      </c>
      <c r="F33" s="24">
        <v>210.95</v>
      </c>
      <c r="G33" s="11">
        <v>652.34</v>
      </c>
      <c r="H33" s="9"/>
      <c r="I33" s="23">
        <v>0</v>
      </c>
      <c r="J33" s="1">
        <v>0</v>
      </c>
      <c r="K33" s="1">
        <v>0</v>
      </c>
      <c r="L33" s="23">
        <v>0</v>
      </c>
      <c r="M33" s="23">
        <f t="shared" si="0"/>
        <v>0</v>
      </c>
      <c r="N33" s="2"/>
    </row>
    <row r="34" spans="1:15" ht="21" customHeight="1">
      <c r="A34" s="8">
        <v>44346</v>
      </c>
      <c r="B34" s="57"/>
      <c r="C34" s="57"/>
      <c r="D34" s="21">
        <v>213.8</v>
      </c>
      <c r="E34" s="29">
        <v>949</v>
      </c>
      <c r="F34" s="24">
        <v>211.05</v>
      </c>
      <c r="G34" s="11">
        <v>661.8</v>
      </c>
      <c r="H34" s="9">
        <v>110</v>
      </c>
      <c r="I34" s="23">
        <v>0</v>
      </c>
      <c r="J34" s="1">
        <v>0</v>
      </c>
      <c r="K34" s="1">
        <v>0</v>
      </c>
      <c r="L34" s="23">
        <v>0</v>
      </c>
      <c r="M34" s="23">
        <f t="shared" si="0"/>
        <v>0</v>
      </c>
      <c r="N34" s="2"/>
    </row>
    <row r="35" spans="1:15" ht="21" customHeight="1">
      <c r="A35" s="8">
        <v>44347</v>
      </c>
      <c r="B35" s="58"/>
      <c r="C35" s="58"/>
      <c r="D35" s="22">
        <v>213.8</v>
      </c>
      <c r="E35" s="29">
        <v>949</v>
      </c>
      <c r="F35" s="24">
        <v>211.05</v>
      </c>
      <c r="G35" s="11">
        <v>661.8</v>
      </c>
      <c r="H35" s="9"/>
      <c r="I35" s="23">
        <v>0</v>
      </c>
      <c r="J35" s="1">
        <v>0</v>
      </c>
      <c r="K35" s="1">
        <v>0</v>
      </c>
      <c r="L35" s="23">
        <v>0</v>
      </c>
      <c r="M35" s="23">
        <f t="shared" si="0"/>
        <v>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63">
        <f t="shared" ref="H36:M36" si="1">SUM(H5:H35)</f>
        <v>157</v>
      </c>
      <c r="I36" s="63">
        <f t="shared" si="1"/>
        <v>0</v>
      </c>
      <c r="J36" s="63">
        <f t="shared" si="1"/>
        <v>0</v>
      </c>
      <c r="K36" s="63">
        <f t="shared" si="1"/>
        <v>0</v>
      </c>
      <c r="L36" s="63">
        <f t="shared" si="1"/>
        <v>0</v>
      </c>
      <c r="M36" s="63">
        <f t="shared" si="1"/>
        <v>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27"/>
      <c r="M37" s="27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1"/>
  <sheetViews>
    <sheetView view="pageBreakPreview" topLeftCell="A24" zoomScale="60" workbookViewId="0">
      <selection activeCell="H35" sqref="H35:M35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40" t="s">
        <v>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4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4" ht="19.5" customHeight="1">
      <c r="A5" s="8">
        <v>44348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211.05</v>
      </c>
      <c r="G5" s="11">
        <v>661.8</v>
      </c>
      <c r="H5" s="9"/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44349</v>
      </c>
      <c r="B6" s="57"/>
      <c r="C6" s="57"/>
      <c r="D6" s="21">
        <v>213.8</v>
      </c>
      <c r="E6" s="29">
        <v>949</v>
      </c>
      <c r="F6" s="24">
        <v>211.05</v>
      </c>
      <c r="G6" s="11">
        <v>661.8</v>
      </c>
      <c r="H6" s="9"/>
      <c r="I6" s="23">
        <v>0</v>
      </c>
      <c r="J6" s="1">
        <v>0</v>
      </c>
      <c r="K6" s="1">
        <v>0</v>
      </c>
      <c r="L6" s="23">
        <v>0</v>
      </c>
      <c r="M6" s="23">
        <f t="shared" ref="M6:M34" si="0">L6+K6+J6+I6</f>
        <v>0</v>
      </c>
      <c r="N6" s="2"/>
    </row>
    <row r="7" spans="1:14" ht="19.5" customHeight="1">
      <c r="A7" s="8">
        <v>44350</v>
      </c>
      <c r="B7" s="57"/>
      <c r="C7" s="57"/>
      <c r="D7" s="21">
        <v>213.8</v>
      </c>
      <c r="E7" s="29">
        <v>949</v>
      </c>
      <c r="F7" s="24">
        <v>211.05</v>
      </c>
      <c r="G7" s="11">
        <v>661.8</v>
      </c>
      <c r="H7" s="9"/>
      <c r="I7" s="23">
        <v>0</v>
      </c>
      <c r="J7" s="1">
        <v>0</v>
      </c>
      <c r="K7" s="1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44351</v>
      </c>
      <c r="B8" s="57"/>
      <c r="C8" s="57"/>
      <c r="D8" s="21">
        <v>213.8</v>
      </c>
      <c r="E8" s="29">
        <v>949</v>
      </c>
      <c r="F8" s="24">
        <v>211.11</v>
      </c>
      <c r="G8" s="11">
        <v>667.8</v>
      </c>
      <c r="H8" s="9">
        <v>70</v>
      </c>
      <c r="I8" s="23">
        <v>0</v>
      </c>
      <c r="J8" s="1">
        <v>0</v>
      </c>
      <c r="K8" s="1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44352</v>
      </c>
      <c r="B9" s="57"/>
      <c r="C9" s="57"/>
      <c r="D9" s="21">
        <v>213.8</v>
      </c>
      <c r="E9" s="29">
        <v>949</v>
      </c>
      <c r="F9" s="24">
        <v>211.11</v>
      </c>
      <c r="G9" s="11">
        <v>667.8</v>
      </c>
      <c r="H9" s="9"/>
      <c r="I9" s="23">
        <v>0</v>
      </c>
      <c r="J9" s="1">
        <v>0</v>
      </c>
      <c r="K9" s="1">
        <v>0</v>
      </c>
      <c r="L9" s="23">
        <v>0</v>
      </c>
      <c r="M9" s="23">
        <f t="shared" si="0"/>
        <v>0</v>
      </c>
      <c r="N9" s="2"/>
    </row>
    <row r="10" spans="1:14" ht="19.5" customHeight="1">
      <c r="A10" s="8">
        <v>44353</v>
      </c>
      <c r="B10" s="57"/>
      <c r="C10" s="57"/>
      <c r="D10" s="21">
        <v>213.8</v>
      </c>
      <c r="E10" s="29">
        <v>949</v>
      </c>
      <c r="F10" s="24">
        <v>211.13</v>
      </c>
      <c r="G10" s="11">
        <v>669.92</v>
      </c>
      <c r="H10" s="9">
        <v>25</v>
      </c>
      <c r="I10" s="23">
        <v>0</v>
      </c>
      <c r="J10" s="1">
        <v>0</v>
      </c>
      <c r="K10" s="1">
        <v>0</v>
      </c>
      <c r="L10" s="23">
        <v>0</v>
      </c>
      <c r="M10" s="23">
        <f t="shared" si="0"/>
        <v>0</v>
      </c>
      <c r="N10" s="2"/>
    </row>
    <row r="11" spans="1:14" ht="19.5" customHeight="1">
      <c r="A11" s="8">
        <v>44354</v>
      </c>
      <c r="B11" s="57"/>
      <c r="C11" s="57"/>
      <c r="D11" s="21">
        <v>213.8</v>
      </c>
      <c r="E11" s="29">
        <v>949</v>
      </c>
      <c r="F11" s="24">
        <v>211.13</v>
      </c>
      <c r="G11" s="11">
        <v>669.92</v>
      </c>
      <c r="H11" s="9"/>
      <c r="I11" s="23">
        <v>0</v>
      </c>
      <c r="J11" s="1">
        <v>0</v>
      </c>
      <c r="K11" s="1">
        <v>0</v>
      </c>
      <c r="L11" s="23">
        <v>0</v>
      </c>
      <c r="M11" s="23">
        <f t="shared" si="0"/>
        <v>0</v>
      </c>
      <c r="N11" s="2"/>
    </row>
    <row r="12" spans="1:14" ht="19.5" customHeight="1">
      <c r="A12" s="8">
        <v>44355</v>
      </c>
      <c r="B12" s="57"/>
      <c r="C12" s="57"/>
      <c r="D12" s="21">
        <v>213.8</v>
      </c>
      <c r="E12" s="29">
        <v>949</v>
      </c>
      <c r="F12" s="24">
        <v>211.11</v>
      </c>
      <c r="G12" s="11">
        <v>667.8</v>
      </c>
      <c r="H12" s="9"/>
      <c r="I12" s="23">
        <v>0</v>
      </c>
      <c r="J12" s="1">
        <v>0</v>
      </c>
      <c r="K12" s="1">
        <v>0</v>
      </c>
      <c r="L12" s="23">
        <v>0</v>
      </c>
      <c r="M12" s="23">
        <f t="shared" si="0"/>
        <v>0</v>
      </c>
      <c r="N12" s="2"/>
    </row>
    <row r="13" spans="1:14" ht="19.5" customHeight="1">
      <c r="A13" s="8">
        <v>44356</v>
      </c>
      <c r="B13" s="57"/>
      <c r="C13" s="57"/>
      <c r="D13" s="21">
        <v>213.8</v>
      </c>
      <c r="E13" s="29">
        <v>949</v>
      </c>
      <c r="F13" s="25">
        <v>211.11</v>
      </c>
      <c r="G13" s="11">
        <v>667.8</v>
      </c>
      <c r="H13" s="9"/>
      <c r="I13" s="23">
        <v>0</v>
      </c>
      <c r="J13" s="1">
        <v>0</v>
      </c>
      <c r="K13" s="1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8">
        <v>44357</v>
      </c>
      <c r="B14" s="57"/>
      <c r="C14" s="57"/>
      <c r="D14" s="21">
        <v>213.8</v>
      </c>
      <c r="E14" s="29">
        <v>949</v>
      </c>
      <c r="F14" s="25">
        <v>211.13</v>
      </c>
      <c r="G14" s="11">
        <v>669.92</v>
      </c>
      <c r="H14" s="9">
        <v>25</v>
      </c>
      <c r="I14" s="23">
        <v>0</v>
      </c>
      <c r="J14" s="1">
        <v>0</v>
      </c>
      <c r="K14" s="1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8">
        <v>44358</v>
      </c>
      <c r="B15" s="57"/>
      <c r="C15" s="57"/>
      <c r="D15" s="21">
        <v>213.8</v>
      </c>
      <c r="E15" s="29">
        <v>949</v>
      </c>
      <c r="F15" s="24">
        <v>211.11</v>
      </c>
      <c r="G15" s="11">
        <v>667.8</v>
      </c>
      <c r="H15" s="9"/>
      <c r="I15" s="23">
        <v>0</v>
      </c>
      <c r="J15" s="1">
        <v>0</v>
      </c>
      <c r="K15" s="1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8">
        <v>44359</v>
      </c>
      <c r="B16" s="57"/>
      <c r="C16" s="57"/>
      <c r="D16" s="21">
        <v>213.8</v>
      </c>
      <c r="E16" s="29">
        <v>949</v>
      </c>
      <c r="F16" s="24">
        <v>211.09</v>
      </c>
      <c r="G16" s="11">
        <v>665.88</v>
      </c>
      <c r="H16" s="9"/>
      <c r="I16" s="23">
        <v>0</v>
      </c>
      <c r="J16" s="1">
        <v>0</v>
      </c>
      <c r="K16" s="1">
        <v>0</v>
      </c>
      <c r="L16" s="23">
        <v>0</v>
      </c>
      <c r="M16" s="23">
        <f t="shared" si="0"/>
        <v>0</v>
      </c>
      <c r="N16" s="2"/>
    </row>
    <row r="17" spans="1:15" ht="19.5" customHeight="1">
      <c r="A17" s="8">
        <v>44360</v>
      </c>
      <c r="B17" s="57"/>
      <c r="C17" s="57"/>
      <c r="D17" s="21">
        <v>213.8</v>
      </c>
      <c r="E17" s="29">
        <v>949</v>
      </c>
      <c r="F17" s="24">
        <v>211.09</v>
      </c>
      <c r="G17" s="11">
        <v>665.88</v>
      </c>
      <c r="H17" s="9"/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8">
        <v>44361</v>
      </c>
      <c r="B18" s="57"/>
      <c r="C18" s="57"/>
      <c r="D18" s="21">
        <v>213.8</v>
      </c>
      <c r="E18" s="29">
        <v>949</v>
      </c>
      <c r="F18" s="24">
        <v>211.09</v>
      </c>
      <c r="G18" s="11">
        <v>665.88</v>
      </c>
      <c r="H18" s="9"/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8">
        <v>44362</v>
      </c>
      <c r="B19" s="57"/>
      <c r="C19" s="57"/>
      <c r="D19" s="21">
        <v>213.8</v>
      </c>
      <c r="E19" s="29">
        <v>949</v>
      </c>
      <c r="F19" s="24">
        <v>211.09</v>
      </c>
      <c r="G19" s="11">
        <v>665.88</v>
      </c>
      <c r="H19" s="9"/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8">
        <v>44363</v>
      </c>
      <c r="B20" s="57"/>
      <c r="C20" s="57"/>
      <c r="D20" s="21">
        <v>213.8</v>
      </c>
      <c r="E20" s="29">
        <v>949</v>
      </c>
      <c r="F20" s="24">
        <v>211.09</v>
      </c>
      <c r="G20" s="11">
        <v>665.88</v>
      </c>
      <c r="H20" s="9"/>
      <c r="I20" s="23">
        <v>0</v>
      </c>
      <c r="J20" s="1">
        <v>0</v>
      </c>
      <c r="K20" s="1">
        <v>0</v>
      </c>
      <c r="L20" s="23">
        <v>0</v>
      </c>
      <c r="M20" s="23">
        <f t="shared" si="0"/>
        <v>0</v>
      </c>
      <c r="N20" s="2"/>
    </row>
    <row r="21" spans="1:15" ht="19.5" customHeight="1">
      <c r="A21" s="8">
        <v>44364</v>
      </c>
      <c r="B21" s="57"/>
      <c r="C21" s="57"/>
      <c r="D21" s="21">
        <v>213.8</v>
      </c>
      <c r="E21" s="29">
        <v>949</v>
      </c>
      <c r="F21" s="24">
        <v>211.09</v>
      </c>
      <c r="G21" s="11">
        <v>665.88</v>
      </c>
      <c r="H21" s="9"/>
      <c r="I21" s="23">
        <v>0</v>
      </c>
      <c r="J21" s="1">
        <v>0</v>
      </c>
      <c r="K21" s="1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8">
        <v>44365</v>
      </c>
      <c r="B22" s="57"/>
      <c r="C22" s="57"/>
      <c r="D22" s="21">
        <v>213.8</v>
      </c>
      <c r="E22" s="29">
        <v>949</v>
      </c>
      <c r="F22" s="24">
        <v>211.09</v>
      </c>
      <c r="G22" s="11">
        <v>665.88</v>
      </c>
      <c r="H22" s="9"/>
      <c r="I22" s="23">
        <v>0</v>
      </c>
      <c r="J22" s="1">
        <v>0</v>
      </c>
      <c r="K22" s="1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8">
        <v>44366</v>
      </c>
      <c r="B23" s="57"/>
      <c r="C23" s="57"/>
      <c r="D23" s="21">
        <v>213.8</v>
      </c>
      <c r="E23" s="29">
        <v>949</v>
      </c>
      <c r="F23" s="24">
        <v>211.09</v>
      </c>
      <c r="G23" s="11">
        <v>665.88</v>
      </c>
      <c r="H23" s="9"/>
      <c r="I23" s="23">
        <v>0</v>
      </c>
      <c r="J23" s="1">
        <v>0</v>
      </c>
      <c r="K23" s="1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8">
        <v>44367</v>
      </c>
      <c r="B24" s="57"/>
      <c r="C24" s="57"/>
      <c r="D24" s="21">
        <v>213.8</v>
      </c>
      <c r="E24" s="29">
        <v>949</v>
      </c>
      <c r="F24" s="24">
        <v>211.08</v>
      </c>
      <c r="G24" s="11">
        <v>664.62</v>
      </c>
      <c r="H24" s="9"/>
      <c r="I24" s="23">
        <v>0</v>
      </c>
      <c r="J24" s="1">
        <v>0</v>
      </c>
      <c r="K24" s="1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8">
        <v>44368</v>
      </c>
      <c r="B25" s="57"/>
      <c r="C25" s="57"/>
      <c r="D25" s="21">
        <v>213.8</v>
      </c>
      <c r="E25" s="29">
        <v>949</v>
      </c>
      <c r="F25" s="24">
        <v>211.08</v>
      </c>
      <c r="G25" s="11">
        <v>664.62</v>
      </c>
      <c r="H25" s="9"/>
      <c r="I25" s="23">
        <v>0</v>
      </c>
      <c r="J25" s="1">
        <v>0</v>
      </c>
      <c r="K25" s="1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8">
        <v>44369</v>
      </c>
      <c r="B26" s="57"/>
      <c r="C26" s="57"/>
      <c r="D26" s="21">
        <v>213.8</v>
      </c>
      <c r="E26" s="29">
        <v>949</v>
      </c>
      <c r="F26" s="24">
        <v>211.06</v>
      </c>
      <c r="G26" s="11">
        <v>663.56</v>
      </c>
      <c r="H26" s="9"/>
      <c r="I26" s="23">
        <v>0</v>
      </c>
      <c r="J26" s="1">
        <v>0</v>
      </c>
      <c r="K26" s="1">
        <v>0</v>
      </c>
      <c r="L26" s="23">
        <v>0</v>
      </c>
      <c r="M26" s="23">
        <f t="shared" si="0"/>
        <v>0</v>
      </c>
      <c r="N26" s="2"/>
      <c r="O26" s="17"/>
    </row>
    <row r="27" spans="1:15" ht="19.5" customHeight="1">
      <c r="A27" s="8">
        <v>44370</v>
      </c>
      <c r="B27" s="57"/>
      <c r="C27" s="57"/>
      <c r="D27" s="21">
        <v>213.8</v>
      </c>
      <c r="E27" s="29">
        <v>949</v>
      </c>
      <c r="F27" s="24">
        <v>211.05</v>
      </c>
      <c r="G27" s="11">
        <v>661.8</v>
      </c>
      <c r="H27" s="9"/>
      <c r="I27" s="23">
        <v>0</v>
      </c>
      <c r="J27" s="1">
        <v>0</v>
      </c>
      <c r="K27" s="1">
        <v>0</v>
      </c>
      <c r="L27" s="23">
        <v>0</v>
      </c>
      <c r="M27" s="23">
        <f t="shared" si="0"/>
        <v>0</v>
      </c>
      <c r="N27" s="2"/>
    </row>
    <row r="28" spans="1:15" ht="19.5" customHeight="1">
      <c r="A28" s="8">
        <v>44371</v>
      </c>
      <c r="B28" s="57"/>
      <c r="C28" s="57"/>
      <c r="D28" s="21">
        <v>213.8</v>
      </c>
      <c r="E28" s="29">
        <v>949</v>
      </c>
      <c r="F28" s="24">
        <v>211.04</v>
      </c>
      <c r="G28" s="11">
        <v>660.74</v>
      </c>
      <c r="H28" s="9"/>
      <c r="I28" s="23">
        <v>0</v>
      </c>
      <c r="J28" s="1">
        <v>0</v>
      </c>
      <c r="K28" s="1">
        <v>0</v>
      </c>
      <c r="L28" s="23">
        <v>0</v>
      </c>
      <c r="M28" s="23">
        <f t="shared" si="0"/>
        <v>0</v>
      </c>
      <c r="N28" s="2"/>
    </row>
    <row r="29" spans="1:15" ht="19.5" customHeight="1">
      <c r="A29" s="8">
        <v>44372</v>
      </c>
      <c r="B29" s="57"/>
      <c r="C29" s="57"/>
      <c r="D29" s="21">
        <v>213.8</v>
      </c>
      <c r="E29" s="29">
        <v>949</v>
      </c>
      <c r="F29" s="24">
        <v>211.04</v>
      </c>
      <c r="G29" s="11">
        <v>660.74</v>
      </c>
      <c r="H29" s="9"/>
      <c r="I29" s="23">
        <v>0</v>
      </c>
      <c r="J29" s="1">
        <v>0</v>
      </c>
      <c r="K29" s="1">
        <v>0</v>
      </c>
      <c r="L29" s="23">
        <v>0</v>
      </c>
      <c r="M29" s="23">
        <f t="shared" si="0"/>
        <v>0</v>
      </c>
      <c r="N29" s="2"/>
    </row>
    <row r="30" spans="1:15" ht="19.5" customHeight="1">
      <c r="A30" s="8">
        <v>44373</v>
      </c>
      <c r="B30" s="57"/>
      <c r="C30" s="57"/>
      <c r="D30" s="21">
        <v>213.8</v>
      </c>
      <c r="E30" s="29">
        <v>949</v>
      </c>
      <c r="F30" s="24">
        <v>211.03</v>
      </c>
      <c r="G30" s="11">
        <v>659.68</v>
      </c>
      <c r="H30" s="9"/>
      <c r="I30" s="23">
        <v>0</v>
      </c>
      <c r="J30" s="1">
        <v>0</v>
      </c>
      <c r="K30" s="1">
        <v>0</v>
      </c>
      <c r="L30" s="23">
        <v>0</v>
      </c>
      <c r="M30" s="23">
        <f t="shared" si="0"/>
        <v>0</v>
      </c>
      <c r="N30" s="2"/>
    </row>
    <row r="31" spans="1:15" ht="21" customHeight="1">
      <c r="A31" s="8">
        <v>44374</v>
      </c>
      <c r="B31" s="57"/>
      <c r="C31" s="57"/>
      <c r="D31" s="21">
        <v>213.8</v>
      </c>
      <c r="E31" s="29">
        <v>949</v>
      </c>
      <c r="F31" s="24">
        <v>211.03</v>
      </c>
      <c r="G31" s="11">
        <v>659.68</v>
      </c>
      <c r="H31" s="9"/>
      <c r="I31" s="23">
        <v>0</v>
      </c>
      <c r="J31" s="1">
        <v>0</v>
      </c>
      <c r="K31" s="1">
        <v>0</v>
      </c>
      <c r="L31" s="23">
        <v>0</v>
      </c>
      <c r="M31" s="23">
        <f t="shared" si="0"/>
        <v>0</v>
      </c>
      <c r="N31" s="2"/>
    </row>
    <row r="32" spans="1:15" ht="21" customHeight="1">
      <c r="A32" s="8">
        <v>44375</v>
      </c>
      <c r="B32" s="57"/>
      <c r="C32" s="57"/>
      <c r="D32" s="21">
        <v>213.8</v>
      </c>
      <c r="E32" s="29">
        <v>949</v>
      </c>
      <c r="F32" s="24">
        <v>211.03</v>
      </c>
      <c r="G32" s="11">
        <v>659.68</v>
      </c>
      <c r="H32" s="9"/>
      <c r="I32" s="23">
        <v>0</v>
      </c>
      <c r="J32" s="1">
        <v>0</v>
      </c>
      <c r="K32" s="1">
        <v>0</v>
      </c>
      <c r="L32" s="23">
        <v>0</v>
      </c>
      <c r="M32" s="23">
        <f t="shared" si="0"/>
        <v>0</v>
      </c>
      <c r="N32" s="2"/>
    </row>
    <row r="33" spans="1:15" ht="21" customHeight="1">
      <c r="A33" s="8">
        <v>44376</v>
      </c>
      <c r="B33" s="57"/>
      <c r="C33" s="57"/>
      <c r="D33" s="21">
        <v>213.8</v>
      </c>
      <c r="E33" s="29">
        <v>949</v>
      </c>
      <c r="F33" s="24">
        <v>211.03</v>
      </c>
      <c r="G33" s="11">
        <v>659.68</v>
      </c>
      <c r="H33" s="9"/>
      <c r="I33" s="23">
        <v>0</v>
      </c>
      <c r="J33" s="1">
        <v>0</v>
      </c>
      <c r="K33" s="1">
        <v>0</v>
      </c>
      <c r="L33" s="23">
        <v>0</v>
      </c>
      <c r="M33" s="23">
        <f t="shared" si="0"/>
        <v>0</v>
      </c>
      <c r="N33" s="2"/>
    </row>
    <row r="34" spans="1:15" ht="21" customHeight="1">
      <c r="A34" s="8">
        <v>44377</v>
      </c>
      <c r="B34" s="58"/>
      <c r="C34" s="58"/>
      <c r="D34" s="22">
        <v>213.8</v>
      </c>
      <c r="E34" s="29">
        <v>949</v>
      </c>
      <c r="F34" s="24">
        <v>211.01</v>
      </c>
      <c r="G34" s="11">
        <v>658.74</v>
      </c>
      <c r="H34" s="9"/>
      <c r="I34" s="23">
        <v>0</v>
      </c>
      <c r="J34" s="1">
        <v>0</v>
      </c>
      <c r="K34" s="1">
        <v>0</v>
      </c>
      <c r="L34" s="23">
        <v>0</v>
      </c>
      <c r="M34" s="23">
        <f t="shared" si="0"/>
        <v>0</v>
      </c>
      <c r="N34" s="2"/>
    </row>
    <row r="35" spans="1:15" ht="21" customHeight="1">
      <c r="A35" s="12"/>
      <c r="B35" s="13"/>
      <c r="C35" s="13"/>
      <c r="D35" s="14"/>
      <c r="E35" s="31"/>
      <c r="F35" s="15"/>
      <c r="G35" s="14"/>
      <c r="H35" s="63">
        <f t="shared" ref="H35:M35" si="1">SUM(H4:H34)</f>
        <v>120</v>
      </c>
      <c r="I35" s="63">
        <f t="shared" si="1"/>
        <v>0</v>
      </c>
      <c r="J35" s="63">
        <f t="shared" si="1"/>
        <v>0</v>
      </c>
      <c r="K35" s="63">
        <f t="shared" si="1"/>
        <v>0</v>
      </c>
      <c r="L35" s="63">
        <f t="shared" si="1"/>
        <v>0</v>
      </c>
      <c r="M35" s="63">
        <f t="shared" si="1"/>
        <v>0</v>
      </c>
      <c r="N35" s="16"/>
      <c r="O35" s="18"/>
    </row>
    <row r="36" spans="1:15" ht="47.25" customHeight="1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27"/>
      <c r="M36" s="27"/>
      <c r="N36" s="7"/>
    </row>
    <row r="37" spans="1:15" ht="15.75" customHeight="1">
      <c r="A37" s="59" t="s">
        <v>9</v>
      </c>
      <c r="B37" s="54"/>
      <c r="C37" s="54"/>
      <c r="D37" s="54"/>
      <c r="J37" s="59" t="s">
        <v>10</v>
      </c>
      <c r="K37" s="54"/>
      <c r="L37" s="54"/>
      <c r="M37" s="54"/>
      <c r="N37" s="7"/>
    </row>
    <row r="38" spans="1:15" ht="15.75" customHeight="1">
      <c r="A38" s="60" t="s">
        <v>16</v>
      </c>
      <c r="B38" s="54"/>
      <c r="C38" s="54"/>
      <c r="D38" s="54"/>
      <c r="J38" s="60" t="s">
        <v>16</v>
      </c>
      <c r="K38" s="54"/>
      <c r="L38" s="54"/>
      <c r="M38" s="54"/>
      <c r="N38" s="7"/>
    </row>
    <row r="39" spans="1:15" ht="15.75" customHeight="1">
      <c r="A39" s="53" t="s">
        <v>17</v>
      </c>
      <c r="B39" s="54"/>
      <c r="C39" s="54"/>
      <c r="D39" s="54"/>
      <c r="J39" s="53" t="s">
        <v>17</v>
      </c>
      <c r="K39" s="54"/>
      <c r="L39" s="54"/>
      <c r="M39" s="54"/>
      <c r="N39" s="7"/>
    </row>
    <row r="40" spans="1:15" ht="15.75" customHeight="1"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22" zoomScale="60" workbookViewId="0">
      <selection activeCell="H36" sqref="H36:M36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40" t="s">
        <v>27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4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4" ht="19.5" customHeight="1">
      <c r="A5" s="8">
        <v>44378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211</v>
      </c>
      <c r="G5" s="11">
        <v>656.22</v>
      </c>
      <c r="H5" s="9"/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44379</v>
      </c>
      <c r="B6" s="57"/>
      <c r="C6" s="57"/>
      <c r="D6" s="21">
        <v>213.8</v>
      </c>
      <c r="E6" s="29">
        <v>949</v>
      </c>
      <c r="F6" s="24">
        <v>210.99</v>
      </c>
      <c r="G6" s="11">
        <v>655.79899999999998</v>
      </c>
      <c r="H6" s="9"/>
      <c r="I6" s="23">
        <v>0</v>
      </c>
      <c r="J6" s="1">
        <v>0</v>
      </c>
      <c r="K6" s="1">
        <v>0</v>
      </c>
      <c r="L6" s="23">
        <v>0</v>
      </c>
      <c r="M6" s="23">
        <f t="shared" ref="M6:M35" si="0">L6+K6+J6+I6</f>
        <v>0</v>
      </c>
      <c r="N6" s="2"/>
    </row>
    <row r="7" spans="1:14" ht="19.5" customHeight="1">
      <c r="A7" s="8">
        <v>44380</v>
      </c>
      <c r="B7" s="57"/>
      <c r="C7" s="57"/>
      <c r="D7" s="21">
        <v>213.8</v>
      </c>
      <c r="E7" s="29">
        <v>949</v>
      </c>
      <c r="F7" s="24">
        <v>210.98</v>
      </c>
      <c r="G7" s="11">
        <v>655.09</v>
      </c>
      <c r="H7" s="9"/>
      <c r="I7" s="23">
        <v>0</v>
      </c>
      <c r="J7" s="1">
        <v>0</v>
      </c>
      <c r="K7" s="1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44381</v>
      </c>
      <c r="B8" s="57"/>
      <c r="C8" s="57"/>
      <c r="D8" s="21">
        <v>213.8</v>
      </c>
      <c r="E8" s="29">
        <v>949</v>
      </c>
      <c r="F8" s="24">
        <v>210.98</v>
      </c>
      <c r="G8" s="11">
        <v>655.09</v>
      </c>
      <c r="H8" s="9"/>
      <c r="I8" s="23">
        <v>0</v>
      </c>
      <c r="J8" s="1">
        <v>0</v>
      </c>
      <c r="K8" s="1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44382</v>
      </c>
      <c r="B9" s="57"/>
      <c r="C9" s="57"/>
      <c r="D9" s="21">
        <v>213.8</v>
      </c>
      <c r="E9" s="29">
        <v>949</v>
      </c>
      <c r="F9" s="24">
        <v>210.98</v>
      </c>
      <c r="G9" s="11">
        <v>655.09</v>
      </c>
      <c r="H9" s="9"/>
      <c r="I9" s="23">
        <v>0</v>
      </c>
      <c r="J9" s="1">
        <v>0</v>
      </c>
      <c r="K9" s="1">
        <v>0</v>
      </c>
      <c r="L9" s="23">
        <v>0</v>
      </c>
      <c r="M9" s="23">
        <f t="shared" si="0"/>
        <v>0</v>
      </c>
      <c r="N9" s="2"/>
    </row>
    <row r="10" spans="1:14" ht="19.5" customHeight="1">
      <c r="A10" s="8">
        <v>44383</v>
      </c>
      <c r="B10" s="57"/>
      <c r="C10" s="57"/>
      <c r="D10" s="21">
        <v>213.8</v>
      </c>
      <c r="E10" s="29">
        <v>949</v>
      </c>
      <c r="F10" s="24">
        <v>210.96</v>
      </c>
      <c r="G10" s="11">
        <v>653.32000000000005</v>
      </c>
      <c r="H10" s="9"/>
      <c r="I10" s="23">
        <v>0</v>
      </c>
      <c r="J10" s="1">
        <v>0</v>
      </c>
      <c r="K10" s="1">
        <v>0</v>
      </c>
      <c r="L10" s="23">
        <v>0</v>
      </c>
      <c r="M10" s="23">
        <f t="shared" si="0"/>
        <v>0</v>
      </c>
      <c r="N10" s="2"/>
    </row>
    <row r="11" spans="1:14" ht="19.5" customHeight="1">
      <c r="A11" s="8">
        <v>44384</v>
      </c>
      <c r="B11" s="57"/>
      <c r="C11" s="57"/>
      <c r="D11" s="21">
        <v>213.8</v>
      </c>
      <c r="E11" s="29">
        <v>949</v>
      </c>
      <c r="F11" s="24">
        <v>210.96</v>
      </c>
      <c r="G11" s="11">
        <v>653.32000000000005</v>
      </c>
      <c r="H11" s="9"/>
      <c r="I11" s="23">
        <v>0</v>
      </c>
      <c r="J11" s="1">
        <v>0</v>
      </c>
      <c r="K11" s="1">
        <v>0</v>
      </c>
      <c r="L11" s="23">
        <v>0</v>
      </c>
      <c r="M11" s="23">
        <f t="shared" si="0"/>
        <v>0</v>
      </c>
      <c r="N11" s="2"/>
    </row>
    <row r="12" spans="1:14" ht="19.5" customHeight="1">
      <c r="A12" s="8">
        <v>44385</v>
      </c>
      <c r="B12" s="57"/>
      <c r="C12" s="57"/>
      <c r="D12" s="21">
        <v>213.8</v>
      </c>
      <c r="E12" s="29">
        <v>949</v>
      </c>
      <c r="F12" s="24">
        <v>210.96</v>
      </c>
      <c r="G12" s="11">
        <v>653.32000000000005</v>
      </c>
      <c r="H12" s="9"/>
      <c r="I12" s="23">
        <v>0</v>
      </c>
      <c r="J12" s="1">
        <v>0</v>
      </c>
      <c r="K12" s="1">
        <v>0</v>
      </c>
      <c r="L12" s="23">
        <v>0</v>
      </c>
      <c r="M12" s="23">
        <f t="shared" si="0"/>
        <v>0</v>
      </c>
      <c r="N12" s="2"/>
    </row>
    <row r="13" spans="1:14" ht="19.5" customHeight="1">
      <c r="A13" s="8">
        <v>44386</v>
      </c>
      <c r="B13" s="57"/>
      <c r="C13" s="57"/>
      <c r="D13" s="21">
        <v>213.8</v>
      </c>
      <c r="E13" s="29">
        <v>949</v>
      </c>
      <c r="F13" s="24">
        <v>210.96</v>
      </c>
      <c r="G13" s="11">
        <v>653.32000000000005</v>
      </c>
      <c r="H13" s="9"/>
      <c r="I13" s="23">
        <v>0</v>
      </c>
      <c r="J13" s="1">
        <v>0</v>
      </c>
      <c r="K13" s="1">
        <v>0</v>
      </c>
      <c r="L13" s="23">
        <v>0</v>
      </c>
      <c r="M13" s="23">
        <f t="shared" si="0"/>
        <v>0</v>
      </c>
      <c r="N13" s="2"/>
    </row>
    <row r="14" spans="1:14" ht="19.5" customHeight="1">
      <c r="A14" s="8">
        <v>44387</v>
      </c>
      <c r="B14" s="57"/>
      <c r="C14" s="57"/>
      <c r="D14" s="21">
        <v>213.8</v>
      </c>
      <c r="E14" s="29">
        <v>949</v>
      </c>
      <c r="F14" s="24">
        <v>210.95</v>
      </c>
      <c r="G14" s="11">
        <v>652.62</v>
      </c>
      <c r="H14" s="9"/>
      <c r="I14" s="23">
        <v>0</v>
      </c>
      <c r="J14" s="1">
        <v>0</v>
      </c>
      <c r="K14" s="1">
        <v>0</v>
      </c>
      <c r="L14" s="23">
        <v>0</v>
      </c>
      <c r="M14" s="23">
        <f t="shared" si="0"/>
        <v>0</v>
      </c>
      <c r="N14" s="2"/>
    </row>
    <row r="15" spans="1:14" ht="19.5" customHeight="1">
      <c r="A15" s="8">
        <v>44388</v>
      </c>
      <c r="B15" s="57"/>
      <c r="C15" s="57"/>
      <c r="D15" s="21">
        <v>213.8</v>
      </c>
      <c r="E15" s="29">
        <v>949</v>
      </c>
      <c r="F15" s="24">
        <v>210.95</v>
      </c>
      <c r="G15" s="11">
        <v>652.62</v>
      </c>
      <c r="H15" s="9"/>
      <c r="I15" s="23">
        <v>0</v>
      </c>
      <c r="J15" s="1">
        <v>0</v>
      </c>
      <c r="K15" s="1">
        <v>0</v>
      </c>
      <c r="L15" s="23">
        <v>0</v>
      </c>
      <c r="M15" s="23">
        <f t="shared" si="0"/>
        <v>0</v>
      </c>
      <c r="N15" s="2"/>
    </row>
    <row r="16" spans="1:14" ht="19.5" customHeight="1">
      <c r="A16" s="8">
        <v>44389</v>
      </c>
      <c r="B16" s="57"/>
      <c r="C16" s="57"/>
      <c r="D16" s="21">
        <v>213.8</v>
      </c>
      <c r="E16" s="29">
        <v>949</v>
      </c>
      <c r="F16" s="24">
        <v>210.95</v>
      </c>
      <c r="G16" s="11">
        <v>652.62</v>
      </c>
      <c r="H16" s="9"/>
      <c r="I16" s="23">
        <v>0</v>
      </c>
      <c r="J16" s="1">
        <v>0</v>
      </c>
      <c r="K16" s="1">
        <v>0</v>
      </c>
      <c r="L16" s="23">
        <v>0</v>
      </c>
      <c r="M16" s="23">
        <f t="shared" si="0"/>
        <v>0</v>
      </c>
      <c r="N16" s="2"/>
    </row>
    <row r="17" spans="1:15" ht="19.5" customHeight="1">
      <c r="A17" s="8">
        <v>44390</v>
      </c>
      <c r="B17" s="57"/>
      <c r="C17" s="57"/>
      <c r="D17" s="21">
        <v>213.8</v>
      </c>
      <c r="E17" s="29">
        <v>949</v>
      </c>
      <c r="F17" s="24">
        <v>211.01</v>
      </c>
      <c r="G17" s="11">
        <v>657.56</v>
      </c>
      <c r="H17" s="9">
        <v>57</v>
      </c>
      <c r="I17" s="23">
        <v>0</v>
      </c>
      <c r="J17" s="1">
        <v>0</v>
      </c>
      <c r="K17" s="1">
        <v>0</v>
      </c>
      <c r="L17" s="23">
        <v>0</v>
      </c>
      <c r="M17" s="23">
        <f t="shared" si="0"/>
        <v>0</v>
      </c>
      <c r="N17" s="2"/>
    </row>
    <row r="18" spans="1:15" ht="19.5" customHeight="1">
      <c r="A18" s="8">
        <v>44391</v>
      </c>
      <c r="B18" s="57"/>
      <c r="C18" s="57"/>
      <c r="D18" s="21">
        <v>213.8</v>
      </c>
      <c r="E18" s="29">
        <v>949</v>
      </c>
      <c r="F18" s="24">
        <v>211.06</v>
      </c>
      <c r="G18" s="11">
        <v>662.86</v>
      </c>
      <c r="H18" s="9">
        <v>61</v>
      </c>
      <c r="I18" s="23">
        <v>0</v>
      </c>
      <c r="J18" s="1">
        <v>0</v>
      </c>
      <c r="K18" s="1">
        <v>0</v>
      </c>
      <c r="L18" s="23">
        <v>0</v>
      </c>
      <c r="M18" s="23">
        <f t="shared" si="0"/>
        <v>0</v>
      </c>
      <c r="N18" s="2"/>
    </row>
    <row r="19" spans="1:15" ht="19.5" customHeight="1">
      <c r="A19" s="8">
        <v>44392</v>
      </c>
      <c r="B19" s="57"/>
      <c r="C19" s="57"/>
      <c r="D19" s="21">
        <v>213.8</v>
      </c>
      <c r="E19" s="29">
        <v>949</v>
      </c>
      <c r="F19" s="24">
        <v>211.06</v>
      </c>
      <c r="G19" s="11">
        <v>662.86</v>
      </c>
      <c r="H19" s="9"/>
      <c r="I19" s="23">
        <v>0</v>
      </c>
      <c r="J19" s="1">
        <v>0</v>
      </c>
      <c r="K19" s="1">
        <v>0</v>
      </c>
      <c r="L19" s="23">
        <v>0</v>
      </c>
      <c r="M19" s="23">
        <f t="shared" si="0"/>
        <v>0</v>
      </c>
      <c r="N19" s="2"/>
    </row>
    <row r="20" spans="1:15" ht="19.5" customHeight="1">
      <c r="A20" s="8">
        <v>44393</v>
      </c>
      <c r="B20" s="57"/>
      <c r="C20" s="57"/>
      <c r="D20" s="21">
        <v>213.8</v>
      </c>
      <c r="E20" s="29">
        <v>949</v>
      </c>
      <c r="F20" s="24">
        <v>211.08</v>
      </c>
      <c r="G20" s="11">
        <v>664.62</v>
      </c>
      <c r="H20" s="9">
        <v>20</v>
      </c>
      <c r="I20" s="23">
        <v>0</v>
      </c>
      <c r="J20" s="1">
        <v>0</v>
      </c>
      <c r="K20" s="1">
        <v>0</v>
      </c>
      <c r="L20" s="23">
        <v>0</v>
      </c>
      <c r="M20" s="23">
        <f t="shared" si="0"/>
        <v>0</v>
      </c>
      <c r="N20" s="2"/>
    </row>
    <row r="21" spans="1:15" ht="19.5" customHeight="1">
      <c r="A21" s="8">
        <v>44394</v>
      </c>
      <c r="B21" s="57"/>
      <c r="C21" s="57"/>
      <c r="D21" s="21">
        <v>213.8</v>
      </c>
      <c r="E21" s="29">
        <v>949</v>
      </c>
      <c r="F21" s="24">
        <v>211.08</v>
      </c>
      <c r="G21" s="11">
        <v>664.62</v>
      </c>
      <c r="H21" s="9"/>
      <c r="I21" s="23">
        <v>0</v>
      </c>
      <c r="J21" s="1">
        <v>0</v>
      </c>
      <c r="K21" s="1">
        <v>0</v>
      </c>
      <c r="L21" s="23">
        <v>0</v>
      </c>
      <c r="M21" s="23">
        <f t="shared" si="0"/>
        <v>0</v>
      </c>
      <c r="N21" s="2"/>
    </row>
    <row r="22" spans="1:15" ht="19.5" customHeight="1">
      <c r="A22" s="8">
        <v>44395</v>
      </c>
      <c r="B22" s="57"/>
      <c r="C22" s="57"/>
      <c r="D22" s="21">
        <v>213.8</v>
      </c>
      <c r="E22" s="29">
        <v>949</v>
      </c>
      <c r="F22" s="24">
        <v>211.08</v>
      </c>
      <c r="G22" s="11">
        <v>664.62</v>
      </c>
      <c r="H22" s="9"/>
      <c r="I22" s="23">
        <v>0</v>
      </c>
      <c r="J22" s="1">
        <v>0</v>
      </c>
      <c r="K22" s="1">
        <v>0</v>
      </c>
      <c r="L22" s="23">
        <v>0</v>
      </c>
      <c r="M22" s="23">
        <f t="shared" si="0"/>
        <v>0</v>
      </c>
      <c r="N22" s="2"/>
    </row>
    <row r="23" spans="1:15" ht="19.5" customHeight="1">
      <c r="A23" s="8">
        <v>44396</v>
      </c>
      <c r="B23" s="57"/>
      <c r="C23" s="57"/>
      <c r="D23" s="21">
        <v>213.8</v>
      </c>
      <c r="E23" s="29">
        <v>949</v>
      </c>
      <c r="F23" s="24">
        <v>211.08</v>
      </c>
      <c r="G23" s="11">
        <v>664.62</v>
      </c>
      <c r="H23" s="9"/>
      <c r="I23" s="23">
        <v>0</v>
      </c>
      <c r="J23" s="1">
        <v>0</v>
      </c>
      <c r="K23" s="1">
        <v>0</v>
      </c>
      <c r="L23" s="23">
        <v>0</v>
      </c>
      <c r="M23" s="23">
        <f t="shared" si="0"/>
        <v>0</v>
      </c>
      <c r="N23" s="2"/>
    </row>
    <row r="24" spans="1:15" ht="19.5" customHeight="1">
      <c r="A24" s="8">
        <v>44397</v>
      </c>
      <c r="B24" s="57"/>
      <c r="C24" s="57"/>
      <c r="D24" s="21">
        <v>213.8</v>
      </c>
      <c r="E24" s="29">
        <v>949</v>
      </c>
      <c r="F24" s="24">
        <v>211.13</v>
      </c>
      <c r="G24" s="11">
        <v>669.92</v>
      </c>
      <c r="H24" s="9">
        <v>61</v>
      </c>
      <c r="I24" s="23">
        <v>0</v>
      </c>
      <c r="J24" s="1">
        <v>0</v>
      </c>
      <c r="K24" s="1">
        <v>0</v>
      </c>
      <c r="L24" s="23">
        <v>0</v>
      </c>
      <c r="M24" s="23">
        <f t="shared" si="0"/>
        <v>0</v>
      </c>
      <c r="N24" s="2"/>
    </row>
    <row r="25" spans="1:15" ht="19.5" customHeight="1">
      <c r="A25" s="8">
        <v>44398</v>
      </c>
      <c r="B25" s="57"/>
      <c r="C25" s="57"/>
      <c r="D25" s="21">
        <v>213.8</v>
      </c>
      <c r="E25" s="29">
        <v>949</v>
      </c>
      <c r="F25" s="24">
        <v>211.13</v>
      </c>
      <c r="G25" s="11">
        <v>669.92</v>
      </c>
      <c r="H25" s="9"/>
      <c r="I25" s="23">
        <v>0</v>
      </c>
      <c r="J25" s="1">
        <v>0</v>
      </c>
      <c r="K25" s="1">
        <v>0</v>
      </c>
      <c r="L25" s="23">
        <v>0</v>
      </c>
      <c r="M25" s="23">
        <f t="shared" si="0"/>
        <v>0</v>
      </c>
      <c r="N25" s="2"/>
    </row>
    <row r="26" spans="1:15" ht="19.5" customHeight="1">
      <c r="A26" s="8">
        <v>44399</v>
      </c>
      <c r="B26" s="57"/>
      <c r="C26" s="57"/>
      <c r="D26" s="21">
        <v>213.8</v>
      </c>
      <c r="E26" s="29">
        <v>949</v>
      </c>
      <c r="F26" s="24">
        <v>211.13</v>
      </c>
      <c r="G26" s="11">
        <v>669.92</v>
      </c>
      <c r="H26" s="9"/>
      <c r="I26" s="23">
        <v>0</v>
      </c>
      <c r="J26" s="1">
        <v>0</v>
      </c>
      <c r="K26" s="1">
        <v>0</v>
      </c>
      <c r="L26" s="23">
        <v>0</v>
      </c>
      <c r="M26" s="23">
        <f t="shared" si="0"/>
        <v>0</v>
      </c>
      <c r="N26" s="2"/>
      <c r="O26" s="17"/>
    </row>
    <row r="27" spans="1:15" ht="19.5" customHeight="1">
      <c r="A27" s="8">
        <v>44400</v>
      </c>
      <c r="B27" s="57"/>
      <c r="C27" s="57"/>
      <c r="D27" s="21">
        <v>213.8</v>
      </c>
      <c r="E27" s="29">
        <v>949</v>
      </c>
      <c r="F27" s="24">
        <v>211.13</v>
      </c>
      <c r="G27" s="11">
        <v>669.92</v>
      </c>
      <c r="H27" s="9"/>
      <c r="I27" s="23">
        <v>0</v>
      </c>
      <c r="J27" s="1">
        <v>0</v>
      </c>
      <c r="K27" s="1">
        <v>0</v>
      </c>
      <c r="L27" s="23">
        <v>0</v>
      </c>
      <c r="M27" s="23">
        <f t="shared" si="0"/>
        <v>0</v>
      </c>
      <c r="N27" s="2"/>
    </row>
    <row r="28" spans="1:15" ht="19.5" customHeight="1">
      <c r="A28" s="8">
        <v>44401</v>
      </c>
      <c r="B28" s="57"/>
      <c r="C28" s="57"/>
      <c r="D28" s="21">
        <v>213.8</v>
      </c>
      <c r="E28" s="29">
        <v>949</v>
      </c>
      <c r="F28" s="24">
        <v>211.13</v>
      </c>
      <c r="G28" s="11">
        <v>669.92</v>
      </c>
      <c r="H28" s="9"/>
      <c r="I28" s="23">
        <v>0</v>
      </c>
      <c r="J28" s="1">
        <v>0</v>
      </c>
      <c r="K28" s="1">
        <v>0</v>
      </c>
      <c r="L28" s="23">
        <v>0</v>
      </c>
      <c r="M28" s="23">
        <f t="shared" si="0"/>
        <v>0</v>
      </c>
      <c r="N28" s="2"/>
    </row>
    <row r="29" spans="1:15" ht="19.5" customHeight="1">
      <c r="A29" s="8">
        <v>44402</v>
      </c>
      <c r="B29" s="57"/>
      <c r="C29" s="57"/>
      <c r="D29" s="21">
        <v>213.8</v>
      </c>
      <c r="E29" s="29">
        <v>949</v>
      </c>
      <c r="F29" s="24">
        <v>211.13</v>
      </c>
      <c r="G29" s="11">
        <v>669.92</v>
      </c>
      <c r="H29" s="9"/>
      <c r="I29" s="23">
        <v>0</v>
      </c>
      <c r="J29" s="1">
        <v>0</v>
      </c>
      <c r="K29" s="1">
        <v>0</v>
      </c>
      <c r="L29" s="23">
        <v>0</v>
      </c>
      <c r="M29" s="23">
        <f t="shared" si="0"/>
        <v>0</v>
      </c>
      <c r="N29" s="2"/>
    </row>
    <row r="30" spans="1:15" ht="19.5" customHeight="1">
      <c r="A30" s="8">
        <v>44403</v>
      </c>
      <c r="B30" s="57"/>
      <c r="C30" s="57"/>
      <c r="D30" s="21">
        <v>213.8</v>
      </c>
      <c r="E30" s="29">
        <v>949</v>
      </c>
      <c r="F30" s="24">
        <v>211.13</v>
      </c>
      <c r="G30" s="11">
        <v>669.92</v>
      </c>
      <c r="H30" s="9"/>
      <c r="I30" s="23">
        <v>0</v>
      </c>
      <c r="J30" s="1">
        <v>0</v>
      </c>
      <c r="K30" s="1">
        <v>0</v>
      </c>
      <c r="L30" s="23">
        <v>0</v>
      </c>
      <c r="M30" s="23">
        <f t="shared" si="0"/>
        <v>0</v>
      </c>
      <c r="N30" s="2"/>
    </row>
    <row r="31" spans="1:15" ht="21" customHeight="1">
      <c r="A31" s="8">
        <v>44404</v>
      </c>
      <c r="B31" s="57"/>
      <c r="C31" s="57"/>
      <c r="D31" s="21">
        <v>213.8</v>
      </c>
      <c r="E31" s="29">
        <v>949</v>
      </c>
      <c r="F31" s="24">
        <v>211.11</v>
      </c>
      <c r="G31" s="11">
        <v>666.74</v>
      </c>
      <c r="H31" s="9"/>
      <c r="I31" s="23">
        <v>0</v>
      </c>
      <c r="J31" s="1">
        <v>0</v>
      </c>
      <c r="K31" s="1">
        <v>0</v>
      </c>
      <c r="L31" s="23">
        <v>0</v>
      </c>
      <c r="M31" s="23">
        <f t="shared" si="0"/>
        <v>0</v>
      </c>
      <c r="N31" s="2"/>
    </row>
    <row r="32" spans="1:15" ht="21" customHeight="1">
      <c r="A32" s="8">
        <v>44405</v>
      </c>
      <c r="B32" s="57"/>
      <c r="C32" s="57"/>
      <c r="D32" s="21">
        <v>213.8</v>
      </c>
      <c r="E32" s="29">
        <v>949</v>
      </c>
      <c r="F32" s="24">
        <v>211.11</v>
      </c>
      <c r="G32" s="11">
        <v>666.74</v>
      </c>
      <c r="H32" s="9"/>
      <c r="I32" s="23">
        <v>0</v>
      </c>
      <c r="J32" s="1">
        <v>0</v>
      </c>
      <c r="K32" s="1">
        <v>0</v>
      </c>
      <c r="L32" s="23">
        <v>0</v>
      </c>
      <c r="M32" s="23">
        <f t="shared" si="0"/>
        <v>0</v>
      </c>
      <c r="N32" s="2"/>
    </row>
    <row r="33" spans="1:15" ht="21" customHeight="1">
      <c r="A33" s="8">
        <v>44406</v>
      </c>
      <c r="B33" s="57"/>
      <c r="C33" s="57"/>
      <c r="D33" s="21">
        <v>213.8</v>
      </c>
      <c r="E33" s="29">
        <v>949</v>
      </c>
      <c r="F33" s="24">
        <v>211.11</v>
      </c>
      <c r="G33" s="11">
        <v>666.74</v>
      </c>
      <c r="H33" s="9"/>
      <c r="I33" s="23">
        <v>0</v>
      </c>
      <c r="J33" s="1">
        <v>0</v>
      </c>
      <c r="K33" s="1">
        <v>0</v>
      </c>
      <c r="L33" s="23">
        <v>0</v>
      </c>
      <c r="M33" s="23">
        <f t="shared" si="0"/>
        <v>0</v>
      </c>
      <c r="N33" s="2"/>
    </row>
    <row r="34" spans="1:15" ht="21" customHeight="1">
      <c r="A34" s="8">
        <v>44407</v>
      </c>
      <c r="B34" s="57"/>
      <c r="C34" s="57"/>
      <c r="D34" s="21">
        <v>213.8</v>
      </c>
      <c r="E34" s="29">
        <v>949</v>
      </c>
      <c r="F34" s="24">
        <v>211.11</v>
      </c>
      <c r="G34" s="11">
        <v>666.74</v>
      </c>
      <c r="H34" s="9"/>
      <c r="I34" s="23">
        <v>0</v>
      </c>
      <c r="J34" s="1">
        <v>0</v>
      </c>
      <c r="K34" s="1">
        <v>0</v>
      </c>
      <c r="L34" s="23">
        <v>0</v>
      </c>
      <c r="M34" s="23">
        <f t="shared" si="0"/>
        <v>0</v>
      </c>
      <c r="N34" s="2"/>
    </row>
    <row r="35" spans="1:15" ht="21" customHeight="1">
      <c r="A35" s="8">
        <v>44408</v>
      </c>
      <c r="B35" s="58"/>
      <c r="C35" s="58"/>
      <c r="D35" s="22">
        <v>213.8</v>
      </c>
      <c r="E35" s="29">
        <v>949</v>
      </c>
      <c r="F35" s="24">
        <v>211.11</v>
      </c>
      <c r="G35" s="11">
        <v>666.74</v>
      </c>
      <c r="H35" s="9"/>
      <c r="I35" s="23">
        <v>0</v>
      </c>
      <c r="J35" s="1">
        <v>0</v>
      </c>
      <c r="K35" s="1">
        <v>0</v>
      </c>
      <c r="L35" s="23">
        <v>0</v>
      </c>
      <c r="M35" s="23">
        <f t="shared" si="0"/>
        <v>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63">
        <f t="shared" ref="H36:M36" si="1">SUM(H5:H35)</f>
        <v>199</v>
      </c>
      <c r="I36" s="63">
        <f t="shared" si="1"/>
        <v>0</v>
      </c>
      <c r="J36" s="63">
        <f t="shared" si="1"/>
        <v>0</v>
      </c>
      <c r="K36" s="63">
        <f t="shared" si="1"/>
        <v>0</v>
      </c>
      <c r="L36" s="63">
        <f t="shared" si="1"/>
        <v>0</v>
      </c>
      <c r="M36" s="63">
        <f t="shared" si="1"/>
        <v>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27"/>
      <c r="M37" s="27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22" zoomScale="60" workbookViewId="0">
      <selection activeCell="H36" sqref="H36:M36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40" t="s">
        <v>28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4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4" ht="19.5" customHeight="1">
      <c r="A5" s="8">
        <v>44409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211.11</v>
      </c>
      <c r="G5" s="11">
        <v>666.74</v>
      </c>
      <c r="H5" s="9"/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44410</v>
      </c>
      <c r="B6" s="57"/>
      <c r="C6" s="57"/>
      <c r="D6" s="21">
        <v>213.8</v>
      </c>
      <c r="E6" s="29">
        <v>949</v>
      </c>
      <c r="F6" s="24">
        <v>211.11</v>
      </c>
      <c r="G6" s="11">
        <v>666.74</v>
      </c>
      <c r="H6" s="9"/>
      <c r="I6" s="23">
        <v>0</v>
      </c>
      <c r="J6" s="1">
        <v>0</v>
      </c>
      <c r="K6" s="1">
        <v>0</v>
      </c>
      <c r="L6" s="23">
        <v>0</v>
      </c>
      <c r="M6" s="23">
        <f t="shared" ref="M6:M35" si="0">L6+K6+J6+I6</f>
        <v>0</v>
      </c>
      <c r="N6" s="2"/>
    </row>
    <row r="7" spans="1:14" ht="19.5" customHeight="1">
      <c r="A7" s="8">
        <v>44411</v>
      </c>
      <c r="B7" s="57"/>
      <c r="C7" s="57"/>
      <c r="D7" s="21">
        <v>213.8</v>
      </c>
      <c r="E7" s="29">
        <v>949</v>
      </c>
      <c r="F7" s="24">
        <v>211.11</v>
      </c>
      <c r="G7" s="11">
        <v>666.74</v>
      </c>
      <c r="H7" s="9"/>
      <c r="I7" s="23">
        <v>0</v>
      </c>
      <c r="J7" s="1">
        <v>0</v>
      </c>
      <c r="K7" s="1">
        <v>0</v>
      </c>
      <c r="L7" s="23">
        <v>0</v>
      </c>
      <c r="M7" s="23">
        <f t="shared" si="0"/>
        <v>0</v>
      </c>
      <c r="N7" s="2"/>
    </row>
    <row r="8" spans="1:14" ht="19.5" customHeight="1">
      <c r="A8" s="8">
        <v>44412</v>
      </c>
      <c r="B8" s="57"/>
      <c r="C8" s="57"/>
      <c r="D8" s="21">
        <v>213.8</v>
      </c>
      <c r="E8" s="29">
        <v>949</v>
      </c>
      <c r="F8" s="24">
        <v>211.11</v>
      </c>
      <c r="G8" s="11">
        <v>666.74</v>
      </c>
      <c r="H8" s="9"/>
      <c r="I8" s="23">
        <v>0</v>
      </c>
      <c r="J8" s="1">
        <v>0</v>
      </c>
      <c r="K8" s="1">
        <v>0</v>
      </c>
      <c r="L8" s="23">
        <v>0</v>
      </c>
      <c r="M8" s="23">
        <f t="shared" si="0"/>
        <v>0</v>
      </c>
      <c r="N8" s="2"/>
    </row>
    <row r="9" spans="1:14" ht="19.5" customHeight="1">
      <c r="A9" s="8">
        <v>44413</v>
      </c>
      <c r="B9" s="57"/>
      <c r="C9" s="57"/>
      <c r="D9" s="21">
        <v>213.8</v>
      </c>
      <c r="E9" s="29">
        <v>949</v>
      </c>
      <c r="F9" s="24">
        <v>211.05</v>
      </c>
      <c r="G9" s="11">
        <v>661.8</v>
      </c>
      <c r="H9" s="9"/>
      <c r="I9" s="23">
        <v>0</v>
      </c>
      <c r="J9" s="1">
        <v>30</v>
      </c>
      <c r="K9" s="1">
        <v>25</v>
      </c>
      <c r="L9" s="23">
        <v>0</v>
      </c>
      <c r="M9" s="23">
        <f t="shared" si="0"/>
        <v>55</v>
      </c>
      <c r="N9" s="2"/>
    </row>
    <row r="10" spans="1:14" ht="19.5" customHeight="1">
      <c r="A10" s="8">
        <v>44414</v>
      </c>
      <c r="B10" s="57"/>
      <c r="C10" s="57"/>
      <c r="D10" s="21">
        <v>213.8</v>
      </c>
      <c r="E10" s="29">
        <v>949</v>
      </c>
      <c r="F10" s="24">
        <v>210.98</v>
      </c>
      <c r="G10" s="11">
        <v>655.09</v>
      </c>
      <c r="H10" s="9"/>
      <c r="I10" s="23">
        <v>0</v>
      </c>
      <c r="J10" s="1">
        <v>40</v>
      </c>
      <c r="K10" s="1">
        <v>35</v>
      </c>
      <c r="L10" s="23">
        <v>0</v>
      </c>
      <c r="M10" s="23">
        <f t="shared" si="0"/>
        <v>75</v>
      </c>
      <c r="N10" s="2"/>
    </row>
    <row r="11" spans="1:14" ht="19.5" customHeight="1">
      <c r="A11" s="8">
        <v>44415</v>
      </c>
      <c r="B11" s="57"/>
      <c r="C11" s="57"/>
      <c r="D11" s="21">
        <v>213.8</v>
      </c>
      <c r="E11" s="29">
        <v>949</v>
      </c>
      <c r="F11" s="24">
        <v>210.86</v>
      </c>
      <c r="G11" s="11">
        <v>643.42999999999995</v>
      </c>
      <c r="H11" s="9"/>
      <c r="I11" s="23">
        <v>0</v>
      </c>
      <c r="J11" s="1">
        <v>75</v>
      </c>
      <c r="K11" s="1">
        <v>60</v>
      </c>
      <c r="L11" s="23">
        <v>0</v>
      </c>
      <c r="M11" s="23">
        <f t="shared" si="0"/>
        <v>135</v>
      </c>
      <c r="N11" s="2"/>
    </row>
    <row r="12" spans="1:14" ht="19.5" customHeight="1">
      <c r="A12" s="8">
        <v>44416</v>
      </c>
      <c r="B12" s="57"/>
      <c r="C12" s="57"/>
      <c r="D12" s="21">
        <v>213.8</v>
      </c>
      <c r="E12" s="29">
        <v>949</v>
      </c>
      <c r="F12" s="24">
        <v>210.75</v>
      </c>
      <c r="G12" s="11">
        <v>632.49</v>
      </c>
      <c r="H12" s="9"/>
      <c r="I12" s="23">
        <v>0</v>
      </c>
      <c r="J12" s="1">
        <v>65</v>
      </c>
      <c r="K12" s="1">
        <v>60</v>
      </c>
      <c r="L12" s="23">
        <v>0</v>
      </c>
      <c r="M12" s="23">
        <f t="shared" si="0"/>
        <v>125</v>
      </c>
      <c r="N12" s="2"/>
    </row>
    <row r="13" spans="1:14" ht="19.5" customHeight="1">
      <c r="A13" s="8">
        <v>44417</v>
      </c>
      <c r="B13" s="57"/>
      <c r="C13" s="57"/>
      <c r="D13" s="21">
        <v>213.8</v>
      </c>
      <c r="E13" s="29">
        <v>949</v>
      </c>
      <c r="F13" s="25">
        <v>210.75</v>
      </c>
      <c r="G13" s="24">
        <v>632.49</v>
      </c>
      <c r="H13" s="9"/>
      <c r="I13" s="23">
        <v>0</v>
      </c>
      <c r="J13" s="1">
        <v>65</v>
      </c>
      <c r="K13" s="1">
        <v>60</v>
      </c>
      <c r="L13" s="23">
        <v>0</v>
      </c>
      <c r="M13" s="23">
        <f t="shared" si="0"/>
        <v>125</v>
      </c>
      <c r="N13" s="2"/>
    </row>
    <row r="14" spans="1:14" ht="19.5" customHeight="1">
      <c r="A14" s="8">
        <v>44418</v>
      </c>
      <c r="B14" s="57"/>
      <c r="C14" s="57"/>
      <c r="D14" s="21">
        <v>213.8</v>
      </c>
      <c r="E14" s="29">
        <v>949</v>
      </c>
      <c r="F14" s="24">
        <v>210.5</v>
      </c>
      <c r="G14" s="11">
        <v>609</v>
      </c>
      <c r="H14" s="9"/>
      <c r="I14" s="23">
        <v>0</v>
      </c>
      <c r="J14" s="1">
        <v>70</v>
      </c>
      <c r="K14" s="1">
        <v>65</v>
      </c>
      <c r="L14" s="23">
        <v>0</v>
      </c>
      <c r="M14" s="23">
        <f t="shared" si="0"/>
        <v>135</v>
      </c>
      <c r="N14" s="2"/>
    </row>
    <row r="15" spans="1:14" ht="19.5" customHeight="1">
      <c r="A15" s="8">
        <v>44419</v>
      </c>
      <c r="B15" s="57"/>
      <c r="C15" s="57"/>
      <c r="D15" s="21">
        <v>213.8</v>
      </c>
      <c r="E15" s="29">
        <v>949</v>
      </c>
      <c r="F15" s="24">
        <v>210.37</v>
      </c>
      <c r="G15" s="11">
        <v>598.32000000000005</v>
      </c>
      <c r="H15" s="9"/>
      <c r="I15" s="23">
        <v>0</v>
      </c>
      <c r="J15" s="1">
        <v>70</v>
      </c>
      <c r="K15" s="1">
        <v>60</v>
      </c>
      <c r="L15" s="23">
        <v>0</v>
      </c>
      <c r="M15" s="23">
        <f t="shared" si="0"/>
        <v>130</v>
      </c>
      <c r="N15" s="2"/>
    </row>
    <row r="16" spans="1:14" ht="19.5" customHeight="1">
      <c r="A16" s="8">
        <v>44420</v>
      </c>
      <c r="B16" s="57"/>
      <c r="C16" s="57"/>
      <c r="D16" s="21">
        <v>213.8</v>
      </c>
      <c r="E16" s="29">
        <v>949</v>
      </c>
      <c r="F16" s="24">
        <v>210.24</v>
      </c>
      <c r="G16" s="11">
        <v>587.64</v>
      </c>
      <c r="H16" s="9"/>
      <c r="I16" s="23">
        <v>0</v>
      </c>
      <c r="J16" s="1">
        <v>70</v>
      </c>
      <c r="K16" s="1">
        <v>60</v>
      </c>
      <c r="L16" s="23">
        <v>0</v>
      </c>
      <c r="M16" s="23">
        <f t="shared" si="0"/>
        <v>130</v>
      </c>
      <c r="N16" s="2"/>
    </row>
    <row r="17" spans="1:15" ht="19.5" customHeight="1">
      <c r="A17" s="8">
        <v>44421</v>
      </c>
      <c r="B17" s="57"/>
      <c r="C17" s="57"/>
      <c r="D17" s="21">
        <v>213.8</v>
      </c>
      <c r="E17" s="29">
        <v>949</v>
      </c>
      <c r="F17" s="24">
        <v>210.12</v>
      </c>
      <c r="G17" s="11">
        <v>576.69000000000005</v>
      </c>
      <c r="H17" s="9">
        <v>4</v>
      </c>
      <c r="I17" s="23">
        <v>0</v>
      </c>
      <c r="J17" s="1">
        <v>70</v>
      </c>
      <c r="K17" s="1">
        <v>60</v>
      </c>
      <c r="L17" s="23">
        <v>0</v>
      </c>
      <c r="M17" s="23">
        <f t="shared" si="0"/>
        <v>130</v>
      </c>
      <c r="N17" s="2"/>
    </row>
    <row r="18" spans="1:15" ht="19.5" customHeight="1">
      <c r="A18" s="8">
        <v>44422</v>
      </c>
      <c r="B18" s="57"/>
      <c r="C18" s="57"/>
      <c r="D18" s="21">
        <v>213.8</v>
      </c>
      <c r="E18" s="29">
        <v>949</v>
      </c>
      <c r="F18" s="24">
        <v>209.98</v>
      </c>
      <c r="G18" s="11">
        <v>564.33000000000004</v>
      </c>
      <c r="H18" s="9"/>
      <c r="I18" s="23">
        <v>0</v>
      </c>
      <c r="J18" s="1">
        <v>75</v>
      </c>
      <c r="K18" s="1">
        <v>65</v>
      </c>
      <c r="L18" s="23">
        <v>0</v>
      </c>
      <c r="M18" s="23">
        <f t="shared" si="0"/>
        <v>140</v>
      </c>
      <c r="N18" s="2"/>
    </row>
    <row r="19" spans="1:15" ht="19.5" customHeight="1">
      <c r="A19" s="8">
        <v>44423</v>
      </c>
      <c r="B19" s="57"/>
      <c r="C19" s="57"/>
      <c r="D19" s="21">
        <v>213.8</v>
      </c>
      <c r="E19" s="29">
        <v>949</v>
      </c>
      <c r="F19" s="24">
        <v>210</v>
      </c>
      <c r="G19" s="11">
        <v>566.09</v>
      </c>
      <c r="H19" s="9">
        <v>130</v>
      </c>
      <c r="I19" s="23">
        <v>0</v>
      </c>
      <c r="J19" s="1">
        <v>45</v>
      </c>
      <c r="K19" s="1">
        <v>65</v>
      </c>
      <c r="L19" s="23">
        <v>0</v>
      </c>
      <c r="M19" s="23">
        <f t="shared" si="0"/>
        <v>110</v>
      </c>
      <c r="N19" s="2"/>
    </row>
    <row r="20" spans="1:15" ht="19.5" customHeight="1">
      <c r="A20" s="8">
        <v>44424</v>
      </c>
      <c r="B20" s="57"/>
      <c r="C20" s="57"/>
      <c r="D20" s="21">
        <v>213.8</v>
      </c>
      <c r="E20" s="29">
        <v>949</v>
      </c>
      <c r="F20" s="24">
        <v>209.97</v>
      </c>
      <c r="G20" s="11">
        <v>563.06200000000001</v>
      </c>
      <c r="H20" s="9">
        <v>67</v>
      </c>
      <c r="I20" s="23">
        <v>0</v>
      </c>
      <c r="J20" s="1">
        <v>30</v>
      </c>
      <c r="K20" s="1">
        <v>65</v>
      </c>
      <c r="L20" s="23">
        <v>0</v>
      </c>
      <c r="M20" s="23">
        <f t="shared" si="0"/>
        <v>95</v>
      </c>
      <c r="N20" s="2"/>
    </row>
    <row r="21" spans="1:15" ht="19.5" customHeight="1">
      <c r="A21" s="8">
        <v>44425</v>
      </c>
      <c r="B21" s="57"/>
      <c r="C21" s="57"/>
      <c r="D21" s="21">
        <v>213.8</v>
      </c>
      <c r="E21" s="29">
        <v>949</v>
      </c>
      <c r="F21" s="24">
        <v>209.89</v>
      </c>
      <c r="G21" s="11">
        <v>556.55999999999995</v>
      </c>
      <c r="H21" s="9">
        <v>14</v>
      </c>
      <c r="I21" s="23">
        <v>0</v>
      </c>
      <c r="J21" s="1">
        <v>30</v>
      </c>
      <c r="K21" s="1">
        <v>65</v>
      </c>
      <c r="L21" s="23">
        <v>0</v>
      </c>
      <c r="M21" s="23">
        <f t="shared" si="0"/>
        <v>95</v>
      </c>
      <c r="N21" s="2"/>
    </row>
    <row r="22" spans="1:15" ht="19.5" customHeight="1">
      <c r="A22" s="8">
        <v>44426</v>
      </c>
      <c r="B22" s="57"/>
      <c r="C22" s="57"/>
      <c r="D22" s="21">
        <v>213.8</v>
      </c>
      <c r="E22" s="29">
        <v>949</v>
      </c>
      <c r="F22" s="24">
        <v>209.84</v>
      </c>
      <c r="G22" s="11">
        <v>552.32000000000005</v>
      </c>
      <c r="H22" s="9">
        <v>46</v>
      </c>
      <c r="I22" s="23">
        <v>0</v>
      </c>
      <c r="J22" s="1">
        <v>30</v>
      </c>
      <c r="K22" s="1">
        <v>65</v>
      </c>
      <c r="L22" s="23">
        <v>0</v>
      </c>
      <c r="M22" s="23">
        <f t="shared" si="0"/>
        <v>95</v>
      </c>
      <c r="N22" s="2"/>
    </row>
    <row r="23" spans="1:15" ht="19.5" customHeight="1">
      <c r="A23" s="8">
        <v>44427</v>
      </c>
      <c r="B23" s="57"/>
      <c r="C23" s="57"/>
      <c r="D23" s="21">
        <v>213.8</v>
      </c>
      <c r="E23" s="29">
        <v>949</v>
      </c>
      <c r="F23" s="24">
        <v>209.75</v>
      </c>
      <c r="G23" s="11">
        <v>554.54999999999995</v>
      </c>
      <c r="H23" s="9">
        <v>5</v>
      </c>
      <c r="I23" s="23">
        <v>0</v>
      </c>
      <c r="J23" s="1">
        <v>30</v>
      </c>
      <c r="K23" s="1">
        <v>65</v>
      </c>
      <c r="L23" s="23">
        <v>0</v>
      </c>
      <c r="M23" s="23">
        <f t="shared" si="0"/>
        <v>95</v>
      </c>
      <c r="N23" s="2"/>
    </row>
    <row r="24" spans="1:15" ht="19.5" customHeight="1">
      <c r="A24" s="8">
        <v>44428</v>
      </c>
      <c r="B24" s="57"/>
      <c r="C24" s="57"/>
      <c r="D24" s="21">
        <v>213.8</v>
      </c>
      <c r="E24" s="29">
        <v>949</v>
      </c>
      <c r="F24" s="24">
        <v>209.67</v>
      </c>
      <c r="G24" s="11">
        <v>537</v>
      </c>
      <c r="H24" s="9">
        <v>13</v>
      </c>
      <c r="I24" s="23">
        <v>0</v>
      </c>
      <c r="J24" s="1">
        <v>30</v>
      </c>
      <c r="K24" s="1">
        <v>65</v>
      </c>
      <c r="L24" s="23">
        <v>0</v>
      </c>
      <c r="M24" s="23">
        <f t="shared" si="0"/>
        <v>95</v>
      </c>
      <c r="N24" s="2"/>
    </row>
    <row r="25" spans="1:15" ht="19.5" customHeight="1">
      <c r="A25" s="8">
        <v>44429</v>
      </c>
      <c r="B25" s="57"/>
      <c r="C25" s="57"/>
      <c r="D25" s="21">
        <v>213.8</v>
      </c>
      <c r="E25" s="29">
        <v>949</v>
      </c>
      <c r="F25" s="24">
        <v>209.57</v>
      </c>
      <c r="G25" s="11">
        <v>529.01</v>
      </c>
      <c r="H25" s="9">
        <v>2</v>
      </c>
      <c r="I25" s="23">
        <v>0</v>
      </c>
      <c r="J25" s="1">
        <v>30</v>
      </c>
      <c r="K25" s="1">
        <v>65</v>
      </c>
      <c r="L25" s="23">
        <v>0</v>
      </c>
      <c r="M25" s="23">
        <f t="shared" si="0"/>
        <v>95</v>
      </c>
      <c r="N25" s="2"/>
    </row>
    <row r="26" spans="1:15" ht="19.5" customHeight="1">
      <c r="A26" s="8">
        <v>44430</v>
      </c>
      <c r="B26" s="57"/>
      <c r="C26" s="57"/>
      <c r="D26" s="21">
        <v>213.8</v>
      </c>
      <c r="E26" s="29">
        <v>949</v>
      </c>
      <c r="F26" s="24">
        <v>209.49</v>
      </c>
      <c r="G26" s="11">
        <v>521.95000000000005</v>
      </c>
      <c r="H26" s="9">
        <v>18</v>
      </c>
      <c r="I26" s="23">
        <v>0</v>
      </c>
      <c r="J26" s="1">
        <v>35</v>
      </c>
      <c r="K26" s="1">
        <v>65</v>
      </c>
      <c r="L26" s="23">
        <v>0</v>
      </c>
      <c r="M26" s="23">
        <f t="shared" si="0"/>
        <v>100</v>
      </c>
      <c r="N26" s="2"/>
      <c r="O26" s="17"/>
    </row>
    <row r="27" spans="1:15" ht="19.5" customHeight="1">
      <c r="A27" s="8">
        <v>44431</v>
      </c>
      <c r="B27" s="57"/>
      <c r="C27" s="57"/>
      <c r="D27" s="21">
        <v>213.8</v>
      </c>
      <c r="E27" s="29">
        <v>949</v>
      </c>
      <c r="F27" s="24">
        <v>209.45</v>
      </c>
      <c r="G27" s="11">
        <v>518.41999999999996</v>
      </c>
      <c r="H27" s="9">
        <v>59</v>
      </c>
      <c r="I27" s="23">
        <v>0</v>
      </c>
      <c r="J27" s="1">
        <v>35</v>
      </c>
      <c r="K27" s="1">
        <v>65</v>
      </c>
      <c r="L27" s="23">
        <v>0</v>
      </c>
      <c r="M27" s="23">
        <f t="shared" si="0"/>
        <v>100</v>
      </c>
      <c r="N27" s="2"/>
    </row>
    <row r="28" spans="1:15" ht="19.5" customHeight="1">
      <c r="A28" s="8">
        <v>44432</v>
      </c>
      <c r="B28" s="57"/>
      <c r="C28" s="57"/>
      <c r="D28" s="21">
        <v>213.8</v>
      </c>
      <c r="E28" s="29">
        <v>949</v>
      </c>
      <c r="F28" s="24">
        <v>209.43</v>
      </c>
      <c r="G28" s="11">
        <v>517.01099999999997</v>
      </c>
      <c r="H28" s="9">
        <v>68</v>
      </c>
      <c r="I28" s="23">
        <v>0</v>
      </c>
      <c r="J28" s="1">
        <v>20</v>
      </c>
      <c r="K28" s="1">
        <v>65</v>
      </c>
      <c r="L28" s="23">
        <v>0</v>
      </c>
      <c r="M28" s="23">
        <f t="shared" si="0"/>
        <v>85</v>
      </c>
      <c r="N28" s="2"/>
    </row>
    <row r="29" spans="1:15" ht="19.5" customHeight="1">
      <c r="A29" s="8">
        <v>44433</v>
      </c>
      <c r="B29" s="57"/>
      <c r="C29" s="57"/>
      <c r="D29" s="21">
        <v>213.8</v>
      </c>
      <c r="E29" s="29">
        <v>949</v>
      </c>
      <c r="F29" s="24">
        <v>209.37</v>
      </c>
      <c r="G29" s="11">
        <v>511.714</v>
      </c>
      <c r="H29" s="9">
        <v>24</v>
      </c>
      <c r="I29" s="23">
        <v>0</v>
      </c>
      <c r="J29" s="1">
        <v>20</v>
      </c>
      <c r="K29" s="1">
        <v>65</v>
      </c>
      <c r="L29" s="23">
        <v>0</v>
      </c>
      <c r="M29" s="23">
        <f t="shared" si="0"/>
        <v>85</v>
      </c>
      <c r="N29" s="2"/>
    </row>
    <row r="30" spans="1:15" ht="19.5" customHeight="1">
      <c r="A30" s="8">
        <v>44434</v>
      </c>
      <c r="B30" s="57"/>
      <c r="C30" s="57"/>
      <c r="D30" s="21">
        <v>213.8</v>
      </c>
      <c r="E30" s="29">
        <v>949</v>
      </c>
      <c r="F30" s="24">
        <v>209.3</v>
      </c>
      <c r="G30" s="11">
        <v>506</v>
      </c>
      <c r="H30" s="9">
        <v>16</v>
      </c>
      <c r="I30" s="23">
        <v>0</v>
      </c>
      <c r="J30" s="1">
        <v>20</v>
      </c>
      <c r="K30" s="1">
        <v>65</v>
      </c>
      <c r="L30" s="23">
        <v>0</v>
      </c>
      <c r="M30" s="23">
        <f t="shared" si="0"/>
        <v>85</v>
      </c>
      <c r="N30" s="2"/>
    </row>
    <row r="31" spans="1:15" ht="21" customHeight="1">
      <c r="A31" s="8">
        <v>44435</v>
      </c>
      <c r="B31" s="57"/>
      <c r="C31" s="57"/>
      <c r="D31" s="21">
        <v>213.8</v>
      </c>
      <c r="E31" s="29">
        <v>949</v>
      </c>
      <c r="F31" s="24">
        <v>209.22</v>
      </c>
      <c r="G31" s="11">
        <v>498.64</v>
      </c>
      <c r="H31" s="9">
        <v>4</v>
      </c>
      <c r="I31" s="23">
        <v>0</v>
      </c>
      <c r="J31" s="1">
        <v>20</v>
      </c>
      <c r="K31" s="1">
        <v>65</v>
      </c>
      <c r="L31" s="23">
        <v>0</v>
      </c>
      <c r="M31" s="23">
        <f t="shared" si="0"/>
        <v>85</v>
      </c>
      <c r="N31" s="2"/>
    </row>
    <row r="32" spans="1:15" ht="21" customHeight="1">
      <c r="A32" s="8">
        <v>44436</v>
      </c>
      <c r="B32" s="57"/>
      <c r="C32" s="57"/>
      <c r="D32" s="21">
        <v>213.8</v>
      </c>
      <c r="E32" s="29">
        <v>949</v>
      </c>
      <c r="F32" s="24">
        <v>209.22</v>
      </c>
      <c r="G32" s="11">
        <v>498.64</v>
      </c>
      <c r="H32" s="9">
        <v>85</v>
      </c>
      <c r="I32" s="23">
        <v>0</v>
      </c>
      <c r="J32" s="1">
        <v>20</v>
      </c>
      <c r="K32" s="1">
        <v>65</v>
      </c>
      <c r="L32" s="23">
        <v>0</v>
      </c>
      <c r="M32" s="23">
        <f t="shared" si="0"/>
        <v>85</v>
      </c>
      <c r="N32" s="2"/>
    </row>
    <row r="33" spans="1:15" ht="21" customHeight="1">
      <c r="A33" s="8">
        <v>44437</v>
      </c>
      <c r="B33" s="57"/>
      <c r="C33" s="57"/>
      <c r="D33" s="21">
        <v>213.8</v>
      </c>
      <c r="E33" s="29">
        <v>949</v>
      </c>
      <c r="F33" s="24">
        <v>209.17</v>
      </c>
      <c r="G33" s="11">
        <v>492.64</v>
      </c>
      <c r="H33" s="9">
        <v>16</v>
      </c>
      <c r="I33" s="23">
        <v>0</v>
      </c>
      <c r="J33" s="1">
        <v>20</v>
      </c>
      <c r="K33" s="1">
        <v>65</v>
      </c>
      <c r="L33" s="23">
        <v>0</v>
      </c>
      <c r="M33" s="23">
        <f t="shared" si="0"/>
        <v>85</v>
      </c>
      <c r="N33" s="2"/>
    </row>
    <row r="34" spans="1:15" ht="21" customHeight="1">
      <c r="A34" s="8">
        <v>44438</v>
      </c>
      <c r="B34" s="57"/>
      <c r="C34" s="57"/>
      <c r="D34" s="21">
        <v>213.8</v>
      </c>
      <c r="E34" s="29">
        <v>949</v>
      </c>
      <c r="F34" s="24">
        <v>209.13</v>
      </c>
      <c r="G34" s="11">
        <v>487.34</v>
      </c>
      <c r="H34" s="9">
        <v>24</v>
      </c>
      <c r="I34" s="23">
        <v>0</v>
      </c>
      <c r="J34" s="1">
        <v>20</v>
      </c>
      <c r="K34" s="1">
        <v>65</v>
      </c>
      <c r="L34" s="23">
        <v>0</v>
      </c>
      <c r="M34" s="23">
        <f t="shared" si="0"/>
        <v>85</v>
      </c>
      <c r="N34" s="2"/>
    </row>
    <row r="35" spans="1:15" ht="21" customHeight="1">
      <c r="A35" s="8">
        <v>44439</v>
      </c>
      <c r="B35" s="58"/>
      <c r="C35" s="58"/>
      <c r="D35" s="22">
        <v>213.8</v>
      </c>
      <c r="E35" s="29">
        <v>949</v>
      </c>
      <c r="F35" s="24">
        <v>209.13</v>
      </c>
      <c r="G35" s="11">
        <v>487.34</v>
      </c>
      <c r="H35" s="9">
        <v>85</v>
      </c>
      <c r="I35" s="23">
        <v>0</v>
      </c>
      <c r="J35" s="1">
        <v>20</v>
      </c>
      <c r="K35" s="1">
        <v>65</v>
      </c>
      <c r="L35" s="23">
        <v>0</v>
      </c>
      <c r="M35" s="23">
        <f t="shared" si="0"/>
        <v>85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63">
        <f t="shared" ref="H36:M36" si="1">SUM(H5:H35)</f>
        <v>680</v>
      </c>
      <c r="I36" s="63">
        <f t="shared" si="1"/>
        <v>0</v>
      </c>
      <c r="J36" s="63">
        <f t="shared" si="1"/>
        <v>1085</v>
      </c>
      <c r="K36" s="63">
        <f t="shared" si="1"/>
        <v>1655</v>
      </c>
      <c r="L36" s="63">
        <f t="shared" si="1"/>
        <v>0</v>
      </c>
      <c r="M36" s="63">
        <f t="shared" si="1"/>
        <v>2740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27"/>
      <c r="M37" s="27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01"/>
  <sheetViews>
    <sheetView view="pageBreakPreview" topLeftCell="A13" zoomScale="60" workbookViewId="0">
      <selection activeCell="H35" sqref="H35:M35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7" ht="14.25" customHeight="1">
      <c r="A1" s="40" t="s">
        <v>29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7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7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7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7" ht="19.5" customHeight="1">
      <c r="A5" s="8">
        <v>44440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209.08</v>
      </c>
      <c r="G5" s="11">
        <v>482.4</v>
      </c>
      <c r="H5" s="9">
        <v>28</v>
      </c>
      <c r="I5" s="23">
        <v>0</v>
      </c>
      <c r="J5" s="1">
        <v>65</v>
      </c>
      <c r="K5" s="1">
        <v>20</v>
      </c>
      <c r="L5" s="23">
        <v>0</v>
      </c>
      <c r="M5" s="23">
        <f>L5+K5+J5+I5</f>
        <v>85</v>
      </c>
      <c r="N5" s="2"/>
      <c r="P5" s="1">
        <v>20</v>
      </c>
      <c r="Q5" s="1">
        <v>65</v>
      </c>
    </row>
    <row r="6" spans="1:17" ht="19.5" customHeight="1">
      <c r="A6" s="8">
        <v>44441</v>
      </c>
      <c r="B6" s="57"/>
      <c r="C6" s="57"/>
      <c r="D6" s="21">
        <v>213.8</v>
      </c>
      <c r="E6" s="29">
        <v>949</v>
      </c>
      <c r="F6" s="24">
        <v>209</v>
      </c>
      <c r="G6" s="11">
        <v>479.577</v>
      </c>
      <c r="H6" s="9">
        <v>52</v>
      </c>
      <c r="I6" s="23">
        <v>0</v>
      </c>
      <c r="J6" s="1">
        <v>65</v>
      </c>
      <c r="K6" s="1">
        <v>20</v>
      </c>
      <c r="L6" s="23">
        <v>0</v>
      </c>
      <c r="M6" s="23">
        <f t="shared" ref="M6:M34" si="0">L6+K6+J6+I6</f>
        <v>85</v>
      </c>
      <c r="N6" s="2"/>
      <c r="P6" s="1">
        <v>20</v>
      </c>
      <c r="Q6" s="1">
        <v>65</v>
      </c>
    </row>
    <row r="7" spans="1:17" ht="19.5" customHeight="1">
      <c r="A7" s="8">
        <v>44442</v>
      </c>
      <c r="B7" s="57"/>
      <c r="C7" s="57"/>
      <c r="D7" s="21">
        <v>213.8</v>
      </c>
      <c r="E7" s="29">
        <v>949</v>
      </c>
      <c r="F7" s="24">
        <v>208.97</v>
      </c>
      <c r="G7" s="11">
        <v>477.10500000000002</v>
      </c>
      <c r="H7" s="9">
        <v>57</v>
      </c>
      <c r="I7" s="23">
        <v>0</v>
      </c>
      <c r="J7" s="1">
        <v>65</v>
      </c>
      <c r="K7" s="1">
        <v>20</v>
      </c>
      <c r="L7" s="23">
        <v>0</v>
      </c>
      <c r="M7" s="23">
        <f t="shared" si="0"/>
        <v>85</v>
      </c>
      <c r="N7" s="2"/>
      <c r="P7" s="1">
        <v>20</v>
      </c>
      <c r="Q7" s="1">
        <v>65</v>
      </c>
    </row>
    <row r="8" spans="1:17" ht="19.5" customHeight="1">
      <c r="A8" s="8">
        <v>44443</v>
      </c>
      <c r="B8" s="57"/>
      <c r="C8" s="57"/>
      <c r="D8" s="21">
        <v>213.8</v>
      </c>
      <c r="E8" s="29">
        <v>949</v>
      </c>
      <c r="F8" s="24">
        <v>208.87</v>
      </c>
      <c r="G8" s="11">
        <v>468.27</v>
      </c>
      <c r="H8" s="9">
        <v>3</v>
      </c>
      <c r="I8" s="23">
        <v>0</v>
      </c>
      <c r="J8" s="1">
        <v>65</v>
      </c>
      <c r="K8" s="1">
        <v>40</v>
      </c>
      <c r="L8" s="23">
        <v>0</v>
      </c>
      <c r="M8" s="23">
        <f t="shared" si="0"/>
        <v>105</v>
      </c>
      <c r="N8" s="2"/>
      <c r="P8" s="1">
        <v>40</v>
      </c>
      <c r="Q8" s="1">
        <v>65</v>
      </c>
    </row>
    <row r="9" spans="1:17" ht="19.5" customHeight="1">
      <c r="A9" s="8">
        <v>44444</v>
      </c>
      <c r="B9" s="57"/>
      <c r="C9" s="57"/>
      <c r="D9" s="21">
        <v>213.8</v>
      </c>
      <c r="E9" s="29">
        <v>949</v>
      </c>
      <c r="F9" s="24">
        <v>208.87</v>
      </c>
      <c r="G9" s="11">
        <v>468.27</v>
      </c>
      <c r="H9" s="9">
        <v>80</v>
      </c>
      <c r="I9" s="23">
        <v>0</v>
      </c>
      <c r="J9" s="1">
        <v>60</v>
      </c>
      <c r="K9" s="1">
        <v>20</v>
      </c>
      <c r="L9" s="23">
        <v>0</v>
      </c>
      <c r="M9" s="23">
        <f t="shared" si="0"/>
        <v>80</v>
      </c>
      <c r="N9" s="2"/>
      <c r="P9" s="1">
        <v>20</v>
      </c>
      <c r="Q9" s="1">
        <v>60</v>
      </c>
    </row>
    <row r="10" spans="1:17" ht="19.5" customHeight="1">
      <c r="A10" s="8">
        <v>44445</v>
      </c>
      <c r="B10" s="57"/>
      <c r="C10" s="57"/>
      <c r="D10" s="21">
        <v>213.8</v>
      </c>
      <c r="E10" s="29">
        <v>949</v>
      </c>
      <c r="F10" s="24">
        <v>209.14</v>
      </c>
      <c r="G10" s="11">
        <v>488.75900000000001</v>
      </c>
      <c r="H10" s="9">
        <v>317</v>
      </c>
      <c r="I10" s="23">
        <v>0</v>
      </c>
      <c r="J10" s="1">
        <v>60</v>
      </c>
      <c r="K10" s="1">
        <v>20</v>
      </c>
      <c r="L10" s="23">
        <v>0</v>
      </c>
      <c r="M10" s="23">
        <f t="shared" si="0"/>
        <v>80</v>
      </c>
      <c r="N10" s="2"/>
      <c r="P10" s="1">
        <v>20</v>
      </c>
      <c r="Q10" s="1">
        <v>60</v>
      </c>
    </row>
    <row r="11" spans="1:17" ht="19.5" customHeight="1">
      <c r="A11" s="8">
        <v>44446</v>
      </c>
      <c r="B11" s="57"/>
      <c r="C11" s="57"/>
      <c r="D11" s="21">
        <v>213.8</v>
      </c>
      <c r="E11" s="29">
        <v>949</v>
      </c>
      <c r="F11" s="24">
        <v>209.3</v>
      </c>
      <c r="G11" s="11">
        <v>505.71</v>
      </c>
      <c r="H11" s="9">
        <v>257</v>
      </c>
      <c r="I11" s="23">
        <v>0</v>
      </c>
      <c r="J11" s="1">
        <v>50</v>
      </c>
      <c r="K11" s="1">
        <v>10</v>
      </c>
      <c r="L11" s="23">
        <v>0</v>
      </c>
      <c r="M11" s="23">
        <f t="shared" si="0"/>
        <v>60</v>
      </c>
      <c r="N11" s="2"/>
      <c r="P11" s="1">
        <v>10</v>
      </c>
      <c r="Q11" s="1">
        <v>50</v>
      </c>
    </row>
    <row r="12" spans="1:17" ht="19.5" customHeight="1">
      <c r="A12" s="8">
        <v>44447</v>
      </c>
      <c r="B12" s="57"/>
      <c r="C12" s="57"/>
      <c r="D12" s="21">
        <v>213.8</v>
      </c>
      <c r="E12" s="29">
        <v>949</v>
      </c>
      <c r="F12" s="24">
        <v>209.5</v>
      </c>
      <c r="G12" s="11">
        <v>523.01</v>
      </c>
      <c r="H12" s="9">
        <v>261</v>
      </c>
      <c r="I12" s="23">
        <v>0</v>
      </c>
      <c r="J12" s="1">
        <v>50</v>
      </c>
      <c r="K12" s="1">
        <v>10</v>
      </c>
      <c r="L12" s="23">
        <v>0</v>
      </c>
      <c r="M12" s="23">
        <f t="shared" si="0"/>
        <v>60</v>
      </c>
      <c r="N12" s="2"/>
      <c r="P12" s="1">
        <v>10</v>
      </c>
      <c r="Q12" s="1">
        <v>50</v>
      </c>
    </row>
    <row r="13" spans="1:17" ht="19.5" customHeight="1">
      <c r="A13" s="8">
        <v>44448</v>
      </c>
      <c r="B13" s="57"/>
      <c r="C13" s="57"/>
      <c r="D13" s="21">
        <v>213.8</v>
      </c>
      <c r="E13" s="29">
        <v>949</v>
      </c>
      <c r="F13" s="25">
        <v>209.59</v>
      </c>
      <c r="G13" s="24">
        <v>530.78399999999999</v>
      </c>
      <c r="H13" s="9">
        <v>150</v>
      </c>
      <c r="I13" s="23">
        <v>0</v>
      </c>
      <c r="J13" s="1">
        <v>50</v>
      </c>
      <c r="K13" s="1">
        <v>10</v>
      </c>
      <c r="L13" s="23">
        <v>0</v>
      </c>
      <c r="M13" s="23">
        <f t="shared" si="0"/>
        <v>60</v>
      </c>
      <c r="N13" s="2"/>
      <c r="P13" s="1">
        <v>10</v>
      </c>
      <c r="Q13" s="1">
        <v>50</v>
      </c>
    </row>
    <row r="14" spans="1:17" ht="19.5" customHeight="1">
      <c r="A14" s="8">
        <v>44449</v>
      </c>
      <c r="B14" s="57"/>
      <c r="C14" s="57"/>
      <c r="D14" s="21">
        <v>213.8</v>
      </c>
      <c r="E14" s="29">
        <v>949</v>
      </c>
      <c r="F14" s="24">
        <v>209.64</v>
      </c>
      <c r="G14" s="11">
        <v>535.02</v>
      </c>
      <c r="H14" s="9">
        <v>109</v>
      </c>
      <c r="I14" s="23">
        <v>0</v>
      </c>
      <c r="J14" s="1">
        <v>50</v>
      </c>
      <c r="K14" s="1">
        <v>10</v>
      </c>
      <c r="L14" s="23">
        <v>0</v>
      </c>
      <c r="M14" s="23">
        <f t="shared" si="0"/>
        <v>60</v>
      </c>
      <c r="N14" s="2"/>
      <c r="P14" s="1">
        <v>10</v>
      </c>
      <c r="Q14" s="1">
        <v>50</v>
      </c>
    </row>
    <row r="15" spans="1:17" ht="19.5" customHeight="1">
      <c r="A15" s="8">
        <v>44450</v>
      </c>
      <c r="B15" s="57"/>
      <c r="C15" s="57"/>
      <c r="D15" s="21">
        <v>213.8</v>
      </c>
      <c r="E15" s="29">
        <v>949</v>
      </c>
      <c r="F15" s="24">
        <v>209.68</v>
      </c>
      <c r="G15" s="11">
        <v>538.54999999999995</v>
      </c>
      <c r="H15" s="9">
        <v>101</v>
      </c>
      <c r="I15" s="23">
        <v>0</v>
      </c>
      <c r="J15" s="1">
        <v>50</v>
      </c>
      <c r="K15" s="1">
        <v>10</v>
      </c>
      <c r="L15" s="23">
        <v>0</v>
      </c>
      <c r="M15" s="23">
        <f t="shared" si="0"/>
        <v>60</v>
      </c>
      <c r="N15" s="2"/>
      <c r="P15" s="1">
        <v>10</v>
      </c>
      <c r="Q15" s="1">
        <v>50</v>
      </c>
    </row>
    <row r="16" spans="1:17" ht="19.5" customHeight="1">
      <c r="A16" s="8">
        <v>44451</v>
      </c>
      <c r="B16" s="57"/>
      <c r="C16" s="57"/>
      <c r="D16" s="21">
        <v>213.8</v>
      </c>
      <c r="E16" s="29">
        <v>949</v>
      </c>
      <c r="F16" s="24">
        <v>209.72</v>
      </c>
      <c r="G16" s="11">
        <v>542.08000000000004</v>
      </c>
      <c r="H16" s="9">
        <v>101</v>
      </c>
      <c r="I16" s="23">
        <v>0</v>
      </c>
      <c r="J16" s="1">
        <v>50</v>
      </c>
      <c r="K16" s="1">
        <v>10</v>
      </c>
      <c r="L16" s="23">
        <v>0</v>
      </c>
      <c r="M16" s="23">
        <f t="shared" si="0"/>
        <v>60</v>
      </c>
      <c r="N16" s="2"/>
      <c r="P16" s="1">
        <v>10</v>
      </c>
      <c r="Q16" s="1">
        <v>50</v>
      </c>
    </row>
    <row r="17" spans="1:17" ht="19.5" customHeight="1">
      <c r="A17" s="8">
        <v>44452</v>
      </c>
      <c r="B17" s="57"/>
      <c r="C17" s="57"/>
      <c r="D17" s="21">
        <v>213.8</v>
      </c>
      <c r="E17" s="29">
        <v>949</v>
      </c>
      <c r="F17" s="24">
        <v>209.75</v>
      </c>
      <c r="G17" s="11">
        <v>544.54999999999995</v>
      </c>
      <c r="H17" s="9">
        <v>89</v>
      </c>
      <c r="I17" s="23">
        <v>0</v>
      </c>
      <c r="J17" s="1">
        <v>50</v>
      </c>
      <c r="K17" s="1">
        <v>10</v>
      </c>
      <c r="L17" s="23">
        <v>0</v>
      </c>
      <c r="M17" s="23">
        <f t="shared" si="0"/>
        <v>60</v>
      </c>
      <c r="N17" s="2"/>
      <c r="P17" s="1">
        <v>10</v>
      </c>
      <c r="Q17" s="1">
        <v>50</v>
      </c>
    </row>
    <row r="18" spans="1:17" ht="19.5" customHeight="1">
      <c r="A18" s="8">
        <v>44453</v>
      </c>
      <c r="B18" s="57"/>
      <c r="C18" s="57"/>
      <c r="D18" s="21">
        <v>213.8</v>
      </c>
      <c r="E18" s="29">
        <v>949</v>
      </c>
      <c r="F18" s="24">
        <v>209.82</v>
      </c>
      <c r="G18" s="11">
        <v>550.55999999999995</v>
      </c>
      <c r="H18" s="9">
        <v>130</v>
      </c>
      <c r="I18" s="23">
        <v>0</v>
      </c>
      <c r="J18" s="1">
        <v>50</v>
      </c>
      <c r="K18" s="1">
        <v>10</v>
      </c>
      <c r="L18" s="23">
        <v>0</v>
      </c>
      <c r="M18" s="23">
        <f t="shared" si="0"/>
        <v>60</v>
      </c>
      <c r="N18" s="2"/>
      <c r="P18" s="1">
        <v>10</v>
      </c>
      <c r="Q18" s="1">
        <v>50</v>
      </c>
    </row>
    <row r="19" spans="1:17" ht="19.5" customHeight="1">
      <c r="A19" s="8">
        <v>44454</v>
      </c>
      <c r="B19" s="57"/>
      <c r="C19" s="57"/>
      <c r="D19" s="21">
        <v>213.8</v>
      </c>
      <c r="E19" s="29">
        <v>949</v>
      </c>
      <c r="F19" s="24">
        <v>209.85</v>
      </c>
      <c r="G19" s="11">
        <v>553.03</v>
      </c>
      <c r="H19" s="9">
        <v>89</v>
      </c>
      <c r="I19" s="23">
        <v>0</v>
      </c>
      <c r="J19" s="1">
        <v>50</v>
      </c>
      <c r="K19" s="1">
        <v>10</v>
      </c>
      <c r="L19" s="23">
        <v>0</v>
      </c>
      <c r="M19" s="23">
        <f t="shared" si="0"/>
        <v>60</v>
      </c>
      <c r="N19" s="2"/>
      <c r="P19" s="1">
        <v>10</v>
      </c>
      <c r="Q19" s="1">
        <v>50</v>
      </c>
    </row>
    <row r="20" spans="1:17" ht="19.5" customHeight="1">
      <c r="A20" s="8">
        <v>44455</v>
      </c>
      <c r="B20" s="57"/>
      <c r="C20" s="57"/>
      <c r="D20" s="21">
        <v>213.8</v>
      </c>
      <c r="E20" s="29">
        <v>949</v>
      </c>
      <c r="F20" s="24">
        <v>209.85</v>
      </c>
      <c r="G20" s="11">
        <v>553.03</v>
      </c>
      <c r="H20" s="9">
        <v>60</v>
      </c>
      <c r="I20" s="23">
        <v>0</v>
      </c>
      <c r="J20" s="1">
        <v>50</v>
      </c>
      <c r="K20" s="1">
        <v>10</v>
      </c>
      <c r="L20" s="23">
        <v>0</v>
      </c>
      <c r="M20" s="23">
        <f t="shared" si="0"/>
        <v>60</v>
      </c>
      <c r="N20" s="2"/>
      <c r="P20" s="1">
        <v>10</v>
      </c>
      <c r="Q20" s="1">
        <v>50</v>
      </c>
    </row>
    <row r="21" spans="1:17" ht="19.5" customHeight="1">
      <c r="A21" s="8">
        <v>44456</v>
      </c>
      <c r="B21" s="57"/>
      <c r="C21" s="57"/>
      <c r="D21" s="21">
        <v>213.8</v>
      </c>
      <c r="E21" s="29">
        <v>949</v>
      </c>
      <c r="F21" s="24">
        <v>209.85</v>
      </c>
      <c r="G21" s="11">
        <v>553.03</v>
      </c>
      <c r="H21" s="9">
        <v>60</v>
      </c>
      <c r="I21" s="23">
        <v>0</v>
      </c>
      <c r="J21" s="1">
        <v>50</v>
      </c>
      <c r="K21" s="1">
        <v>10</v>
      </c>
      <c r="L21" s="23">
        <v>0</v>
      </c>
      <c r="M21" s="23">
        <f t="shared" si="0"/>
        <v>60</v>
      </c>
      <c r="N21" s="2"/>
      <c r="P21" s="1">
        <v>10</v>
      </c>
      <c r="Q21" s="1">
        <v>50</v>
      </c>
    </row>
    <row r="22" spans="1:17" ht="19.5" customHeight="1">
      <c r="A22" s="8">
        <v>44457</v>
      </c>
      <c r="B22" s="57"/>
      <c r="C22" s="57"/>
      <c r="D22" s="21">
        <v>213.8</v>
      </c>
      <c r="E22" s="29">
        <v>949</v>
      </c>
      <c r="F22" s="24">
        <v>209.8</v>
      </c>
      <c r="G22" s="11">
        <v>548.79</v>
      </c>
      <c r="H22" s="9">
        <v>11</v>
      </c>
      <c r="I22" s="23">
        <v>0</v>
      </c>
      <c r="J22" s="1">
        <v>50</v>
      </c>
      <c r="K22" s="1">
        <v>10</v>
      </c>
      <c r="L22" s="23">
        <v>0</v>
      </c>
      <c r="M22" s="23">
        <f t="shared" si="0"/>
        <v>60</v>
      </c>
      <c r="N22" s="2"/>
      <c r="P22" s="1">
        <v>10</v>
      </c>
      <c r="Q22" s="1">
        <v>50</v>
      </c>
    </row>
    <row r="23" spans="1:17" ht="19.5" customHeight="1">
      <c r="A23" s="8">
        <v>44458</v>
      </c>
      <c r="B23" s="57"/>
      <c r="C23" s="57"/>
      <c r="D23" s="21">
        <v>213.8</v>
      </c>
      <c r="E23" s="29">
        <v>949</v>
      </c>
      <c r="F23" s="24">
        <v>209.8</v>
      </c>
      <c r="G23" s="11">
        <v>548.79</v>
      </c>
      <c r="H23" s="9">
        <v>70</v>
      </c>
      <c r="I23" s="23">
        <v>0</v>
      </c>
      <c r="J23" s="1">
        <v>50</v>
      </c>
      <c r="K23" s="1">
        <v>20</v>
      </c>
      <c r="L23" s="23">
        <v>0</v>
      </c>
      <c r="M23" s="23">
        <f t="shared" si="0"/>
        <v>70</v>
      </c>
      <c r="N23" s="2"/>
      <c r="P23" s="1">
        <v>20</v>
      </c>
      <c r="Q23" s="1">
        <v>50</v>
      </c>
    </row>
    <row r="24" spans="1:17" ht="19.5" customHeight="1">
      <c r="A24" s="8">
        <v>44459</v>
      </c>
      <c r="B24" s="57"/>
      <c r="C24" s="57"/>
      <c r="D24" s="21">
        <v>213.8</v>
      </c>
      <c r="E24" s="29">
        <v>949</v>
      </c>
      <c r="F24" s="24">
        <v>209.89</v>
      </c>
      <c r="G24" s="11">
        <v>556.55999999999995</v>
      </c>
      <c r="H24" s="9">
        <v>160</v>
      </c>
      <c r="I24" s="23">
        <v>0</v>
      </c>
      <c r="J24" s="1">
        <v>50</v>
      </c>
      <c r="K24" s="1">
        <v>20</v>
      </c>
      <c r="L24" s="23">
        <v>0</v>
      </c>
      <c r="M24" s="23">
        <f t="shared" si="0"/>
        <v>70</v>
      </c>
      <c r="N24" s="2"/>
      <c r="P24" s="1">
        <v>20</v>
      </c>
      <c r="Q24" s="1">
        <v>50</v>
      </c>
    </row>
    <row r="25" spans="1:17" ht="19.5" customHeight="1">
      <c r="A25" s="8">
        <v>44460</v>
      </c>
      <c r="B25" s="57"/>
      <c r="C25" s="57"/>
      <c r="D25" s="21">
        <v>213.8</v>
      </c>
      <c r="E25" s="29">
        <v>949</v>
      </c>
      <c r="F25" s="24">
        <v>209.89</v>
      </c>
      <c r="G25" s="11">
        <v>556.55999999999995</v>
      </c>
      <c r="H25" s="9">
        <v>70</v>
      </c>
      <c r="I25" s="23">
        <v>0</v>
      </c>
      <c r="J25" s="1">
        <v>50</v>
      </c>
      <c r="K25" s="1">
        <v>20</v>
      </c>
      <c r="L25" s="23">
        <v>0</v>
      </c>
      <c r="M25" s="23">
        <f t="shared" si="0"/>
        <v>70</v>
      </c>
      <c r="N25" s="2"/>
      <c r="P25" s="1">
        <v>20</v>
      </c>
      <c r="Q25" s="1">
        <v>50</v>
      </c>
    </row>
    <row r="26" spans="1:17" ht="19.5" customHeight="1">
      <c r="A26" s="8">
        <v>44461</v>
      </c>
      <c r="B26" s="57"/>
      <c r="C26" s="57"/>
      <c r="D26" s="21">
        <v>213.8</v>
      </c>
      <c r="E26" s="29">
        <v>949</v>
      </c>
      <c r="F26" s="24">
        <v>209.98</v>
      </c>
      <c r="G26" s="11">
        <v>564.33000000000004</v>
      </c>
      <c r="H26" s="9">
        <v>140</v>
      </c>
      <c r="I26" s="23">
        <v>0</v>
      </c>
      <c r="J26" s="1">
        <v>30</v>
      </c>
      <c r="K26" s="1">
        <v>20</v>
      </c>
      <c r="L26" s="23">
        <v>0</v>
      </c>
      <c r="M26" s="23">
        <f t="shared" si="0"/>
        <v>50</v>
      </c>
      <c r="N26" s="2"/>
      <c r="O26" s="17"/>
      <c r="P26" s="1">
        <v>20</v>
      </c>
      <c r="Q26" s="1">
        <v>30</v>
      </c>
    </row>
    <row r="27" spans="1:17" ht="19.5" customHeight="1">
      <c r="A27" s="8">
        <v>44462</v>
      </c>
      <c r="B27" s="57"/>
      <c r="C27" s="57"/>
      <c r="D27" s="21">
        <v>213.8</v>
      </c>
      <c r="E27" s="29">
        <v>949</v>
      </c>
      <c r="F27" s="24">
        <v>210.03</v>
      </c>
      <c r="G27" s="11">
        <v>568.91999999999996</v>
      </c>
      <c r="H27" s="9">
        <v>104</v>
      </c>
      <c r="I27" s="23">
        <v>0</v>
      </c>
      <c r="J27" s="1">
        <v>30</v>
      </c>
      <c r="K27" s="1">
        <v>20</v>
      </c>
      <c r="L27" s="23">
        <v>0</v>
      </c>
      <c r="M27" s="23">
        <f t="shared" si="0"/>
        <v>50</v>
      </c>
      <c r="N27" s="2"/>
      <c r="P27" s="1">
        <v>20</v>
      </c>
      <c r="Q27" s="1">
        <v>30</v>
      </c>
    </row>
    <row r="28" spans="1:17" ht="19.5" customHeight="1">
      <c r="A28" s="8">
        <v>44463</v>
      </c>
      <c r="B28" s="57"/>
      <c r="C28" s="57"/>
      <c r="D28" s="21">
        <v>213.8</v>
      </c>
      <c r="E28" s="29">
        <v>949</v>
      </c>
      <c r="F28" s="24">
        <v>210.03</v>
      </c>
      <c r="G28" s="11">
        <v>568.91999999999996</v>
      </c>
      <c r="H28" s="9">
        <v>50</v>
      </c>
      <c r="I28" s="23">
        <v>0</v>
      </c>
      <c r="J28" s="1">
        <v>30</v>
      </c>
      <c r="K28" s="1">
        <v>20</v>
      </c>
      <c r="L28" s="23">
        <v>0</v>
      </c>
      <c r="M28" s="23">
        <f t="shared" si="0"/>
        <v>50</v>
      </c>
      <c r="N28" s="2"/>
      <c r="P28" s="1">
        <v>20</v>
      </c>
      <c r="Q28" s="1">
        <v>30</v>
      </c>
    </row>
    <row r="29" spans="1:17" ht="19.5" customHeight="1">
      <c r="A29" s="8">
        <v>44464</v>
      </c>
      <c r="B29" s="57"/>
      <c r="C29" s="57"/>
      <c r="D29" s="21">
        <v>213.8</v>
      </c>
      <c r="E29" s="29">
        <v>949</v>
      </c>
      <c r="F29" s="24">
        <v>210.03</v>
      </c>
      <c r="G29" s="11">
        <v>568.91999999999996</v>
      </c>
      <c r="H29" s="9">
        <v>50</v>
      </c>
      <c r="I29" s="23">
        <v>0</v>
      </c>
      <c r="J29" s="1">
        <v>30</v>
      </c>
      <c r="K29" s="1">
        <v>20</v>
      </c>
      <c r="L29" s="23">
        <v>0</v>
      </c>
      <c r="M29" s="23">
        <f t="shared" si="0"/>
        <v>50</v>
      </c>
      <c r="N29" s="2"/>
      <c r="P29" s="1">
        <v>20</v>
      </c>
      <c r="Q29" s="1">
        <v>30</v>
      </c>
    </row>
    <row r="30" spans="1:17" ht="19.5" customHeight="1">
      <c r="A30" s="8">
        <v>44465</v>
      </c>
      <c r="B30" s="57"/>
      <c r="C30" s="57"/>
      <c r="D30" s="21">
        <v>213.8</v>
      </c>
      <c r="E30" s="29">
        <v>949</v>
      </c>
      <c r="F30" s="24">
        <v>210.03</v>
      </c>
      <c r="G30" s="11">
        <v>568.91999999999996</v>
      </c>
      <c r="H30" s="9">
        <v>50</v>
      </c>
      <c r="I30" s="23">
        <v>0</v>
      </c>
      <c r="J30" s="1">
        <v>30</v>
      </c>
      <c r="K30" s="1">
        <v>20</v>
      </c>
      <c r="L30" s="23">
        <v>0</v>
      </c>
      <c r="M30" s="23">
        <f t="shared" si="0"/>
        <v>50</v>
      </c>
      <c r="N30" s="2"/>
      <c r="P30" s="1">
        <v>20</v>
      </c>
      <c r="Q30" s="1">
        <v>30</v>
      </c>
    </row>
    <row r="31" spans="1:17" ht="21" customHeight="1">
      <c r="A31" s="8">
        <v>44466</v>
      </c>
      <c r="B31" s="57"/>
      <c r="C31" s="57"/>
      <c r="D31" s="21">
        <v>213.8</v>
      </c>
      <c r="E31" s="29">
        <v>949</v>
      </c>
      <c r="F31" s="24">
        <v>211.41</v>
      </c>
      <c r="G31" s="11">
        <v>694.29</v>
      </c>
      <c r="H31" s="9">
        <v>1501</v>
      </c>
      <c r="I31" s="23">
        <v>0</v>
      </c>
      <c r="J31" s="1">
        <v>30</v>
      </c>
      <c r="K31" s="1">
        <v>20</v>
      </c>
      <c r="L31" s="23">
        <v>0</v>
      </c>
      <c r="M31" s="23">
        <f t="shared" si="0"/>
        <v>50</v>
      </c>
      <c r="N31" s="2"/>
      <c r="P31" s="1">
        <v>20</v>
      </c>
      <c r="Q31" s="1">
        <v>30</v>
      </c>
    </row>
    <row r="32" spans="1:17" ht="21" customHeight="1">
      <c r="A32" s="8">
        <v>44467</v>
      </c>
      <c r="B32" s="57"/>
      <c r="C32" s="57"/>
      <c r="D32" s="21">
        <v>213.8</v>
      </c>
      <c r="E32" s="29">
        <v>949</v>
      </c>
      <c r="F32" s="24">
        <v>213.23</v>
      </c>
      <c r="G32" s="11">
        <v>889.58</v>
      </c>
      <c r="H32" s="9">
        <v>955</v>
      </c>
      <c r="I32" s="23">
        <v>0</v>
      </c>
      <c r="J32" s="1">
        <v>0</v>
      </c>
      <c r="K32" s="1">
        <v>0</v>
      </c>
      <c r="L32" s="23">
        <v>0</v>
      </c>
      <c r="M32" s="23">
        <f t="shared" si="0"/>
        <v>0</v>
      </c>
      <c r="N32" s="2"/>
      <c r="P32" s="1">
        <v>0</v>
      </c>
      <c r="Q32" s="1">
        <v>0</v>
      </c>
    </row>
    <row r="33" spans="1:17" ht="21" customHeight="1">
      <c r="A33" s="8">
        <v>44468</v>
      </c>
      <c r="B33" s="57"/>
      <c r="C33" s="57"/>
      <c r="D33" s="21">
        <v>213.8</v>
      </c>
      <c r="E33" s="29">
        <v>949</v>
      </c>
      <c r="F33" s="24">
        <v>213.3</v>
      </c>
      <c r="G33" s="11">
        <v>886.91</v>
      </c>
      <c r="H33" s="9"/>
      <c r="I33" s="23">
        <v>0</v>
      </c>
      <c r="J33" s="1">
        <v>0</v>
      </c>
      <c r="K33" s="1">
        <v>0</v>
      </c>
      <c r="L33" s="23">
        <v>0</v>
      </c>
      <c r="M33" s="23">
        <f t="shared" si="0"/>
        <v>0</v>
      </c>
      <c r="N33" s="2"/>
      <c r="P33" s="1">
        <v>0</v>
      </c>
      <c r="Q33" s="1">
        <v>0</v>
      </c>
    </row>
    <row r="34" spans="1:17" ht="21" customHeight="1">
      <c r="A34" s="8">
        <v>44469</v>
      </c>
      <c r="B34" s="58"/>
      <c r="C34" s="58"/>
      <c r="D34" s="22">
        <v>213.8</v>
      </c>
      <c r="E34" s="29">
        <v>949</v>
      </c>
      <c r="F34" s="24">
        <v>213.25</v>
      </c>
      <c r="G34" s="11">
        <v>891.7</v>
      </c>
      <c r="H34" s="9"/>
      <c r="I34" s="23">
        <v>0</v>
      </c>
      <c r="J34" s="1">
        <v>0</v>
      </c>
      <c r="K34" s="1">
        <v>0</v>
      </c>
      <c r="L34" s="23">
        <v>0</v>
      </c>
      <c r="M34" s="23">
        <f t="shared" si="0"/>
        <v>0</v>
      </c>
      <c r="N34" s="2"/>
      <c r="P34" s="1">
        <v>0</v>
      </c>
      <c r="Q34" s="1">
        <v>0</v>
      </c>
    </row>
    <row r="35" spans="1:17" ht="21" customHeight="1">
      <c r="A35" s="12"/>
      <c r="B35" s="13"/>
      <c r="C35" s="13"/>
      <c r="D35" s="14"/>
      <c r="E35" s="31"/>
      <c r="F35" s="15"/>
      <c r="G35" s="14"/>
      <c r="H35" s="63">
        <f t="shared" ref="H35:M35" si="1">SUM(H4:H34)</f>
        <v>5105</v>
      </c>
      <c r="I35" s="63">
        <f t="shared" si="1"/>
        <v>0</v>
      </c>
      <c r="J35" s="63">
        <f t="shared" si="1"/>
        <v>1310</v>
      </c>
      <c r="K35" s="63">
        <f t="shared" si="1"/>
        <v>440</v>
      </c>
      <c r="L35" s="63">
        <f t="shared" si="1"/>
        <v>0</v>
      </c>
      <c r="M35" s="63">
        <f t="shared" si="1"/>
        <v>1750</v>
      </c>
      <c r="N35" s="16"/>
      <c r="O35" s="18"/>
    </row>
    <row r="36" spans="1:17" ht="47.25" customHeight="1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27"/>
      <c r="M36" s="27"/>
      <c r="N36" s="7"/>
    </row>
    <row r="37" spans="1:17" ht="15.75" customHeight="1">
      <c r="A37" s="59" t="s">
        <v>9</v>
      </c>
      <c r="B37" s="54"/>
      <c r="C37" s="54"/>
      <c r="D37" s="54"/>
      <c r="J37" s="59" t="s">
        <v>10</v>
      </c>
      <c r="K37" s="54"/>
      <c r="L37" s="54"/>
      <c r="M37" s="54"/>
      <c r="N37" s="7"/>
    </row>
    <row r="38" spans="1:17" ht="15.75" customHeight="1">
      <c r="A38" s="60" t="s">
        <v>16</v>
      </c>
      <c r="B38" s="54"/>
      <c r="C38" s="54"/>
      <c r="D38" s="54"/>
      <c r="J38" s="60" t="s">
        <v>16</v>
      </c>
      <c r="K38" s="54"/>
      <c r="L38" s="54"/>
      <c r="M38" s="54"/>
      <c r="N38" s="7"/>
    </row>
    <row r="39" spans="1:17" ht="15.75" customHeight="1">
      <c r="A39" s="53" t="s">
        <v>17</v>
      </c>
      <c r="B39" s="54"/>
      <c r="C39" s="54"/>
      <c r="D39" s="54"/>
      <c r="J39" s="53" t="s">
        <v>17</v>
      </c>
      <c r="K39" s="54"/>
      <c r="L39" s="54"/>
      <c r="M39" s="54"/>
      <c r="N39" s="7"/>
    </row>
    <row r="40" spans="1:17" ht="15.75" customHeight="1">
      <c r="N40" s="7"/>
    </row>
    <row r="41" spans="1:17" ht="15.75" customHeight="1">
      <c r="N41" s="7"/>
    </row>
    <row r="42" spans="1:17" ht="15.75" customHeight="1">
      <c r="N42" s="7"/>
    </row>
    <row r="43" spans="1:17" ht="15.75" customHeight="1">
      <c r="N43" s="7"/>
    </row>
    <row r="44" spans="1:17" ht="15.75" customHeight="1">
      <c r="N44" s="7"/>
    </row>
    <row r="45" spans="1:17" ht="15.75" customHeight="1">
      <c r="N45" s="7"/>
    </row>
    <row r="46" spans="1:17" ht="15.75" customHeight="1">
      <c r="N46" s="7"/>
    </row>
    <row r="47" spans="1:17" ht="15.75" customHeight="1">
      <c r="N47" s="7"/>
    </row>
    <row r="48" spans="1:17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2"/>
  <sheetViews>
    <sheetView view="pageBreakPreview" topLeftCell="A18" zoomScale="60" workbookViewId="0">
      <selection activeCell="H36" sqref="H36:M36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4" ht="14.25" customHeight="1">
      <c r="A1" s="40" t="s">
        <v>30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4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4" ht="19.5" customHeight="1">
      <c r="A5" s="8">
        <v>44470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213.55</v>
      </c>
      <c r="G5" s="11">
        <v>913.24599999999998</v>
      </c>
      <c r="H5" s="9">
        <v>250</v>
      </c>
      <c r="I5" s="23">
        <v>0</v>
      </c>
      <c r="J5" s="1">
        <v>0</v>
      </c>
      <c r="K5" s="1">
        <v>0</v>
      </c>
      <c r="L5" s="23">
        <v>0</v>
      </c>
      <c r="M5" s="23">
        <f>L5+K5+J5+I5</f>
        <v>0</v>
      </c>
      <c r="N5" s="2"/>
    </row>
    <row r="6" spans="1:14" ht="19.5" customHeight="1">
      <c r="A6" s="8">
        <v>44471</v>
      </c>
      <c r="B6" s="57"/>
      <c r="C6" s="57"/>
      <c r="D6" s="21">
        <v>213.8</v>
      </c>
      <c r="E6" s="29">
        <v>949</v>
      </c>
      <c r="F6" s="24">
        <v>213.7</v>
      </c>
      <c r="G6" s="11">
        <v>938.73400000000004</v>
      </c>
      <c r="H6" s="9">
        <v>294</v>
      </c>
      <c r="I6" s="23">
        <v>0</v>
      </c>
      <c r="J6" s="1">
        <v>0</v>
      </c>
      <c r="K6" s="1">
        <v>0</v>
      </c>
      <c r="L6" s="23">
        <v>0</v>
      </c>
      <c r="M6" s="23">
        <f t="shared" ref="M6:M35" si="0">L6+K6+J6+I6</f>
        <v>0</v>
      </c>
      <c r="N6" s="2"/>
    </row>
    <row r="7" spans="1:14" ht="19.5" customHeight="1">
      <c r="A7" s="8">
        <v>44472</v>
      </c>
      <c r="B7" s="57"/>
      <c r="C7" s="57"/>
      <c r="D7" s="21">
        <v>213.8</v>
      </c>
      <c r="E7" s="29">
        <v>949</v>
      </c>
      <c r="F7" s="24">
        <v>213.5</v>
      </c>
      <c r="G7" s="11">
        <v>917.82299999999998</v>
      </c>
      <c r="H7" s="9">
        <v>192</v>
      </c>
      <c r="I7" s="23">
        <v>400</v>
      </c>
      <c r="J7" s="1">
        <v>40</v>
      </c>
      <c r="K7" s="1">
        <v>0</v>
      </c>
      <c r="L7" s="23">
        <v>0</v>
      </c>
      <c r="M7" s="23">
        <f t="shared" si="0"/>
        <v>440</v>
      </c>
      <c r="N7" s="2"/>
    </row>
    <row r="8" spans="1:14" ht="19.5" customHeight="1">
      <c r="A8" s="8">
        <v>44473</v>
      </c>
      <c r="B8" s="57"/>
      <c r="C8" s="57"/>
      <c r="D8" s="21">
        <v>213.8</v>
      </c>
      <c r="E8" s="29">
        <v>949</v>
      </c>
      <c r="F8" s="24">
        <v>213.5</v>
      </c>
      <c r="G8" s="11">
        <v>917.82299999999998</v>
      </c>
      <c r="H8" s="9">
        <v>100</v>
      </c>
      <c r="I8" s="23">
        <v>40</v>
      </c>
      <c r="J8" s="1">
        <v>60</v>
      </c>
      <c r="K8" s="1">
        <v>0</v>
      </c>
      <c r="L8" s="23">
        <v>0</v>
      </c>
      <c r="M8" s="23">
        <f t="shared" si="0"/>
        <v>100</v>
      </c>
      <c r="N8" s="2"/>
    </row>
    <row r="9" spans="1:14" ht="19.5" customHeight="1">
      <c r="A9" s="8">
        <v>44474</v>
      </c>
      <c r="B9" s="57"/>
      <c r="C9" s="57"/>
      <c r="D9" s="21">
        <v>213.8</v>
      </c>
      <c r="E9" s="29">
        <v>949</v>
      </c>
      <c r="F9" s="24">
        <v>213.68</v>
      </c>
      <c r="G9" s="11">
        <v>936.65</v>
      </c>
      <c r="H9" s="9">
        <v>450</v>
      </c>
      <c r="I9" s="23">
        <v>0</v>
      </c>
      <c r="J9" s="1">
        <v>60</v>
      </c>
      <c r="K9" s="1">
        <v>0</v>
      </c>
      <c r="L9" s="23">
        <v>0</v>
      </c>
      <c r="M9" s="23">
        <f t="shared" si="0"/>
        <v>60</v>
      </c>
      <c r="N9" s="2"/>
    </row>
    <row r="10" spans="1:14" ht="19.5" customHeight="1">
      <c r="A10" s="8">
        <v>44475</v>
      </c>
      <c r="B10" s="57"/>
      <c r="C10" s="57"/>
      <c r="D10" s="21">
        <v>213.8</v>
      </c>
      <c r="E10" s="29">
        <v>949</v>
      </c>
      <c r="F10" s="24">
        <v>213.5</v>
      </c>
      <c r="G10" s="11">
        <v>917.82299999999998</v>
      </c>
      <c r="H10" s="9">
        <v>80</v>
      </c>
      <c r="I10" s="23">
        <v>200</v>
      </c>
      <c r="J10" s="1">
        <v>100</v>
      </c>
      <c r="K10" s="1">
        <v>0</v>
      </c>
      <c r="L10" s="23">
        <v>0</v>
      </c>
      <c r="M10" s="23">
        <f t="shared" si="0"/>
        <v>300</v>
      </c>
      <c r="N10" s="2"/>
    </row>
    <row r="11" spans="1:14" ht="19.5" customHeight="1">
      <c r="A11" s="8">
        <v>44476</v>
      </c>
      <c r="B11" s="57"/>
      <c r="C11" s="57"/>
      <c r="D11" s="21">
        <v>213.8</v>
      </c>
      <c r="E11" s="29">
        <v>949</v>
      </c>
      <c r="F11" s="24">
        <v>213.45</v>
      </c>
      <c r="G11" s="11">
        <v>912.59</v>
      </c>
      <c r="H11" s="9">
        <v>100</v>
      </c>
      <c r="I11" s="23">
        <v>100</v>
      </c>
      <c r="J11" s="1">
        <v>60</v>
      </c>
      <c r="K11" s="1">
        <v>0</v>
      </c>
      <c r="L11" s="23">
        <v>0</v>
      </c>
      <c r="M11" s="23">
        <f t="shared" si="0"/>
        <v>160</v>
      </c>
      <c r="N11" s="2"/>
    </row>
    <row r="12" spans="1:14" ht="19.5" customHeight="1">
      <c r="A12" s="8">
        <v>44477</v>
      </c>
      <c r="B12" s="57"/>
      <c r="C12" s="57"/>
      <c r="D12" s="21">
        <v>213.8</v>
      </c>
      <c r="E12" s="29">
        <v>949</v>
      </c>
      <c r="F12" s="24">
        <v>213.53</v>
      </c>
      <c r="G12" s="11">
        <v>920.95899999999995</v>
      </c>
      <c r="H12" s="9">
        <v>210</v>
      </c>
      <c r="I12" s="23">
        <v>0</v>
      </c>
      <c r="J12" s="1">
        <v>70</v>
      </c>
      <c r="K12" s="1">
        <v>40</v>
      </c>
      <c r="L12" s="23">
        <v>0</v>
      </c>
      <c r="M12" s="23">
        <f t="shared" si="0"/>
        <v>110</v>
      </c>
      <c r="N12" s="2"/>
    </row>
    <row r="13" spans="1:14" ht="19.5" customHeight="1">
      <c r="A13" s="8">
        <v>44478</v>
      </c>
      <c r="B13" s="57"/>
      <c r="C13" s="57"/>
      <c r="D13" s="21">
        <v>213.8</v>
      </c>
      <c r="E13" s="29">
        <v>949</v>
      </c>
      <c r="F13" s="25">
        <v>213.58</v>
      </c>
      <c r="G13" s="24">
        <v>925.95</v>
      </c>
      <c r="H13" s="9">
        <v>171</v>
      </c>
      <c r="I13" s="23">
        <v>0</v>
      </c>
      <c r="J13" s="1">
        <v>70</v>
      </c>
      <c r="K13" s="1">
        <v>40</v>
      </c>
      <c r="L13" s="23">
        <v>0</v>
      </c>
      <c r="M13" s="23">
        <f t="shared" si="0"/>
        <v>110</v>
      </c>
      <c r="N13" s="2"/>
    </row>
    <row r="14" spans="1:14" ht="19.5" customHeight="1">
      <c r="A14" s="8">
        <v>44479</v>
      </c>
      <c r="B14" s="57"/>
      <c r="C14" s="57"/>
      <c r="D14" s="21">
        <v>213.8</v>
      </c>
      <c r="E14" s="29">
        <v>949</v>
      </c>
      <c r="F14" s="24">
        <v>213.63</v>
      </c>
      <c r="G14" s="11">
        <v>935.25</v>
      </c>
      <c r="H14" s="9">
        <v>180</v>
      </c>
      <c r="I14" s="23">
        <v>0</v>
      </c>
      <c r="J14" s="1">
        <v>70</v>
      </c>
      <c r="K14" s="1">
        <v>50</v>
      </c>
      <c r="L14" s="23">
        <v>0</v>
      </c>
      <c r="M14" s="23">
        <f t="shared" si="0"/>
        <v>120</v>
      </c>
      <c r="N14" s="2"/>
    </row>
    <row r="15" spans="1:14" ht="19.5" customHeight="1">
      <c r="A15" s="8">
        <v>44480</v>
      </c>
      <c r="B15" s="57"/>
      <c r="C15" s="57"/>
      <c r="D15" s="21">
        <v>213.8</v>
      </c>
      <c r="E15" s="29">
        <v>949</v>
      </c>
      <c r="F15" s="24">
        <v>213.4</v>
      </c>
      <c r="G15" s="11">
        <v>907.24</v>
      </c>
      <c r="H15" s="9">
        <v>295</v>
      </c>
      <c r="I15" s="23">
        <v>500</v>
      </c>
      <c r="J15" s="1">
        <v>130</v>
      </c>
      <c r="K15" s="1">
        <v>0</v>
      </c>
      <c r="L15" s="23">
        <v>0</v>
      </c>
      <c r="M15" s="23">
        <f t="shared" si="0"/>
        <v>630</v>
      </c>
      <c r="N15" s="2"/>
    </row>
    <row r="16" spans="1:14" ht="19.5" customHeight="1">
      <c r="A16" s="8">
        <v>44481</v>
      </c>
      <c r="B16" s="57"/>
      <c r="C16" s="57"/>
      <c r="D16" s="21">
        <v>213.8</v>
      </c>
      <c r="E16" s="29">
        <v>949</v>
      </c>
      <c r="F16" s="24">
        <v>213.41</v>
      </c>
      <c r="G16" s="11">
        <v>908.3</v>
      </c>
      <c r="H16" s="9">
        <v>130</v>
      </c>
      <c r="I16" s="23">
        <v>0</v>
      </c>
      <c r="J16" s="1">
        <v>70</v>
      </c>
      <c r="K16" s="1">
        <v>50</v>
      </c>
      <c r="L16" s="23">
        <v>0</v>
      </c>
      <c r="M16" s="23">
        <f t="shared" si="0"/>
        <v>120</v>
      </c>
      <c r="N16" s="2"/>
    </row>
    <row r="17" spans="1:15" ht="19.5" customHeight="1">
      <c r="A17" s="8">
        <v>44482</v>
      </c>
      <c r="B17" s="57"/>
      <c r="C17" s="57"/>
      <c r="D17" s="21">
        <v>213.8</v>
      </c>
      <c r="E17" s="29">
        <v>949</v>
      </c>
      <c r="F17" s="24">
        <v>213.41</v>
      </c>
      <c r="G17" s="11">
        <v>908.3</v>
      </c>
      <c r="H17" s="9">
        <v>120</v>
      </c>
      <c r="I17" s="23">
        <v>0</v>
      </c>
      <c r="J17" s="1">
        <v>70</v>
      </c>
      <c r="K17" s="1">
        <v>50</v>
      </c>
      <c r="L17" s="23">
        <v>0</v>
      </c>
      <c r="M17" s="23">
        <f t="shared" si="0"/>
        <v>120</v>
      </c>
      <c r="N17" s="2"/>
    </row>
    <row r="18" spans="1:15" ht="19.5" customHeight="1">
      <c r="A18" s="8">
        <v>44483</v>
      </c>
      <c r="B18" s="57"/>
      <c r="C18" s="57"/>
      <c r="D18" s="21">
        <v>213.8</v>
      </c>
      <c r="E18" s="29">
        <v>949</v>
      </c>
      <c r="F18" s="24">
        <v>213.41</v>
      </c>
      <c r="G18" s="11">
        <v>908.3</v>
      </c>
      <c r="H18" s="9">
        <v>120</v>
      </c>
      <c r="I18" s="23">
        <v>0</v>
      </c>
      <c r="J18" s="1">
        <v>70</v>
      </c>
      <c r="K18" s="1">
        <v>50</v>
      </c>
      <c r="L18" s="23">
        <v>0</v>
      </c>
      <c r="M18" s="23">
        <f t="shared" si="0"/>
        <v>120</v>
      </c>
      <c r="N18" s="2"/>
    </row>
    <row r="19" spans="1:15" ht="19.5" customHeight="1">
      <c r="A19" s="8">
        <v>44484</v>
      </c>
      <c r="B19" s="57"/>
      <c r="C19" s="57"/>
      <c r="D19" s="21">
        <v>213.8</v>
      </c>
      <c r="E19" s="29">
        <v>949</v>
      </c>
      <c r="F19" s="24">
        <v>213.41</v>
      </c>
      <c r="G19" s="11">
        <v>908.3</v>
      </c>
      <c r="H19" s="9">
        <v>120</v>
      </c>
      <c r="I19" s="23">
        <v>0</v>
      </c>
      <c r="J19" s="1">
        <v>70</v>
      </c>
      <c r="K19" s="1">
        <v>50</v>
      </c>
      <c r="L19" s="23">
        <v>0</v>
      </c>
      <c r="M19" s="23">
        <f t="shared" si="0"/>
        <v>120</v>
      </c>
      <c r="N19" s="2"/>
    </row>
    <row r="20" spans="1:15" ht="19.5" customHeight="1">
      <c r="A20" s="8">
        <v>44485</v>
      </c>
      <c r="B20" s="57"/>
      <c r="C20" s="57"/>
      <c r="D20" s="21">
        <v>213.8</v>
      </c>
      <c r="E20" s="29">
        <v>949</v>
      </c>
      <c r="F20" s="24">
        <v>213.45</v>
      </c>
      <c r="G20" s="11">
        <v>912.18</v>
      </c>
      <c r="H20" s="9">
        <v>177</v>
      </c>
      <c r="I20" s="23">
        <v>0</v>
      </c>
      <c r="J20" s="1">
        <v>70</v>
      </c>
      <c r="K20" s="1">
        <v>50</v>
      </c>
      <c r="L20" s="23">
        <v>0</v>
      </c>
      <c r="M20" s="23">
        <f t="shared" si="0"/>
        <v>120</v>
      </c>
      <c r="N20" s="2"/>
    </row>
    <row r="21" spans="1:15" ht="19.5" customHeight="1">
      <c r="A21" s="8">
        <v>44486</v>
      </c>
      <c r="B21" s="57"/>
      <c r="C21" s="57"/>
      <c r="D21" s="21">
        <v>213.8</v>
      </c>
      <c r="E21" s="29">
        <v>949</v>
      </c>
      <c r="F21" s="24">
        <v>213.8</v>
      </c>
      <c r="G21" s="11">
        <v>949</v>
      </c>
      <c r="H21" s="9">
        <v>306</v>
      </c>
      <c r="I21" s="23">
        <v>450</v>
      </c>
      <c r="J21" s="1">
        <v>50</v>
      </c>
      <c r="K21" s="1">
        <v>70</v>
      </c>
      <c r="L21" s="23">
        <v>0</v>
      </c>
      <c r="M21" s="23">
        <f t="shared" si="0"/>
        <v>570</v>
      </c>
      <c r="N21" s="2"/>
    </row>
    <row r="22" spans="1:15" ht="19.5" customHeight="1">
      <c r="A22" s="8">
        <v>44487</v>
      </c>
      <c r="B22" s="57"/>
      <c r="C22" s="57"/>
      <c r="D22" s="21">
        <v>213.8</v>
      </c>
      <c r="E22" s="29">
        <v>949</v>
      </c>
      <c r="F22" s="24">
        <v>213.58</v>
      </c>
      <c r="G22" s="11">
        <v>925.95</v>
      </c>
      <c r="H22" s="9">
        <v>242</v>
      </c>
      <c r="I22" s="23">
        <v>0</v>
      </c>
      <c r="J22" s="1">
        <v>50</v>
      </c>
      <c r="K22" s="1">
        <v>70</v>
      </c>
      <c r="L22" s="23">
        <v>0</v>
      </c>
      <c r="M22" s="23">
        <f t="shared" si="0"/>
        <v>120</v>
      </c>
      <c r="N22" s="2"/>
    </row>
    <row r="23" spans="1:15" ht="19.5" customHeight="1">
      <c r="A23" s="8">
        <v>44488</v>
      </c>
      <c r="B23" s="57"/>
      <c r="C23" s="57"/>
      <c r="D23" s="21">
        <v>213.8</v>
      </c>
      <c r="E23" s="29">
        <v>949</v>
      </c>
      <c r="F23" s="24">
        <v>213.61</v>
      </c>
      <c r="G23" s="11">
        <v>929.49</v>
      </c>
      <c r="H23" s="9">
        <v>160</v>
      </c>
      <c r="I23" s="23">
        <v>0</v>
      </c>
      <c r="J23" s="1">
        <v>50</v>
      </c>
      <c r="K23" s="1">
        <v>70</v>
      </c>
      <c r="L23" s="23">
        <v>0</v>
      </c>
      <c r="M23" s="23">
        <f t="shared" si="0"/>
        <v>120</v>
      </c>
      <c r="N23" s="2"/>
    </row>
    <row r="24" spans="1:15" ht="19.5" customHeight="1">
      <c r="A24" s="8">
        <v>44489</v>
      </c>
      <c r="B24" s="57"/>
      <c r="C24" s="57"/>
      <c r="D24" s="21">
        <v>213.8</v>
      </c>
      <c r="E24" s="29">
        <v>949</v>
      </c>
      <c r="F24" s="24">
        <v>213.63</v>
      </c>
      <c r="G24" s="11">
        <v>931.25599999999997</v>
      </c>
      <c r="H24" s="9">
        <v>140</v>
      </c>
      <c r="I24" s="23">
        <v>0</v>
      </c>
      <c r="J24" s="1">
        <v>50</v>
      </c>
      <c r="K24" s="1">
        <v>70</v>
      </c>
      <c r="L24" s="23">
        <v>0</v>
      </c>
      <c r="M24" s="23">
        <f t="shared" si="0"/>
        <v>120</v>
      </c>
      <c r="N24" s="2"/>
    </row>
    <row r="25" spans="1:15" ht="19.5" customHeight="1">
      <c r="A25" s="8">
        <v>44490</v>
      </c>
      <c r="B25" s="57"/>
      <c r="C25" s="57"/>
      <c r="D25" s="21">
        <v>213.8</v>
      </c>
      <c r="E25" s="29">
        <v>949</v>
      </c>
      <c r="F25" s="24">
        <v>213.54</v>
      </c>
      <c r="G25" s="11">
        <v>921.72</v>
      </c>
      <c r="H25" s="9">
        <v>109</v>
      </c>
      <c r="I25" s="23">
        <v>300</v>
      </c>
      <c r="J25" s="1">
        <v>50</v>
      </c>
      <c r="K25" s="1">
        <v>70</v>
      </c>
      <c r="L25" s="23">
        <v>0</v>
      </c>
      <c r="M25" s="23">
        <f t="shared" si="0"/>
        <v>420</v>
      </c>
      <c r="N25" s="2"/>
    </row>
    <row r="26" spans="1:15" ht="19.5" customHeight="1">
      <c r="A26" s="8">
        <v>44491</v>
      </c>
      <c r="B26" s="57"/>
      <c r="C26" s="57"/>
      <c r="D26" s="21">
        <v>213.8</v>
      </c>
      <c r="E26" s="29">
        <v>949</v>
      </c>
      <c r="F26" s="24">
        <v>213.58</v>
      </c>
      <c r="G26" s="11">
        <v>925.95</v>
      </c>
      <c r="H26" s="9">
        <v>169</v>
      </c>
      <c r="I26" s="23">
        <v>0</v>
      </c>
      <c r="J26" s="1">
        <v>50</v>
      </c>
      <c r="K26" s="1">
        <v>70</v>
      </c>
      <c r="L26" s="23">
        <v>0</v>
      </c>
      <c r="M26" s="23">
        <f t="shared" si="0"/>
        <v>120</v>
      </c>
      <c r="N26" s="2"/>
      <c r="O26" s="17"/>
    </row>
    <row r="27" spans="1:15" ht="19.5" customHeight="1">
      <c r="A27" s="8">
        <v>44492</v>
      </c>
      <c r="B27" s="57"/>
      <c r="C27" s="57"/>
      <c r="D27" s="21">
        <v>213.8</v>
      </c>
      <c r="E27" s="29">
        <v>949</v>
      </c>
      <c r="F27" s="24">
        <v>213.6</v>
      </c>
      <c r="G27" s="11">
        <v>928.43</v>
      </c>
      <c r="H27" s="9">
        <v>148</v>
      </c>
      <c r="I27" s="23">
        <v>0</v>
      </c>
      <c r="J27" s="1">
        <v>50</v>
      </c>
      <c r="K27" s="1">
        <v>70</v>
      </c>
      <c r="L27" s="23">
        <v>0</v>
      </c>
      <c r="M27" s="23">
        <f t="shared" si="0"/>
        <v>120</v>
      </c>
      <c r="N27" s="2"/>
    </row>
    <row r="28" spans="1:15" ht="19.5" customHeight="1">
      <c r="A28" s="8">
        <v>44493</v>
      </c>
      <c r="B28" s="57"/>
      <c r="C28" s="57"/>
      <c r="D28" s="21">
        <v>213.8</v>
      </c>
      <c r="E28" s="29">
        <v>949</v>
      </c>
      <c r="F28" s="24">
        <v>213.6</v>
      </c>
      <c r="G28" s="11">
        <v>928.43</v>
      </c>
      <c r="H28" s="9">
        <v>120</v>
      </c>
      <c r="I28" s="23">
        <v>0</v>
      </c>
      <c r="J28" s="1">
        <v>50</v>
      </c>
      <c r="K28" s="1">
        <v>70</v>
      </c>
      <c r="L28" s="23">
        <v>0</v>
      </c>
      <c r="M28" s="23">
        <f t="shared" si="0"/>
        <v>120</v>
      </c>
      <c r="N28" s="2"/>
    </row>
    <row r="29" spans="1:15" ht="19.5" customHeight="1">
      <c r="A29" s="8">
        <v>44494</v>
      </c>
      <c r="B29" s="57"/>
      <c r="C29" s="57"/>
      <c r="D29" s="21">
        <v>213.8</v>
      </c>
      <c r="E29" s="29">
        <v>949</v>
      </c>
      <c r="F29" s="24">
        <v>213.58</v>
      </c>
      <c r="G29" s="11">
        <v>925.95</v>
      </c>
      <c r="H29" s="9">
        <v>92</v>
      </c>
      <c r="I29" s="23">
        <v>0</v>
      </c>
      <c r="J29" s="1">
        <v>50</v>
      </c>
      <c r="K29" s="1">
        <v>70</v>
      </c>
      <c r="L29" s="23">
        <v>0</v>
      </c>
      <c r="M29" s="23">
        <f t="shared" si="0"/>
        <v>120</v>
      </c>
      <c r="N29" s="2"/>
    </row>
    <row r="30" spans="1:15" ht="19.5" customHeight="1">
      <c r="A30" s="8">
        <v>44495</v>
      </c>
      <c r="B30" s="57"/>
      <c r="C30" s="57"/>
      <c r="D30" s="21">
        <v>213.8</v>
      </c>
      <c r="E30" s="29">
        <v>949</v>
      </c>
      <c r="F30" s="24">
        <v>213.58</v>
      </c>
      <c r="G30" s="11">
        <v>925.95</v>
      </c>
      <c r="H30" s="9">
        <v>120</v>
      </c>
      <c r="I30" s="23">
        <v>0</v>
      </c>
      <c r="J30" s="1">
        <v>50</v>
      </c>
      <c r="K30" s="1">
        <v>70</v>
      </c>
      <c r="L30" s="23">
        <v>0</v>
      </c>
      <c r="M30" s="23">
        <f t="shared" si="0"/>
        <v>120</v>
      </c>
      <c r="N30" s="2"/>
    </row>
    <row r="31" spans="1:15" ht="21" customHeight="1">
      <c r="A31" s="8">
        <v>44496</v>
      </c>
      <c r="B31" s="57"/>
      <c r="C31" s="57"/>
      <c r="D31" s="21">
        <v>213.8</v>
      </c>
      <c r="E31" s="29">
        <v>949</v>
      </c>
      <c r="F31" s="24">
        <v>213.56</v>
      </c>
      <c r="G31" s="11">
        <v>923.84</v>
      </c>
      <c r="H31" s="9">
        <v>95</v>
      </c>
      <c r="I31" s="23">
        <v>0</v>
      </c>
      <c r="J31" s="1">
        <v>50</v>
      </c>
      <c r="K31" s="1">
        <v>70</v>
      </c>
      <c r="L31" s="23">
        <v>0</v>
      </c>
      <c r="M31" s="23">
        <f t="shared" si="0"/>
        <v>120</v>
      </c>
      <c r="N31" s="2"/>
    </row>
    <row r="32" spans="1:15" ht="21" customHeight="1">
      <c r="A32" s="8">
        <v>44497</v>
      </c>
      <c r="B32" s="57"/>
      <c r="C32" s="57"/>
      <c r="D32" s="21">
        <v>213.8</v>
      </c>
      <c r="E32" s="29">
        <v>949</v>
      </c>
      <c r="F32" s="24">
        <v>213.54</v>
      </c>
      <c r="G32" s="11">
        <v>921.72</v>
      </c>
      <c r="H32" s="9">
        <v>95</v>
      </c>
      <c r="I32" s="23">
        <v>0</v>
      </c>
      <c r="J32" s="1">
        <v>50</v>
      </c>
      <c r="K32" s="1">
        <v>70</v>
      </c>
      <c r="L32" s="23">
        <v>0</v>
      </c>
      <c r="M32" s="23">
        <f t="shared" si="0"/>
        <v>120</v>
      </c>
      <c r="N32" s="2"/>
    </row>
    <row r="33" spans="1:15" ht="21" customHeight="1">
      <c r="A33" s="8">
        <v>44498</v>
      </c>
      <c r="B33" s="57"/>
      <c r="C33" s="57"/>
      <c r="D33" s="21">
        <v>213.8</v>
      </c>
      <c r="E33" s="29">
        <v>949</v>
      </c>
      <c r="F33" s="24">
        <v>213.51</v>
      </c>
      <c r="G33" s="11">
        <v>918.54</v>
      </c>
      <c r="H33" s="9">
        <v>83</v>
      </c>
      <c r="I33" s="23">
        <v>0</v>
      </c>
      <c r="J33" s="1">
        <v>50</v>
      </c>
      <c r="K33" s="1">
        <v>70</v>
      </c>
      <c r="L33" s="23">
        <v>0</v>
      </c>
      <c r="M33" s="23">
        <f t="shared" si="0"/>
        <v>120</v>
      </c>
      <c r="N33" s="2"/>
    </row>
    <row r="34" spans="1:15" ht="21" customHeight="1">
      <c r="A34" s="8">
        <v>44499</v>
      </c>
      <c r="B34" s="57"/>
      <c r="C34" s="57"/>
      <c r="D34" s="21">
        <v>213.8</v>
      </c>
      <c r="E34" s="29">
        <v>949</v>
      </c>
      <c r="F34" s="24">
        <v>213.54</v>
      </c>
      <c r="G34" s="11">
        <v>921.72</v>
      </c>
      <c r="H34" s="9">
        <v>156</v>
      </c>
      <c r="I34" s="23">
        <v>0</v>
      </c>
      <c r="J34" s="1">
        <v>50</v>
      </c>
      <c r="K34" s="1">
        <v>70</v>
      </c>
      <c r="L34" s="23">
        <v>0</v>
      </c>
      <c r="M34" s="23">
        <f t="shared" si="0"/>
        <v>120</v>
      </c>
      <c r="N34" s="2"/>
    </row>
    <row r="35" spans="1:15" ht="21" customHeight="1">
      <c r="A35" s="8">
        <v>44500</v>
      </c>
      <c r="B35" s="58"/>
      <c r="C35" s="58"/>
      <c r="D35" s="22">
        <v>213.8</v>
      </c>
      <c r="E35" s="29">
        <v>949</v>
      </c>
      <c r="F35" s="24">
        <v>213.58</v>
      </c>
      <c r="G35" s="11">
        <v>925.95</v>
      </c>
      <c r="H35" s="9">
        <v>169</v>
      </c>
      <c r="I35" s="23">
        <v>0</v>
      </c>
      <c r="J35" s="1">
        <v>50</v>
      </c>
      <c r="K35" s="1">
        <v>70</v>
      </c>
      <c r="L35" s="23">
        <v>0</v>
      </c>
      <c r="M35" s="23">
        <f t="shared" si="0"/>
        <v>120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63">
        <f t="shared" ref="H36:M36" si="1">SUM(H5:H35)</f>
        <v>5193</v>
      </c>
      <c r="I36" s="63">
        <f t="shared" si="1"/>
        <v>1990</v>
      </c>
      <c r="J36" s="63">
        <f t="shared" si="1"/>
        <v>1760</v>
      </c>
      <c r="K36" s="63">
        <f t="shared" si="1"/>
        <v>1430</v>
      </c>
      <c r="L36" s="63">
        <f t="shared" si="1"/>
        <v>0</v>
      </c>
      <c r="M36" s="63">
        <f t="shared" si="1"/>
        <v>5180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27"/>
      <c r="M37" s="27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A40:D40"/>
    <mergeCell ref="J40:M40"/>
    <mergeCell ref="N3:N4"/>
    <mergeCell ref="B5:B35"/>
    <mergeCell ref="C5:C35"/>
    <mergeCell ref="A38:D38"/>
    <mergeCell ref="J38:M38"/>
    <mergeCell ref="A39:D39"/>
    <mergeCell ref="J39:M39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01"/>
  <sheetViews>
    <sheetView view="pageBreakPreview" topLeftCell="A19" zoomScale="60" workbookViewId="0">
      <selection activeCell="H35" sqref="H35:M35"/>
    </sheetView>
  </sheetViews>
  <sheetFormatPr defaultColWidth="14.42578125" defaultRowHeight="15" customHeight="1"/>
  <cols>
    <col min="1" max="1" width="12.42578125" style="26" customWidth="1"/>
    <col min="2" max="2" width="6.28515625" style="26" customWidth="1"/>
    <col min="3" max="3" width="5.140625" style="26" customWidth="1"/>
    <col min="4" max="4" width="10" style="26" customWidth="1"/>
    <col min="5" max="5" width="10" style="28" customWidth="1"/>
    <col min="6" max="7" width="8.7109375" style="26" customWidth="1"/>
    <col min="8" max="8" width="9.85546875" style="26" customWidth="1"/>
    <col min="9" max="9" width="8.7109375" style="26" customWidth="1"/>
    <col min="10" max="10" width="8.42578125" style="26" customWidth="1"/>
    <col min="11" max="11" width="8.7109375" style="26" customWidth="1"/>
    <col min="12" max="12" width="6.42578125" style="26" customWidth="1"/>
    <col min="13" max="13" width="8.5703125" style="26" customWidth="1"/>
    <col min="14" max="14" width="8.85546875" style="26" customWidth="1"/>
    <col min="15" max="16384" width="14.42578125" style="26"/>
  </cols>
  <sheetData>
    <row r="1" spans="1:17" ht="14.25" customHeight="1">
      <c r="A1" s="40" t="s">
        <v>31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7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7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7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7" ht="19.5" customHeight="1">
      <c r="A5" s="8">
        <v>44501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213.58</v>
      </c>
      <c r="G5" s="11">
        <v>925.95</v>
      </c>
      <c r="H5" s="9">
        <v>120</v>
      </c>
      <c r="I5" s="23">
        <v>0</v>
      </c>
      <c r="J5" s="1">
        <v>50</v>
      </c>
      <c r="K5" s="1">
        <v>70</v>
      </c>
      <c r="L5" s="23">
        <v>0</v>
      </c>
      <c r="M5" s="23">
        <f>L5+K5+J5+I5</f>
        <v>120</v>
      </c>
      <c r="N5" s="2"/>
      <c r="P5" s="39"/>
      <c r="Q5" s="39"/>
    </row>
    <row r="6" spans="1:17" ht="19.5" customHeight="1">
      <c r="A6" s="8">
        <v>44502</v>
      </c>
      <c r="B6" s="57"/>
      <c r="C6" s="57"/>
      <c r="D6" s="21">
        <v>213.8</v>
      </c>
      <c r="E6" s="29">
        <v>949</v>
      </c>
      <c r="F6" s="24">
        <v>213.58</v>
      </c>
      <c r="G6" s="11">
        <v>925.95</v>
      </c>
      <c r="H6" s="9">
        <v>120</v>
      </c>
      <c r="I6" s="23">
        <v>0</v>
      </c>
      <c r="J6" s="1">
        <v>50</v>
      </c>
      <c r="K6" s="1">
        <v>70</v>
      </c>
      <c r="L6" s="23">
        <v>0</v>
      </c>
      <c r="M6" s="23">
        <f t="shared" ref="M6:M34" si="0">L6+K6+J6+I6</f>
        <v>120</v>
      </c>
      <c r="N6" s="2"/>
      <c r="P6" s="39"/>
      <c r="Q6" s="39"/>
    </row>
    <row r="7" spans="1:17" ht="19.5" customHeight="1">
      <c r="A7" s="8">
        <v>44503</v>
      </c>
      <c r="B7" s="57"/>
      <c r="C7" s="57"/>
      <c r="D7" s="21">
        <v>213.8</v>
      </c>
      <c r="E7" s="29">
        <v>949</v>
      </c>
      <c r="F7" s="24">
        <v>213.63</v>
      </c>
      <c r="G7" s="11">
        <v>931.25</v>
      </c>
      <c r="H7" s="9">
        <v>181</v>
      </c>
      <c r="I7" s="23">
        <v>0</v>
      </c>
      <c r="J7" s="1">
        <v>50</v>
      </c>
      <c r="K7" s="1">
        <v>70</v>
      </c>
      <c r="L7" s="23">
        <v>0</v>
      </c>
      <c r="M7" s="23">
        <f t="shared" si="0"/>
        <v>120</v>
      </c>
      <c r="N7" s="2"/>
      <c r="P7" s="39"/>
      <c r="Q7" s="39"/>
    </row>
    <row r="8" spans="1:17" ht="19.5" customHeight="1">
      <c r="A8" s="8">
        <v>44504</v>
      </c>
      <c r="B8" s="57"/>
      <c r="C8" s="57"/>
      <c r="D8" s="21">
        <v>213.8</v>
      </c>
      <c r="E8" s="29">
        <v>949</v>
      </c>
      <c r="F8" s="24">
        <v>213.68</v>
      </c>
      <c r="G8" s="11">
        <v>936.553</v>
      </c>
      <c r="H8" s="9">
        <v>181</v>
      </c>
      <c r="I8" s="23">
        <v>0</v>
      </c>
      <c r="J8" s="1">
        <v>50</v>
      </c>
      <c r="K8" s="1">
        <v>70</v>
      </c>
      <c r="L8" s="23">
        <v>0</v>
      </c>
      <c r="M8" s="23">
        <f t="shared" si="0"/>
        <v>120</v>
      </c>
      <c r="N8" s="2"/>
      <c r="P8" s="39"/>
      <c r="Q8" s="39"/>
    </row>
    <row r="9" spans="1:17" ht="19.5" customHeight="1">
      <c r="A9" s="8">
        <v>44505</v>
      </c>
      <c r="B9" s="57"/>
      <c r="C9" s="57"/>
      <c r="D9" s="21">
        <v>213.8</v>
      </c>
      <c r="E9" s="29">
        <v>949</v>
      </c>
      <c r="F9" s="24">
        <v>213.7</v>
      </c>
      <c r="G9" s="11">
        <v>938.67200000000003</v>
      </c>
      <c r="H9" s="9">
        <v>144</v>
      </c>
      <c r="I9" s="23">
        <v>0</v>
      </c>
      <c r="J9" s="1">
        <v>50</v>
      </c>
      <c r="K9" s="1">
        <v>70</v>
      </c>
      <c r="L9" s="23">
        <v>0</v>
      </c>
      <c r="M9" s="23">
        <f t="shared" si="0"/>
        <v>120</v>
      </c>
      <c r="N9" s="2"/>
      <c r="P9" s="39"/>
      <c r="Q9" s="39"/>
    </row>
    <row r="10" spans="1:17" ht="19.5" customHeight="1">
      <c r="A10" s="8">
        <v>44506</v>
      </c>
      <c r="B10" s="57"/>
      <c r="C10" s="57"/>
      <c r="D10" s="21">
        <v>213.8</v>
      </c>
      <c r="E10" s="29">
        <v>949</v>
      </c>
      <c r="F10" s="24">
        <v>213.69</v>
      </c>
      <c r="G10" s="11">
        <v>937.61300000000006</v>
      </c>
      <c r="H10" s="9">
        <v>107</v>
      </c>
      <c r="I10" s="23">
        <v>0</v>
      </c>
      <c r="J10" s="1">
        <v>50</v>
      </c>
      <c r="K10" s="1">
        <v>70</v>
      </c>
      <c r="L10" s="23">
        <v>0</v>
      </c>
      <c r="M10" s="23">
        <f t="shared" si="0"/>
        <v>120</v>
      </c>
      <c r="N10" s="2"/>
      <c r="P10" s="39"/>
      <c r="Q10" s="39"/>
    </row>
    <row r="11" spans="1:17" ht="19.5" customHeight="1">
      <c r="A11" s="8">
        <v>44507</v>
      </c>
      <c r="B11" s="57"/>
      <c r="C11" s="57"/>
      <c r="D11" s="21">
        <v>213.8</v>
      </c>
      <c r="E11" s="29">
        <v>949</v>
      </c>
      <c r="F11" s="24">
        <v>213.69</v>
      </c>
      <c r="G11" s="11">
        <v>937.61300000000006</v>
      </c>
      <c r="H11" s="9">
        <v>95</v>
      </c>
      <c r="I11" s="23">
        <v>0</v>
      </c>
      <c r="J11" s="1">
        <v>50</v>
      </c>
      <c r="K11" s="1">
        <v>70</v>
      </c>
      <c r="L11" s="23">
        <v>0</v>
      </c>
      <c r="M11" s="23">
        <f t="shared" si="0"/>
        <v>120</v>
      </c>
      <c r="N11" s="2"/>
      <c r="P11" s="39"/>
      <c r="Q11" s="39"/>
    </row>
    <row r="12" spans="1:17" ht="19.5" customHeight="1">
      <c r="A12" s="8">
        <v>44508</v>
      </c>
      <c r="B12" s="57"/>
      <c r="C12" s="57"/>
      <c r="D12" s="21">
        <v>213.8</v>
      </c>
      <c r="E12" s="29">
        <v>949</v>
      </c>
      <c r="F12" s="24">
        <v>213.69</v>
      </c>
      <c r="G12" s="11">
        <v>937.61300000000006</v>
      </c>
      <c r="H12" s="9">
        <v>95</v>
      </c>
      <c r="I12" s="23">
        <v>0</v>
      </c>
      <c r="J12" s="1">
        <v>50</v>
      </c>
      <c r="K12" s="1">
        <v>70</v>
      </c>
      <c r="L12" s="23">
        <v>0</v>
      </c>
      <c r="M12" s="23">
        <f t="shared" si="0"/>
        <v>120</v>
      </c>
      <c r="N12" s="2"/>
      <c r="P12" s="39"/>
      <c r="Q12" s="39"/>
    </row>
    <row r="13" spans="1:17" ht="19.5" customHeight="1">
      <c r="A13" s="8">
        <v>44509</v>
      </c>
      <c r="B13" s="57"/>
      <c r="C13" s="57"/>
      <c r="D13" s="21">
        <v>213.8</v>
      </c>
      <c r="E13" s="29">
        <v>949</v>
      </c>
      <c r="F13" s="25">
        <v>213.68</v>
      </c>
      <c r="G13" s="24">
        <v>949</v>
      </c>
      <c r="H13" s="9">
        <v>107</v>
      </c>
      <c r="I13" s="23">
        <v>0</v>
      </c>
      <c r="J13" s="1">
        <v>50</v>
      </c>
      <c r="K13" s="1">
        <v>70</v>
      </c>
      <c r="L13" s="23">
        <v>0</v>
      </c>
      <c r="M13" s="23">
        <f t="shared" si="0"/>
        <v>120</v>
      </c>
      <c r="N13" s="2"/>
      <c r="P13" s="39"/>
      <c r="Q13" s="39"/>
    </row>
    <row r="14" spans="1:17" ht="19.5" customHeight="1">
      <c r="A14" s="8">
        <v>44510</v>
      </c>
      <c r="B14" s="57"/>
      <c r="C14" s="57"/>
      <c r="D14" s="21">
        <v>213.8</v>
      </c>
      <c r="E14" s="29">
        <v>949</v>
      </c>
      <c r="F14" s="24">
        <v>213.64</v>
      </c>
      <c r="G14" s="11">
        <v>932.31</v>
      </c>
      <c r="H14" s="9">
        <v>70</v>
      </c>
      <c r="I14" s="23">
        <v>0</v>
      </c>
      <c r="J14" s="1">
        <v>50</v>
      </c>
      <c r="K14" s="1">
        <v>70</v>
      </c>
      <c r="L14" s="23">
        <v>0</v>
      </c>
      <c r="M14" s="23">
        <f t="shared" si="0"/>
        <v>120</v>
      </c>
      <c r="N14" s="2"/>
      <c r="P14" s="39"/>
      <c r="Q14" s="39"/>
    </row>
    <row r="15" spans="1:17" ht="19.5" customHeight="1">
      <c r="A15" s="8">
        <v>44511</v>
      </c>
      <c r="B15" s="57"/>
      <c r="C15" s="57"/>
      <c r="D15" s="21">
        <v>213.8</v>
      </c>
      <c r="E15" s="29">
        <v>949</v>
      </c>
      <c r="F15" s="24">
        <v>213.64</v>
      </c>
      <c r="G15" s="11">
        <v>932.31</v>
      </c>
      <c r="H15" s="9">
        <v>120</v>
      </c>
      <c r="I15" s="23">
        <v>0</v>
      </c>
      <c r="J15" s="1">
        <v>50</v>
      </c>
      <c r="K15" s="1">
        <v>70</v>
      </c>
      <c r="L15" s="23">
        <v>0</v>
      </c>
      <c r="M15" s="23">
        <f t="shared" si="0"/>
        <v>120</v>
      </c>
      <c r="N15" s="2"/>
      <c r="P15" s="39"/>
      <c r="Q15" s="39"/>
    </row>
    <row r="16" spans="1:17" ht="19.5" customHeight="1">
      <c r="A16" s="8">
        <v>44512</v>
      </c>
      <c r="B16" s="57"/>
      <c r="C16" s="57"/>
      <c r="D16" s="21">
        <v>213.8</v>
      </c>
      <c r="E16" s="29">
        <v>949</v>
      </c>
      <c r="F16" s="24">
        <v>213.65</v>
      </c>
      <c r="G16" s="11">
        <v>933.37</v>
      </c>
      <c r="H16" s="9">
        <v>132</v>
      </c>
      <c r="I16" s="23">
        <v>0</v>
      </c>
      <c r="J16" s="1">
        <v>50</v>
      </c>
      <c r="K16" s="1">
        <v>70</v>
      </c>
      <c r="L16" s="23">
        <v>0</v>
      </c>
      <c r="M16" s="23">
        <f t="shared" si="0"/>
        <v>120</v>
      </c>
      <c r="N16" s="2"/>
      <c r="P16" s="39"/>
      <c r="Q16" s="39"/>
    </row>
    <row r="17" spans="1:17" ht="19.5" customHeight="1">
      <c r="A17" s="8">
        <v>44513</v>
      </c>
      <c r="B17" s="57"/>
      <c r="C17" s="57"/>
      <c r="D17" s="21">
        <v>213.8</v>
      </c>
      <c r="E17" s="29">
        <v>949</v>
      </c>
      <c r="F17" s="24">
        <v>213.76</v>
      </c>
      <c r="G17" s="11">
        <v>945.02</v>
      </c>
      <c r="H17" s="9">
        <v>348</v>
      </c>
      <c r="I17" s="23">
        <v>300</v>
      </c>
      <c r="J17" s="1">
        <v>0</v>
      </c>
      <c r="K17" s="1">
        <v>0</v>
      </c>
      <c r="L17" s="23">
        <v>0</v>
      </c>
      <c r="M17" s="23">
        <f t="shared" si="0"/>
        <v>300</v>
      </c>
      <c r="N17" s="2"/>
      <c r="P17" s="39"/>
      <c r="Q17" s="39"/>
    </row>
    <row r="18" spans="1:17" ht="19.5" customHeight="1">
      <c r="A18" s="8">
        <v>44514</v>
      </c>
      <c r="B18" s="57"/>
      <c r="C18" s="57"/>
      <c r="D18" s="21">
        <v>213.8</v>
      </c>
      <c r="E18" s="29">
        <v>949</v>
      </c>
      <c r="F18" s="24">
        <v>213.66</v>
      </c>
      <c r="G18" s="11">
        <v>934.43</v>
      </c>
      <c r="H18" s="9">
        <v>440</v>
      </c>
      <c r="I18" s="23">
        <v>1500</v>
      </c>
      <c r="J18" s="1">
        <v>0</v>
      </c>
      <c r="K18" s="1">
        <v>0</v>
      </c>
      <c r="L18" s="23">
        <v>0</v>
      </c>
      <c r="M18" s="23">
        <f t="shared" si="0"/>
        <v>1500</v>
      </c>
      <c r="N18" s="2"/>
      <c r="P18" s="39"/>
      <c r="Q18" s="39"/>
    </row>
    <row r="19" spans="1:17" ht="19.5" customHeight="1">
      <c r="A19" s="8">
        <v>44515</v>
      </c>
      <c r="B19" s="57"/>
      <c r="C19" s="57"/>
      <c r="D19" s="21">
        <v>213.8</v>
      </c>
      <c r="E19" s="29">
        <v>949</v>
      </c>
      <c r="F19" s="24">
        <v>213.26</v>
      </c>
      <c r="G19" s="11">
        <v>892.76</v>
      </c>
      <c r="H19" s="9">
        <v>320</v>
      </c>
      <c r="I19" s="23">
        <v>800</v>
      </c>
      <c r="J19" s="1">
        <v>0</v>
      </c>
      <c r="K19" s="1">
        <v>0</v>
      </c>
      <c r="L19" s="23">
        <v>0</v>
      </c>
      <c r="M19" s="23">
        <f t="shared" si="0"/>
        <v>800</v>
      </c>
      <c r="N19" s="2"/>
      <c r="P19" s="39"/>
      <c r="Q19" s="39"/>
    </row>
    <row r="20" spans="1:17" ht="19.5" customHeight="1">
      <c r="A20" s="8">
        <v>44516</v>
      </c>
      <c r="B20" s="57"/>
      <c r="C20" s="57"/>
      <c r="D20" s="21">
        <v>213.8</v>
      </c>
      <c r="E20" s="29">
        <v>949</v>
      </c>
      <c r="F20" s="24">
        <v>213.53</v>
      </c>
      <c r="G20" s="11">
        <v>920.66</v>
      </c>
      <c r="H20" s="9">
        <v>373</v>
      </c>
      <c r="I20" s="23">
        <v>0</v>
      </c>
      <c r="J20" s="1">
        <v>50</v>
      </c>
      <c r="K20" s="1">
        <v>0</v>
      </c>
      <c r="L20" s="23">
        <v>0</v>
      </c>
      <c r="M20" s="23">
        <f t="shared" si="0"/>
        <v>50</v>
      </c>
      <c r="N20" s="2"/>
      <c r="P20" s="39"/>
      <c r="Q20" s="39"/>
    </row>
    <row r="21" spans="1:17" ht="19.5" customHeight="1">
      <c r="A21" s="8">
        <v>44517</v>
      </c>
      <c r="B21" s="57"/>
      <c r="C21" s="57"/>
      <c r="D21" s="21">
        <v>213.8</v>
      </c>
      <c r="E21" s="29">
        <v>949</v>
      </c>
      <c r="F21" s="24">
        <v>213.53</v>
      </c>
      <c r="G21" s="11">
        <v>925.95</v>
      </c>
      <c r="H21" s="9">
        <v>261</v>
      </c>
      <c r="I21" s="23">
        <v>200</v>
      </c>
      <c r="J21" s="1">
        <v>0</v>
      </c>
      <c r="K21" s="1">
        <v>0</v>
      </c>
      <c r="L21" s="23">
        <v>0</v>
      </c>
      <c r="M21" s="23">
        <f t="shared" si="0"/>
        <v>200</v>
      </c>
      <c r="N21" s="2"/>
      <c r="P21" s="39"/>
      <c r="Q21" s="39"/>
    </row>
    <row r="22" spans="1:17" ht="19.5" customHeight="1">
      <c r="A22" s="8">
        <v>44518</v>
      </c>
      <c r="B22" s="57"/>
      <c r="C22" s="57"/>
      <c r="D22" s="21">
        <v>213.8</v>
      </c>
      <c r="E22" s="29">
        <v>949</v>
      </c>
      <c r="F22" s="24">
        <v>213.64</v>
      </c>
      <c r="G22" s="11">
        <v>932.32</v>
      </c>
      <c r="H22" s="9">
        <v>273</v>
      </c>
      <c r="I22" s="23">
        <v>0</v>
      </c>
      <c r="J22" s="1">
        <v>200</v>
      </c>
      <c r="K22" s="1">
        <v>0</v>
      </c>
      <c r="L22" s="23">
        <v>0</v>
      </c>
      <c r="M22" s="23">
        <f t="shared" si="0"/>
        <v>200</v>
      </c>
      <c r="N22" s="2"/>
      <c r="P22" s="39"/>
      <c r="Q22" s="39"/>
    </row>
    <row r="23" spans="1:17" ht="19.5" customHeight="1">
      <c r="A23" s="8">
        <v>44519</v>
      </c>
      <c r="B23" s="57"/>
      <c r="C23" s="57"/>
      <c r="D23" s="21">
        <v>213.8</v>
      </c>
      <c r="E23" s="29">
        <v>949</v>
      </c>
      <c r="F23" s="24">
        <v>213.4</v>
      </c>
      <c r="G23" s="11">
        <v>907.24</v>
      </c>
      <c r="H23" s="9">
        <v>210</v>
      </c>
      <c r="I23" s="23">
        <v>500</v>
      </c>
      <c r="J23" s="1">
        <v>0</v>
      </c>
      <c r="K23" s="1">
        <v>0</v>
      </c>
      <c r="L23" s="23">
        <v>0</v>
      </c>
      <c r="M23" s="23">
        <f t="shared" si="0"/>
        <v>500</v>
      </c>
      <c r="N23" s="2"/>
      <c r="P23" s="39"/>
      <c r="Q23" s="39"/>
    </row>
    <row r="24" spans="1:17" ht="19.5" customHeight="1">
      <c r="A24" s="8">
        <v>44520</v>
      </c>
      <c r="B24" s="57"/>
      <c r="C24" s="57"/>
      <c r="D24" s="21">
        <v>213.8</v>
      </c>
      <c r="E24" s="29">
        <v>949</v>
      </c>
      <c r="F24" s="24">
        <v>213.54</v>
      </c>
      <c r="G24" s="11">
        <v>921.72</v>
      </c>
      <c r="H24" s="9">
        <v>217</v>
      </c>
      <c r="I24" s="23">
        <v>0</v>
      </c>
      <c r="J24" s="1">
        <v>50</v>
      </c>
      <c r="K24" s="1">
        <v>0</v>
      </c>
      <c r="L24" s="23">
        <v>0</v>
      </c>
      <c r="M24" s="23">
        <f t="shared" si="0"/>
        <v>50</v>
      </c>
      <c r="N24" s="2"/>
      <c r="P24" s="39"/>
      <c r="Q24" s="39"/>
    </row>
    <row r="25" spans="1:17" ht="19.5" customHeight="1">
      <c r="A25" s="8">
        <v>44521</v>
      </c>
      <c r="B25" s="57"/>
      <c r="C25" s="57"/>
      <c r="D25" s="21">
        <v>213.8</v>
      </c>
      <c r="E25" s="29">
        <v>949</v>
      </c>
      <c r="F25" s="24">
        <v>213.45</v>
      </c>
      <c r="G25" s="11">
        <v>912.81600000000003</v>
      </c>
      <c r="H25" s="9">
        <v>190</v>
      </c>
      <c r="I25" s="23">
        <v>300</v>
      </c>
      <c r="J25" s="1">
        <v>0</v>
      </c>
      <c r="K25" s="1">
        <v>0</v>
      </c>
      <c r="L25" s="23">
        <v>0</v>
      </c>
      <c r="M25" s="23">
        <f t="shared" si="0"/>
        <v>300</v>
      </c>
      <c r="N25" s="2"/>
      <c r="P25" s="39"/>
      <c r="Q25" s="39"/>
    </row>
    <row r="26" spans="1:17" ht="19.5" customHeight="1">
      <c r="A26" s="8">
        <v>44522</v>
      </c>
      <c r="B26" s="57"/>
      <c r="C26" s="57"/>
      <c r="D26" s="21">
        <v>213.8</v>
      </c>
      <c r="E26" s="29">
        <v>949</v>
      </c>
      <c r="F26" s="24">
        <v>213.56</v>
      </c>
      <c r="G26" s="11">
        <v>923.84</v>
      </c>
      <c r="H26" s="9">
        <v>175</v>
      </c>
      <c r="I26" s="23">
        <v>0</v>
      </c>
      <c r="J26" s="1">
        <v>0</v>
      </c>
      <c r="K26" s="1">
        <v>40</v>
      </c>
      <c r="L26" s="23">
        <v>0</v>
      </c>
      <c r="M26" s="23">
        <f t="shared" si="0"/>
        <v>40</v>
      </c>
      <c r="N26" s="2"/>
      <c r="O26" s="17"/>
      <c r="P26" s="39"/>
      <c r="Q26" s="39"/>
    </row>
    <row r="27" spans="1:17" ht="19.5" customHeight="1">
      <c r="A27" s="8">
        <v>44523</v>
      </c>
      <c r="B27" s="57"/>
      <c r="C27" s="57"/>
      <c r="D27" s="21">
        <v>213.8</v>
      </c>
      <c r="E27" s="29">
        <v>949</v>
      </c>
      <c r="F27" s="24">
        <v>213.71</v>
      </c>
      <c r="G27" s="11">
        <v>939.73</v>
      </c>
      <c r="H27" s="9">
        <v>223</v>
      </c>
      <c r="I27" s="23">
        <v>0</v>
      </c>
      <c r="J27" s="1">
        <v>0</v>
      </c>
      <c r="K27" s="1">
        <v>40</v>
      </c>
      <c r="L27" s="23">
        <v>0</v>
      </c>
      <c r="M27" s="23">
        <f t="shared" si="0"/>
        <v>40</v>
      </c>
      <c r="N27" s="2"/>
      <c r="P27" s="39"/>
      <c r="Q27" s="39"/>
    </row>
    <row r="28" spans="1:17" ht="19.5" customHeight="1">
      <c r="A28" s="8">
        <v>44524</v>
      </c>
      <c r="B28" s="57"/>
      <c r="C28" s="57"/>
      <c r="D28" s="21">
        <v>213.8</v>
      </c>
      <c r="E28" s="29">
        <v>949</v>
      </c>
      <c r="F28" s="24">
        <v>213.33</v>
      </c>
      <c r="G28" s="11">
        <v>900.17</v>
      </c>
      <c r="H28" s="9">
        <v>242</v>
      </c>
      <c r="I28" s="23">
        <v>700</v>
      </c>
      <c r="J28" s="1">
        <v>0</v>
      </c>
      <c r="K28" s="1">
        <v>0</v>
      </c>
      <c r="L28" s="23">
        <v>0</v>
      </c>
      <c r="M28" s="23">
        <f t="shared" si="0"/>
        <v>700</v>
      </c>
      <c r="N28" s="2"/>
      <c r="P28" s="39"/>
      <c r="Q28" s="39"/>
    </row>
    <row r="29" spans="1:17" ht="19.5" customHeight="1">
      <c r="A29" s="8">
        <v>44525</v>
      </c>
      <c r="B29" s="57"/>
      <c r="C29" s="57"/>
      <c r="D29" s="21">
        <v>213.8</v>
      </c>
      <c r="E29" s="29">
        <v>949</v>
      </c>
      <c r="F29" s="25">
        <v>213.43</v>
      </c>
      <c r="G29" s="11">
        <v>910.42</v>
      </c>
      <c r="H29" s="9">
        <v>158</v>
      </c>
      <c r="I29" s="23">
        <v>0</v>
      </c>
      <c r="J29" s="1">
        <v>0</v>
      </c>
      <c r="K29" s="1">
        <v>40</v>
      </c>
      <c r="L29" s="23">
        <v>0</v>
      </c>
      <c r="M29" s="23">
        <f t="shared" si="0"/>
        <v>40</v>
      </c>
      <c r="N29" s="2"/>
      <c r="P29" s="39"/>
      <c r="Q29" s="39"/>
    </row>
    <row r="30" spans="1:17" ht="19.5" customHeight="1">
      <c r="A30" s="8">
        <v>44526</v>
      </c>
      <c r="B30" s="57"/>
      <c r="C30" s="57"/>
      <c r="D30" s="21">
        <v>213.8</v>
      </c>
      <c r="E30" s="29">
        <v>949</v>
      </c>
      <c r="F30" s="24">
        <v>213.51</v>
      </c>
      <c r="G30" s="11">
        <v>918.54300000000001</v>
      </c>
      <c r="H30" s="9">
        <v>13</v>
      </c>
      <c r="I30" s="23">
        <v>0</v>
      </c>
      <c r="J30" s="1">
        <v>0</v>
      </c>
      <c r="K30" s="1">
        <v>40</v>
      </c>
      <c r="L30" s="23">
        <v>0</v>
      </c>
      <c r="M30" s="23">
        <f t="shared" si="0"/>
        <v>40</v>
      </c>
      <c r="N30" s="2"/>
      <c r="P30" s="39"/>
      <c r="Q30" s="39"/>
    </row>
    <row r="31" spans="1:17" ht="21" customHeight="1">
      <c r="A31" s="8">
        <v>44527</v>
      </c>
      <c r="B31" s="57"/>
      <c r="C31" s="57"/>
      <c r="D31" s="21">
        <v>213.8</v>
      </c>
      <c r="E31" s="29">
        <v>949</v>
      </c>
      <c r="F31" s="24">
        <v>213.59</v>
      </c>
      <c r="G31" s="11">
        <v>927.01800000000003</v>
      </c>
      <c r="H31" s="9">
        <v>138</v>
      </c>
      <c r="I31" s="23">
        <v>0</v>
      </c>
      <c r="J31" s="1">
        <v>0</v>
      </c>
      <c r="K31" s="1">
        <v>40</v>
      </c>
      <c r="L31" s="23">
        <v>0</v>
      </c>
      <c r="M31" s="23">
        <f t="shared" si="0"/>
        <v>40</v>
      </c>
      <c r="N31" s="2"/>
      <c r="P31" s="39"/>
      <c r="Q31" s="39"/>
    </row>
    <row r="32" spans="1:17" ht="21" customHeight="1">
      <c r="A32" s="8">
        <v>44528</v>
      </c>
      <c r="B32" s="57"/>
      <c r="C32" s="57"/>
      <c r="D32" s="21">
        <v>213.8</v>
      </c>
      <c r="E32" s="29">
        <v>949</v>
      </c>
      <c r="F32" s="24">
        <v>213.66</v>
      </c>
      <c r="G32" s="11">
        <v>934.43399999999997</v>
      </c>
      <c r="H32" s="9">
        <v>125</v>
      </c>
      <c r="I32" s="23">
        <v>0</v>
      </c>
      <c r="J32" s="1">
        <v>0</v>
      </c>
      <c r="K32" s="1">
        <v>40</v>
      </c>
      <c r="L32" s="23">
        <v>0</v>
      </c>
      <c r="M32" s="23">
        <f t="shared" si="0"/>
        <v>40</v>
      </c>
      <c r="N32" s="2"/>
      <c r="P32" s="39"/>
      <c r="Q32" s="39"/>
    </row>
    <row r="33" spans="1:17" ht="21" customHeight="1">
      <c r="A33" s="8">
        <v>44529</v>
      </c>
      <c r="B33" s="57"/>
      <c r="C33" s="57"/>
      <c r="D33" s="21">
        <v>213.8</v>
      </c>
      <c r="E33" s="30">
        <v>949</v>
      </c>
      <c r="F33" s="24">
        <v>213.73</v>
      </c>
      <c r="G33" s="11">
        <v>941.851</v>
      </c>
      <c r="H33" s="9">
        <v>125</v>
      </c>
      <c r="I33" s="23">
        <v>0</v>
      </c>
      <c r="J33" s="1">
        <v>0</v>
      </c>
      <c r="K33" s="1">
        <v>40</v>
      </c>
      <c r="L33" s="23">
        <v>0</v>
      </c>
      <c r="M33" s="23">
        <f t="shared" si="0"/>
        <v>40</v>
      </c>
      <c r="N33" s="2"/>
      <c r="P33" s="39"/>
      <c r="Q33" s="39"/>
    </row>
    <row r="34" spans="1:17" ht="21" customHeight="1">
      <c r="A34" s="36">
        <v>44530</v>
      </c>
      <c r="B34" s="58"/>
      <c r="C34" s="58"/>
      <c r="D34" s="22">
        <v>213.8</v>
      </c>
      <c r="E34" s="29">
        <v>949</v>
      </c>
      <c r="F34" s="24">
        <v>213.38</v>
      </c>
      <c r="G34" s="11">
        <v>905.12</v>
      </c>
      <c r="H34" s="9">
        <v>174</v>
      </c>
      <c r="I34" s="23">
        <v>600</v>
      </c>
      <c r="J34" s="1">
        <v>0</v>
      </c>
      <c r="K34" s="1">
        <v>0</v>
      </c>
      <c r="L34" s="23">
        <v>0</v>
      </c>
      <c r="M34" s="23">
        <f t="shared" si="0"/>
        <v>600</v>
      </c>
      <c r="N34" s="2"/>
      <c r="P34" s="39"/>
      <c r="Q34" s="39"/>
    </row>
    <row r="35" spans="1:17" ht="21" customHeight="1">
      <c r="A35" s="12"/>
      <c r="B35" s="13"/>
      <c r="C35" s="13"/>
      <c r="D35" s="14"/>
      <c r="E35" s="31"/>
      <c r="F35" s="15"/>
      <c r="G35" s="14"/>
      <c r="H35" s="63">
        <f t="shared" ref="H35:M35" si="1">SUM(H4:H34)</f>
        <v>5477</v>
      </c>
      <c r="I35" s="63">
        <f t="shared" si="1"/>
        <v>4900</v>
      </c>
      <c r="J35" s="63">
        <f t="shared" si="1"/>
        <v>900</v>
      </c>
      <c r="K35" s="63">
        <f t="shared" si="1"/>
        <v>1120</v>
      </c>
      <c r="L35" s="63">
        <f t="shared" si="1"/>
        <v>0</v>
      </c>
      <c r="M35" s="63">
        <f t="shared" si="1"/>
        <v>6920</v>
      </c>
      <c r="N35" s="16"/>
      <c r="O35" s="18"/>
    </row>
    <row r="36" spans="1:17" ht="47.25" customHeight="1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27"/>
      <c r="M36" s="27"/>
      <c r="N36" s="7"/>
    </row>
    <row r="37" spans="1:17" ht="15.75" customHeight="1">
      <c r="A37" s="59" t="s">
        <v>9</v>
      </c>
      <c r="B37" s="54"/>
      <c r="C37" s="54"/>
      <c r="D37" s="54"/>
      <c r="J37" s="59" t="s">
        <v>10</v>
      </c>
      <c r="K37" s="54"/>
      <c r="L37" s="54"/>
      <c r="M37" s="54"/>
      <c r="N37" s="7"/>
    </row>
    <row r="38" spans="1:17" ht="15.75" customHeight="1">
      <c r="A38" s="60" t="s">
        <v>16</v>
      </c>
      <c r="B38" s="54"/>
      <c r="C38" s="54"/>
      <c r="D38" s="54"/>
      <c r="J38" s="60" t="s">
        <v>16</v>
      </c>
      <c r="K38" s="54"/>
      <c r="L38" s="54"/>
      <c r="M38" s="54"/>
      <c r="N38" s="7"/>
    </row>
    <row r="39" spans="1:17" ht="15.75" customHeight="1">
      <c r="A39" s="53" t="s">
        <v>17</v>
      </c>
      <c r="B39" s="54"/>
      <c r="C39" s="54"/>
      <c r="D39" s="54"/>
      <c r="J39" s="53" t="s">
        <v>17</v>
      </c>
      <c r="K39" s="54"/>
      <c r="L39" s="54"/>
      <c r="M39" s="54"/>
      <c r="N39" s="7"/>
    </row>
    <row r="40" spans="1:17" ht="15.75" customHeight="1">
      <c r="N40" s="7"/>
    </row>
    <row r="41" spans="1:17" ht="15.75" customHeight="1">
      <c r="N41" s="7"/>
    </row>
    <row r="42" spans="1:17" ht="15.75" customHeight="1">
      <c r="N42" s="7"/>
    </row>
    <row r="43" spans="1:17" ht="15.75" customHeight="1">
      <c r="N43" s="7"/>
    </row>
    <row r="44" spans="1:17" ht="15.75" customHeight="1">
      <c r="N44" s="7"/>
    </row>
    <row r="45" spans="1:17" ht="15.75" customHeight="1">
      <c r="N45" s="7"/>
    </row>
    <row r="46" spans="1:17" ht="15.75" customHeight="1">
      <c r="N46" s="7"/>
    </row>
    <row r="47" spans="1:17" ht="15.75" customHeight="1">
      <c r="N47" s="7"/>
    </row>
    <row r="48" spans="1:17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</sheetData>
  <mergeCells count="20">
    <mergeCell ref="A39:D39"/>
    <mergeCell ref="J39:M39"/>
    <mergeCell ref="N3:N4"/>
    <mergeCell ref="B5:B34"/>
    <mergeCell ref="C5:C34"/>
    <mergeCell ref="A37:D37"/>
    <mergeCell ref="J37:M37"/>
    <mergeCell ref="A38:D38"/>
    <mergeCell ref="J38:M38"/>
    <mergeCell ref="A1:N2"/>
    <mergeCell ref="A3:A4"/>
    <mergeCell ref="B3:B4"/>
    <mergeCell ref="C3:C4"/>
    <mergeCell ref="D3:D4"/>
    <mergeCell ref="F3:F4"/>
    <mergeCell ref="G3:G4"/>
    <mergeCell ref="H3:H4"/>
    <mergeCell ref="I3:L3"/>
    <mergeCell ref="M3:M4"/>
    <mergeCell ref="E3:E4"/>
  </mergeCells>
  <pageMargins left="0.7" right="0.7" top="0.75" bottom="0.75" header="0" footer="0"/>
  <pageSetup paperSize="9" scale="7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102"/>
  <sheetViews>
    <sheetView tabSelected="1" view="pageBreakPreview" topLeftCell="A21" zoomScale="60" workbookViewId="0">
      <selection activeCell="M36" sqref="M36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4" width="10" customWidth="1"/>
    <col min="5" max="5" width="10" style="28" customWidth="1"/>
    <col min="6" max="7" width="8.7109375" customWidth="1"/>
    <col min="8" max="8" width="9.85546875" customWidth="1"/>
    <col min="9" max="9" width="8.7109375" customWidth="1"/>
    <col min="10" max="10" width="8.42578125" customWidth="1"/>
    <col min="11" max="11" width="8.7109375" customWidth="1"/>
    <col min="12" max="12" width="6.42578125" customWidth="1"/>
    <col min="13" max="13" width="8.5703125" customWidth="1"/>
    <col min="14" max="14" width="8.85546875" customWidth="1"/>
  </cols>
  <sheetData>
    <row r="1" spans="1:14" ht="14.25" customHeight="1">
      <c r="A1" s="40" t="s">
        <v>32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</row>
    <row r="2" spans="1:14" ht="15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1:14" ht="14.25" customHeight="1">
      <c r="A3" s="46" t="s">
        <v>0</v>
      </c>
      <c r="B3" s="48" t="s">
        <v>1</v>
      </c>
      <c r="C3" s="48" t="s">
        <v>2</v>
      </c>
      <c r="D3" s="46" t="s">
        <v>3</v>
      </c>
      <c r="E3" s="46" t="s">
        <v>20</v>
      </c>
      <c r="F3" s="46" t="s">
        <v>4</v>
      </c>
      <c r="G3" s="46" t="s">
        <v>19</v>
      </c>
      <c r="H3" s="46" t="s">
        <v>5</v>
      </c>
      <c r="I3" s="49" t="s">
        <v>6</v>
      </c>
      <c r="J3" s="50"/>
      <c r="K3" s="50"/>
      <c r="L3" s="50"/>
      <c r="M3" s="51" t="s">
        <v>7</v>
      </c>
      <c r="N3" s="55" t="s">
        <v>8</v>
      </c>
    </row>
    <row r="4" spans="1:14" ht="51.75" customHeight="1">
      <c r="A4" s="47"/>
      <c r="B4" s="47"/>
      <c r="C4" s="47"/>
      <c r="D4" s="47"/>
      <c r="E4" s="52"/>
      <c r="F4" s="47"/>
      <c r="G4" s="47"/>
      <c r="H4" s="47"/>
      <c r="I4" s="10" t="s">
        <v>15</v>
      </c>
      <c r="J4" s="10" t="s">
        <v>13</v>
      </c>
      <c r="K4" s="19" t="s">
        <v>18</v>
      </c>
      <c r="L4" s="10" t="s">
        <v>14</v>
      </c>
      <c r="M4" s="47"/>
      <c r="N4" s="47"/>
    </row>
    <row r="5" spans="1:14" ht="19.5" customHeight="1">
      <c r="A5" s="8">
        <v>44531</v>
      </c>
      <c r="B5" s="56" t="s">
        <v>11</v>
      </c>
      <c r="C5" s="56" t="s">
        <v>12</v>
      </c>
      <c r="D5" s="21">
        <v>213.8</v>
      </c>
      <c r="E5" s="29">
        <v>949</v>
      </c>
      <c r="F5" s="24">
        <v>213.45</v>
      </c>
      <c r="G5" s="11">
        <v>912.18600000000004</v>
      </c>
      <c r="H5" s="9">
        <v>122</v>
      </c>
      <c r="I5" s="23">
        <v>0</v>
      </c>
      <c r="J5" s="1">
        <v>40</v>
      </c>
      <c r="K5" s="1">
        <v>0</v>
      </c>
      <c r="L5" s="23">
        <v>0</v>
      </c>
      <c r="M5" s="23">
        <f>L5+K5+J5+I5</f>
        <v>40</v>
      </c>
      <c r="N5" s="2"/>
    </row>
    <row r="6" spans="1:14" ht="19.5" customHeight="1">
      <c r="A6" s="8">
        <v>44532</v>
      </c>
      <c r="B6" s="57"/>
      <c r="C6" s="57"/>
      <c r="D6" s="21">
        <v>213.8</v>
      </c>
      <c r="E6" s="29">
        <v>949</v>
      </c>
      <c r="F6" s="24">
        <v>213.33</v>
      </c>
      <c r="G6" s="11">
        <v>900.17899999999997</v>
      </c>
      <c r="H6" s="9">
        <v>161</v>
      </c>
      <c r="I6" s="23">
        <v>300</v>
      </c>
      <c r="J6" s="1">
        <v>0</v>
      </c>
      <c r="K6" s="1">
        <v>0</v>
      </c>
      <c r="L6" s="23">
        <v>0</v>
      </c>
      <c r="M6" s="23">
        <f t="shared" ref="M6:M35" si="0">L6+K6+J6+I6</f>
        <v>300</v>
      </c>
      <c r="N6" s="2"/>
    </row>
    <row r="7" spans="1:14" ht="19.5" customHeight="1">
      <c r="A7" s="8">
        <v>44533</v>
      </c>
      <c r="B7" s="57"/>
      <c r="C7" s="57"/>
      <c r="D7" s="21">
        <v>213.8</v>
      </c>
      <c r="E7" s="29">
        <v>949</v>
      </c>
      <c r="F7" s="24">
        <v>213.36</v>
      </c>
      <c r="G7" s="11">
        <v>903.35699999999997</v>
      </c>
      <c r="H7" s="9">
        <v>236</v>
      </c>
      <c r="I7" s="23">
        <v>200</v>
      </c>
      <c r="J7" s="1">
        <v>0</v>
      </c>
      <c r="K7" s="1">
        <v>0</v>
      </c>
      <c r="L7" s="23">
        <v>0</v>
      </c>
      <c r="M7" s="23">
        <f t="shared" si="0"/>
        <v>200</v>
      </c>
      <c r="N7" s="2"/>
    </row>
    <row r="8" spans="1:14" ht="19.5" customHeight="1">
      <c r="A8" s="8">
        <v>44534</v>
      </c>
      <c r="B8" s="57"/>
      <c r="C8" s="57"/>
      <c r="D8" s="21">
        <v>213.8</v>
      </c>
      <c r="E8" s="29">
        <v>949</v>
      </c>
      <c r="F8" s="24">
        <v>213.01</v>
      </c>
      <c r="G8" s="11">
        <v>866.59</v>
      </c>
      <c r="H8" s="9">
        <v>20</v>
      </c>
      <c r="I8" s="23">
        <v>0</v>
      </c>
      <c r="J8" s="1">
        <v>20</v>
      </c>
      <c r="K8" s="1">
        <v>0</v>
      </c>
      <c r="L8" s="23">
        <v>0</v>
      </c>
      <c r="M8" s="23">
        <f t="shared" si="0"/>
        <v>20</v>
      </c>
      <c r="N8" s="2"/>
    </row>
    <row r="9" spans="1:14" ht="19.5" customHeight="1">
      <c r="A9" s="8">
        <v>44535</v>
      </c>
      <c r="B9" s="57"/>
      <c r="C9" s="57"/>
      <c r="D9" s="21">
        <v>213.8</v>
      </c>
      <c r="E9" s="29">
        <v>949</v>
      </c>
      <c r="F9" s="24">
        <v>213.01</v>
      </c>
      <c r="G9" s="11">
        <v>866.59</v>
      </c>
      <c r="H9" s="9">
        <v>20</v>
      </c>
      <c r="I9" s="23">
        <v>0</v>
      </c>
      <c r="J9" s="1">
        <v>20</v>
      </c>
      <c r="K9" s="1">
        <v>0</v>
      </c>
      <c r="L9" s="23">
        <v>0</v>
      </c>
      <c r="M9" s="23">
        <f t="shared" si="0"/>
        <v>20</v>
      </c>
      <c r="N9" s="2"/>
    </row>
    <row r="10" spans="1:14" ht="19.5" customHeight="1">
      <c r="A10" s="8">
        <v>44536</v>
      </c>
      <c r="B10" s="57"/>
      <c r="C10" s="57"/>
      <c r="D10" s="21">
        <v>213.8</v>
      </c>
      <c r="E10" s="29">
        <v>949</v>
      </c>
      <c r="F10" s="24">
        <v>213.01</v>
      </c>
      <c r="G10" s="11">
        <v>866.59</v>
      </c>
      <c r="H10" s="9">
        <v>20</v>
      </c>
      <c r="I10" s="23">
        <v>0</v>
      </c>
      <c r="J10" s="1">
        <v>20</v>
      </c>
      <c r="K10" s="1">
        <v>0</v>
      </c>
      <c r="L10" s="23">
        <v>0</v>
      </c>
      <c r="M10" s="23">
        <f t="shared" si="0"/>
        <v>20</v>
      </c>
      <c r="N10" s="2"/>
    </row>
    <row r="11" spans="1:14" ht="19.5" customHeight="1">
      <c r="A11" s="8">
        <v>44537</v>
      </c>
      <c r="B11" s="57"/>
      <c r="C11" s="57"/>
      <c r="D11" s="21">
        <v>213.8</v>
      </c>
      <c r="E11" s="29">
        <v>949</v>
      </c>
      <c r="F11" s="24">
        <v>213.15</v>
      </c>
      <c r="G11" s="11">
        <v>881.10900000000004</v>
      </c>
      <c r="H11" s="9">
        <v>89</v>
      </c>
      <c r="I11" s="23">
        <v>0</v>
      </c>
      <c r="J11" s="1">
        <v>20</v>
      </c>
      <c r="K11" s="1">
        <v>0</v>
      </c>
      <c r="L11" s="23">
        <v>0</v>
      </c>
      <c r="M11" s="23">
        <f t="shared" si="0"/>
        <v>20</v>
      </c>
      <c r="N11" s="2"/>
    </row>
    <row r="12" spans="1:14" ht="19.5" customHeight="1">
      <c r="A12" s="8">
        <v>44538</v>
      </c>
      <c r="B12" s="57"/>
      <c r="C12" s="57"/>
      <c r="D12" s="21">
        <v>213.8</v>
      </c>
      <c r="E12" s="29">
        <v>949</v>
      </c>
      <c r="F12" s="24">
        <v>213.23</v>
      </c>
      <c r="G12" s="11">
        <v>889.58399999999995</v>
      </c>
      <c r="H12" s="9">
        <v>118</v>
      </c>
      <c r="I12" s="23">
        <v>0</v>
      </c>
      <c r="J12" s="1">
        <v>20</v>
      </c>
      <c r="K12" s="1">
        <v>0</v>
      </c>
      <c r="L12" s="23">
        <v>0</v>
      </c>
      <c r="M12" s="23">
        <f t="shared" si="0"/>
        <v>20</v>
      </c>
      <c r="N12" s="2"/>
    </row>
    <row r="13" spans="1:14" ht="19.5" customHeight="1">
      <c r="A13" s="8">
        <v>44539</v>
      </c>
      <c r="B13" s="57"/>
      <c r="C13" s="57"/>
      <c r="D13" s="21">
        <v>213.8</v>
      </c>
      <c r="E13" s="29">
        <v>949</v>
      </c>
      <c r="F13" s="25">
        <v>213.26</v>
      </c>
      <c r="G13" s="24">
        <v>892.76300000000003</v>
      </c>
      <c r="H13" s="9">
        <v>56</v>
      </c>
      <c r="I13" s="23">
        <v>0</v>
      </c>
      <c r="J13" s="1">
        <v>20</v>
      </c>
      <c r="K13" s="1">
        <v>0</v>
      </c>
      <c r="L13" s="23">
        <v>0</v>
      </c>
      <c r="M13" s="23">
        <f t="shared" si="0"/>
        <v>20</v>
      </c>
      <c r="N13" s="2"/>
    </row>
    <row r="14" spans="1:14" ht="19.5" customHeight="1">
      <c r="A14" s="8">
        <v>44540</v>
      </c>
      <c r="B14" s="57"/>
      <c r="C14" s="57"/>
      <c r="D14" s="21">
        <v>213.8</v>
      </c>
      <c r="E14" s="29">
        <v>949</v>
      </c>
      <c r="F14" s="24">
        <v>213.36</v>
      </c>
      <c r="G14" s="11">
        <v>903.35699999999997</v>
      </c>
      <c r="H14" s="9">
        <v>142</v>
      </c>
      <c r="I14" s="23">
        <v>0</v>
      </c>
      <c r="J14" s="1">
        <v>20</v>
      </c>
      <c r="K14" s="1">
        <v>0</v>
      </c>
      <c r="L14" s="23">
        <v>0</v>
      </c>
      <c r="M14" s="23">
        <f t="shared" si="0"/>
        <v>20</v>
      </c>
      <c r="N14" s="2"/>
    </row>
    <row r="15" spans="1:14" ht="19.5" customHeight="1">
      <c r="A15" s="8">
        <v>44541</v>
      </c>
      <c r="B15" s="57"/>
      <c r="C15" s="57"/>
      <c r="D15" s="21">
        <v>213.8</v>
      </c>
      <c r="E15" s="29">
        <v>949</v>
      </c>
      <c r="F15" s="24">
        <v>213.4</v>
      </c>
      <c r="G15" s="11">
        <v>907.24199999999996</v>
      </c>
      <c r="H15" s="9">
        <v>65</v>
      </c>
      <c r="I15" s="23">
        <v>0</v>
      </c>
      <c r="J15" s="1">
        <v>20</v>
      </c>
      <c r="K15" s="1">
        <v>0</v>
      </c>
      <c r="L15" s="23">
        <v>0</v>
      </c>
      <c r="M15" s="23">
        <f t="shared" si="0"/>
        <v>20</v>
      </c>
      <c r="N15" s="2"/>
    </row>
    <row r="16" spans="1:14" ht="19.5" customHeight="1">
      <c r="A16" s="8">
        <v>44542</v>
      </c>
      <c r="B16" s="57"/>
      <c r="C16" s="57"/>
      <c r="D16" s="21">
        <v>213.8</v>
      </c>
      <c r="E16" s="29">
        <v>949</v>
      </c>
      <c r="F16" s="24">
        <v>213.46</v>
      </c>
      <c r="G16" s="11">
        <v>913.245</v>
      </c>
      <c r="H16" s="9">
        <v>89</v>
      </c>
      <c r="I16" s="23">
        <v>0</v>
      </c>
      <c r="J16" s="1">
        <v>20</v>
      </c>
      <c r="K16" s="1">
        <v>0</v>
      </c>
      <c r="L16" s="23">
        <v>0</v>
      </c>
      <c r="M16" s="23">
        <f t="shared" si="0"/>
        <v>20</v>
      </c>
      <c r="N16" s="2"/>
    </row>
    <row r="17" spans="1:15" ht="19.5" customHeight="1">
      <c r="A17" s="8">
        <v>44543</v>
      </c>
      <c r="B17" s="57"/>
      <c r="C17" s="57"/>
      <c r="D17" s="21">
        <v>213.8</v>
      </c>
      <c r="E17" s="29">
        <v>949</v>
      </c>
      <c r="F17" s="24">
        <v>213.51</v>
      </c>
      <c r="G17" s="11">
        <v>918.54300000000001</v>
      </c>
      <c r="H17" s="9">
        <v>81</v>
      </c>
      <c r="I17" s="23">
        <v>0</v>
      </c>
      <c r="J17" s="1">
        <v>20</v>
      </c>
      <c r="K17" s="1">
        <v>0</v>
      </c>
      <c r="L17" s="23">
        <v>0</v>
      </c>
      <c r="M17" s="23">
        <f t="shared" si="0"/>
        <v>20</v>
      </c>
      <c r="N17" s="2"/>
    </row>
    <row r="18" spans="1:15" ht="19.5" customHeight="1">
      <c r="A18" s="8">
        <v>44544</v>
      </c>
      <c r="B18" s="57"/>
      <c r="C18" s="57"/>
      <c r="D18" s="21">
        <v>213.8</v>
      </c>
      <c r="E18" s="29">
        <v>949</v>
      </c>
      <c r="F18" s="24">
        <v>213.58</v>
      </c>
      <c r="G18" s="11">
        <v>925.95899999999995</v>
      </c>
      <c r="H18" s="9">
        <v>105</v>
      </c>
      <c r="I18" s="23">
        <v>0</v>
      </c>
      <c r="J18" s="1">
        <v>20</v>
      </c>
      <c r="K18" s="1">
        <v>0</v>
      </c>
      <c r="L18" s="23">
        <v>0</v>
      </c>
      <c r="M18" s="23">
        <f t="shared" si="0"/>
        <v>20</v>
      </c>
      <c r="N18" s="2"/>
    </row>
    <row r="19" spans="1:15" ht="19.5" customHeight="1">
      <c r="A19" s="8">
        <v>44545</v>
      </c>
      <c r="B19" s="57"/>
      <c r="C19" s="57"/>
      <c r="D19" s="21">
        <v>213.8</v>
      </c>
      <c r="E19" s="29">
        <v>949</v>
      </c>
      <c r="F19" s="24">
        <v>213.61</v>
      </c>
      <c r="G19" s="11">
        <v>929.49</v>
      </c>
      <c r="H19" s="9">
        <v>60</v>
      </c>
      <c r="I19" s="23">
        <v>0</v>
      </c>
      <c r="J19" s="1">
        <v>20</v>
      </c>
      <c r="K19" s="1">
        <v>0</v>
      </c>
      <c r="L19" s="23">
        <v>0</v>
      </c>
      <c r="M19" s="23">
        <f t="shared" si="0"/>
        <v>20</v>
      </c>
      <c r="N19" s="2"/>
    </row>
    <row r="20" spans="1:15" ht="19.5" customHeight="1">
      <c r="A20" s="8">
        <v>44546</v>
      </c>
      <c r="B20" s="57"/>
      <c r="C20" s="57"/>
      <c r="D20" s="21">
        <v>213.8</v>
      </c>
      <c r="E20" s="29">
        <v>949</v>
      </c>
      <c r="F20" s="24">
        <v>213.64</v>
      </c>
      <c r="G20" s="11">
        <v>932.31299999999999</v>
      </c>
      <c r="H20" s="9">
        <v>52</v>
      </c>
      <c r="I20" s="23">
        <v>0</v>
      </c>
      <c r="J20" s="1">
        <v>20</v>
      </c>
      <c r="K20" s="1">
        <v>0</v>
      </c>
      <c r="L20" s="23">
        <v>0</v>
      </c>
      <c r="M20" s="23">
        <f t="shared" si="0"/>
        <v>20</v>
      </c>
      <c r="N20" s="2"/>
    </row>
    <row r="21" spans="1:15" ht="19.5" customHeight="1">
      <c r="A21" s="8">
        <v>44547</v>
      </c>
      <c r="B21" s="57"/>
      <c r="C21" s="57"/>
      <c r="D21" s="21">
        <v>213.8</v>
      </c>
      <c r="E21" s="29">
        <v>949</v>
      </c>
      <c r="F21" s="24">
        <v>213.68</v>
      </c>
      <c r="G21" s="11">
        <v>936.553</v>
      </c>
      <c r="H21" s="9">
        <v>69</v>
      </c>
      <c r="I21" s="23">
        <v>0</v>
      </c>
      <c r="J21" s="1">
        <v>20</v>
      </c>
      <c r="K21" s="1">
        <v>0</v>
      </c>
      <c r="L21" s="23">
        <v>0</v>
      </c>
      <c r="M21" s="23">
        <f t="shared" si="0"/>
        <v>20</v>
      </c>
      <c r="N21" s="2"/>
    </row>
    <row r="22" spans="1:15" ht="19.5" customHeight="1">
      <c r="A22" s="8">
        <v>44548</v>
      </c>
      <c r="B22" s="57"/>
      <c r="C22" s="57"/>
      <c r="D22" s="21">
        <v>213.8</v>
      </c>
      <c r="E22" s="29">
        <v>949</v>
      </c>
      <c r="F22" s="24">
        <v>213.7</v>
      </c>
      <c r="G22" s="11">
        <v>938.67200000000003</v>
      </c>
      <c r="H22" s="9">
        <v>44</v>
      </c>
      <c r="I22" s="23">
        <v>0</v>
      </c>
      <c r="J22" s="1">
        <v>20</v>
      </c>
      <c r="K22" s="1">
        <v>0</v>
      </c>
      <c r="L22" s="23">
        <v>0</v>
      </c>
      <c r="M22" s="23">
        <f t="shared" si="0"/>
        <v>20</v>
      </c>
      <c r="N22" s="2"/>
    </row>
    <row r="23" spans="1:15" ht="19.5" customHeight="1">
      <c r="A23" s="8">
        <v>44549</v>
      </c>
      <c r="B23" s="57"/>
      <c r="C23" s="57"/>
      <c r="D23" s="21">
        <v>213.8</v>
      </c>
      <c r="E23" s="29">
        <v>949</v>
      </c>
      <c r="F23" s="24">
        <v>213.73</v>
      </c>
      <c r="G23" s="11">
        <v>941.851</v>
      </c>
      <c r="H23" s="9">
        <v>57</v>
      </c>
      <c r="I23" s="23">
        <v>0</v>
      </c>
      <c r="J23" s="1">
        <v>20</v>
      </c>
      <c r="K23" s="1">
        <v>0</v>
      </c>
      <c r="L23" s="23">
        <v>0</v>
      </c>
      <c r="M23" s="23">
        <f t="shared" si="0"/>
        <v>20</v>
      </c>
      <c r="N23" s="2"/>
    </row>
    <row r="24" spans="1:15" ht="19.5" customHeight="1">
      <c r="A24" s="8">
        <v>44550</v>
      </c>
      <c r="B24" s="57"/>
      <c r="C24" s="57"/>
      <c r="D24" s="21">
        <v>213.8</v>
      </c>
      <c r="E24" s="29">
        <v>949</v>
      </c>
      <c r="F24" s="24">
        <v>213.76</v>
      </c>
      <c r="G24" s="11">
        <v>945.029</v>
      </c>
      <c r="H24" s="9">
        <v>66</v>
      </c>
      <c r="I24" s="23">
        <v>0</v>
      </c>
      <c r="J24" s="1">
        <v>30</v>
      </c>
      <c r="K24" s="1">
        <v>0</v>
      </c>
      <c r="L24" s="23">
        <v>0</v>
      </c>
      <c r="M24" s="23">
        <f t="shared" si="0"/>
        <v>30</v>
      </c>
      <c r="N24" s="2"/>
    </row>
    <row r="25" spans="1:15" ht="19.5" customHeight="1">
      <c r="A25" s="8">
        <v>44551</v>
      </c>
      <c r="B25" s="57"/>
      <c r="C25" s="57"/>
      <c r="D25" s="21">
        <v>213.8</v>
      </c>
      <c r="E25" s="29">
        <v>949</v>
      </c>
      <c r="F25" s="24">
        <v>213.76</v>
      </c>
      <c r="G25" s="11">
        <v>945.029</v>
      </c>
      <c r="H25" s="9">
        <v>70</v>
      </c>
      <c r="I25" s="23">
        <v>0</v>
      </c>
      <c r="J25" s="1">
        <v>70</v>
      </c>
      <c r="K25" s="1">
        <v>0</v>
      </c>
      <c r="L25" s="23">
        <v>0</v>
      </c>
      <c r="M25" s="23">
        <f t="shared" si="0"/>
        <v>70</v>
      </c>
      <c r="N25" s="2"/>
    </row>
    <row r="26" spans="1:15" ht="19.5" customHeight="1">
      <c r="A26" s="8">
        <v>44552</v>
      </c>
      <c r="B26" s="57"/>
      <c r="C26" s="57"/>
      <c r="D26" s="21">
        <v>213.8</v>
      </c>
      <c r="E26" s="29">
        <v>949</v>
      </c>
      <c r="F26" s="24">
        <v>213.73</v>
      </c>
      <c r="G26" s="11">
        <v>941.85</v>
      </c>
      <c r="H26" s="9">
        <v>33</v>
      </c>
      <c r="I26" s="23">
        <v>0</v>
      </c>
      <c r="J26" s="1">
        <v>70</v>
      </c>
      <c r="K26" s="1">
        <v>0</v>
      </c>
      <c r="L26" s="23">
        <v>0</v>
      </c>
      <c r="M26" s="23">
        <f t="shared" si="0"/>
        <v>70</v>
      </c>
      <c r="N26" s="2"/>
      <c r="O26" s="17"/>
    </row>
    <row r="27" spans="1:15" ht="19.5" customHeight="1">
      <c r="A27" s="8">
        <v>44553</v>
      </c>
      <c r="B27" s="57"/>
      <c r="C27" s="57"/>
      <c r="D27" s="21">
        <v>213.8</v>
      </c>
      <c r="E27" s="29">
        <v>949</v>
      </c>
      <c r="F27" s="24">
        <v>213.7</v>
      </c>
      <c r="G27" s="11">
        <v>938.67200000000003</v>
      </c>
      <c r="H27" s="9">
        <v>33</v>
      </c>
      <c r="I27" s="23">
        <v>0</v>
      </c>
      <c r="J27" s="1">
        <v>70</v>
      </c>
      <c r="K27" s="1">
        <v>0</v>
      </c>
      <c r="L27" s="23">
        <v>0</v>
      </c>
      <c r="M27" s="23">
        <f t="shared" si="0"/>
        <v>70</v>
      </c>
      <c r="N27" s="2"/>
    </row>
    <row r="28" spans="1:15" ht="19.5" customHeight="1">
      <c r="A28" s="8">
        <v>44554</v>
      </c>
      <c r="B28" s="57"/>
      <c r="C28" s="57"/>
      <c r="D28" s="21">
        <v>213.8</v>
      </c>
      <c r="E28" s="29">
        <v>949</v>
      </c>
      <c r="F28" s="24">
        <v>213.66</v>
      </c>
      <c r="G28" s="11">
        <v>934.43399999999997</v>
      </c>
      <c r="H28" s="9">
        <v>21</v>
      </c>
      <c r="I28" s="23">
        <v>0</v>
      </c>
      <c r="J28" s="1">
        <v>70</v>
      </c>
      <c r="K28" s="1">
        <v>0</v>
      </c>
      <c r="L28" s="23">
        <v>0</v>
      </c>
      <c r="M28" s="23">
        <f t="shared" si="0"/>
        <v>70</v>
      </c>
      <c r="N28" s="2"/>
    </row>
    <row r="29" spans="1:15" ht="19.5" customHeight="1">
      <c r="A29" s="8">
        <v>44555</v>
      </c>
      <c r="B29" s="57"/>
      <c r="C29" s="57"/>
      <c r="D29" s="21">
        <v>213.8</v>
      </c>
      <c r="E29" s="29">
        <v>949</v>
      </c>
      <c r="F29" s="24">
        <v>213.64</v>
      </c>
      <c r="G29" s="11">
        <v>932.31600000000003</v>
      </c>
      <c r="H29" s="9">
        <v>45</v>
      </c>
      <c r="I29" s="23">
        <v>0</v>
      </c>
      <c r="J29" s="1">
        <v>70</v>
      </c>
      <c r="K29" s="1">
        <v>0</v>
      </c>
      <c r="L29" s="23">
        <v>0</v>
      </c>
      <c r="M29" s="23">
        <f t="shared" si="0"/>
        <v>70</v>
      </c>
      <c r="N29" s="2"/>
    </row>
    <row r="30" spans="1:15" ht="19.5" customHeight="1">
      <c r="A30" s="8">
        <v>44556</v>
      </c>
      <c r="B30" s="57"/>
      <c r="C30" s="57"/>
      <c r="D30" s="21">
        <v>213.8</v>
      </c>
      <c r="E30" s="29">
        <v>949</v>
      </c>
      <c r="F30" s="24">
        <v>213.63</v>
      </c>
      <c r="G30" s="11">
        <v>931.25599999999997</v>
      </c>
      <c r="H30" s="9">
        <v>58</v>
      </c>
      <c r="I30" s="23">
        <v>0</v>
      </c>
      <c r="J30" s="1">
        <v>70</v>
      </c>
      <c r="K30" s="1">
        <v>0</v>
      </c>
      <c r="L30" s="23">
        <v>0</v>
      </c>
      <c r="M30" s="23">
        <f t="shared" si="0"/>
        <v>70</v>
      </c>
      <c r="N30" s="2"/>
    </row>
    <row r="31" spans="1:15" ht="21" customHeight="1">
      <c r="A31" s="8">
        <v>44557</v>
      </c>
      <c r="B31" s="57"/>
      <c r="C31" s="57"/>
      <c r="D31" s="21">
        <v>213.8</v>
      </c>
      <c r="E31" s="29">
        <v>949</v>
      </c>
      <c r="F31" s="24">
        <v>213.6</v>
      </c>
      <c r="G31" s="11">
        <v>928.43100000000004</v>
      </c>
      <c r="H31" s="9">
        <v>37</v>
      </c>
      <c r="I31" s="23">
        <v>0</v>
      </c>
      <c r="J31" s="1">
        <v>70</v>
      </c>
      <c r="K31" s="1">
        <v>0</v>
      </c>
      <c r="L31" s="23">
        <v>0</v>
      </c>
      <c r="M31" s="23">
        <f t="shared" si="0"/>
        <v>70</v>
      </c>
      <c r="N31" s="2"/>
    </row>
    <row r="32" spans="1:15" ht="21" customHeight="1">
      <c r="A32" s="8">
        <v>44558</v>
      </c>
      <c r="B32" s="57"/>
      <c r="C32" s="57"/>
      <c r="D32" s="21">
        <v>213.8</v>
      </c>
      <c r="E32" s="29">
        <v>949</v>
      </c>
      <c r="F32" s="24">
        <v>213.58</v>
      </c>
      <c r="G32" s="11">
        <v>926.31299999999999</v>
      </c>
      <c r="H32" s="9">
        <v>45</v>
      </c>
      <c r="I32" s="23">
        <v>0</v>
      </c>
      <c r="J32" s="1">
        <v>70</v>
      </c>
      <c r="K32" s="1">
        <v>0</v>
      </c>
      <c r="L32" s="23">
        <v>0</v>
      </c>
      <c r="M32" s="23">
        <f t="shared" si="0"/>
        <v>70</v>
      </c>
      <c r="N32" s="2"/>
    </row>
    <row r="33" spans="1:15" ht="21" customHeight="1">
      <c r="A33" s="8">
        <v>44559</v>
      </c>
      <c r="B33" s="57"/>
      <c r="C33" s="57"/>
      <c r="D33" s="21">
        <v>213.8</v>
      </c>
      <c r="E33" s="29">
        <v>949</v>
      </c>
      <c r="F33" s="24">
        <v>213.55</v>
      </c>
      <c r="G33" s="11">
        <v>922.78099999999995</v>
      </c>
      <c r="H33" s="9">
        <v>30</v>
      </c>
      <c r="I33" s="23">
        <v>0</v>
      </c>
      <c r="J33" s="1">
        <v>70</v>
      </c>
      <c r="K33" s="1">
        <v>0</v>
      </c>
      <c r="L33" s="23">
        <v>0</v>
      </c>
      <c r="M33" s="23">
        <f t="shared" si="0"/>
        <v>70</v>
      </c>
      <c r="N33" s="2"/>
    </row>
    <row r="34" spans="1:15" s="20" customFormat="1" ht="21" customHeight="1">
      <c r="A34" s="8">
        <v>44560</v>
      </c>
      <c r="B34" s="57"/>
      <c r="C34" s="57"/>
      <c r="D34" s="21">
        <v>213.8</v>
      </c>
      <c r="E34" s="29">
        <v>949</v>
      </c>
      <c r="F34" s="24">
        <v>213.54</v>
      </c>
      <c r="G34" s="11">
        <v>921.721</v>
      </c>
      <c r="H34" s="9">
        <v>57</v>
      </c>
      <c r="I34" s="23">
        <v>0</v>
      </c>
      <c r="J34" s="1">
        <v>70</v>
      </c>
      <c r="K34" s="1">
        <v>0</v>
      </c>
      <c r="L34" s="23">
        <v>0</v>
      </c>
      <c r="M34" s="23">
        <f t="shared" ref="M34" si="1">L34+K34+J34+I34</f>
        <v>70</v>
      </c>
      <c r="N34" s="2"/>
    </row>
    <row r="35" spans="1:15" ht="21" customHeight="1">
      <c r="A35" s="8">
        <v>44561</v>
      </c>
      <c r="B35" s="58"/>
      <c r="C35" s="58"/>
      <c r="D35" s="22">
        <v>213.8</v>
      </c>
      <c r="E35" s="29">
        <v>949</v>
      </c>
      <c r="F35" s="24">
        <v>213.5</v>
      </c>
      <c r="G35" s="11">
        <v>917.48400000000004</v>
      </c>
      <c r="H35" s="9">
        <v>20</v>
      </c>
      <c r="I35" s="23">
        <v>0</v>
      </c>
      <c r="J35" s="1">
        <v>70</v>
      </c>
      <c r="K35" s="1">
        <v>0</v>
      </c>
      <c r="L35" s="23">
        <v>0</v>
      </c>
      <c r="M35" s="23">
        <f t="shared" si="0"/>
        <v>70</v>
      </c>
      <c r="N35" s="2"/>
    </row>
    <row r="36" spans="1:15" ht="21" customHeight="1">
      <c r="A36" s="12"/>
      <c r="B36" s="13"/>
      <c r="C36" s="13"/>
      <c r="D36" s="14"/>
      <c r="E36" s="14"/>
      <c r="F36" s="15"/>
      <c r="G36" s="14"/>
      <c r="H36" s="63">
        <f t="shared" ref="H36:M36" si="2">SUM(H5:H35)</f>
        <v>2121</v>
      </c>
      <c r="I36" s="63">
        <f t="shared" si="2"/>
        <v>500</v>
      </c>
      <c r="J36" s="63">
        <f t="shared" si="2"/>
        <v>1160</v>
      </c>
      <c r="K36" s="63">
        <f t="shared" si="2"/>
        <v>0</v>
      </c>
      <c r="L36" s="63">
        <f t="shared" si="2"/>
        <v>0</v>
      </c>
      <c r="M36" s="63">
        <f t="shared" si="2"/>
        <v>1660</v>
      </c>
      <c r="N36" s="16"/>
      <c r="O36" s="18"/>
    </row>
    <row r="37" spans="1:15" ht="47.25" customHeight="1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6"/>
      <c r="M37" s="6"/>
      <c r="N37" s="7"/>
    </row>
    <row r="38" spans="1:15" ht="15.75" customHeight="1">
      <c r="A38" s="59" t="s">
        <v>9</v>
      </c>
      <c r="B38" s="54"/>
      <c r="C38" s="54"/>
      <c r="D38" s="54"/>
      <c r="J38" s="59" t="s">
        <v>10</v>
      </c>
      <c r="K38" s="54"/>
      <c r="L38" s="54"/>
      <c r="M38" s="54"/>
      <c r="N38" s="7"/>
    </row>
    <row r="39" spans="1:15" ht="15.75" customHeight="1">
      <c r="A39" s="60" t="s">
        <v>16</v>
      </c>
      <c r="B39" s="54"/>
      <c r="C39" s="54"/>
      <c r="D39" s="54"/>
      <c r="J39" s="60" t="s">
        <v>16</v>
      </c>
      <c r="K39" s="54"/>
      <c r="L39" s="54"/>
      <c r="M39" s="54"/>
      <c r="N39" s="7"/>
    </row>
    <row r="40" spans="1:15" ht="15.75" customHeight="1">
      <c r="A40" s="53" t="s">
        <v>17</v>
      </c>
      <c r="B40" s="54"/>
      <c r="C40" s="54"/>
      <c r="D40" s="54"/>
      <c r="J40" s="53" t="s">
        <v>17</v>
      </c>
      <c r="K40" s="54"/>
      <c r="L40" s="54"/>
      <c r="M40" s="54"/>
      <c r="N40" s="7"/>
    </row>
    <row r="41" spans="1:15" ht="15.75" customHeight="1">
      <c r="N41" s="7"/>
    </row>
    <row r="42" spans="1:15" ht="15.75" customHeight="1">
      <c r="N42" s="7"/>
    </row>
    <row r="43" spans="1:15" ht="15.75" customHeight="1">
      <c r="N43" s="7"/>
    </row>
    <row r="44" spans="1:15" ht="15.75" customHeight="1">
      <c r="N44" s="7"/>
    </row>
    <row r="45" spans="1:15" ht="15.75" customHeight="1">
      <c r="N45" s="7"/>
    </row>
    <row r="46" spans="1:15" ht="15.75" customHeight="1">
      <c r="N46" s="7"/>
    </row>
    <row r="47" spans="1:15" ht="15.75" customHeight="1">
      <c r="N47" s="7"/>
    </row>
    <row r="48" spans="1:15" ht="15.75" customHeight="1">
      <c r="N48" s="7"/>
    </row>
    <row r="49" spans="14:14" ht="15.75" customHeight="1">
      <c r="N49" s="7"/>
    </row>
    <row r="50" spans="14:14" ht="15.75" customHeight="1">
      <c r="N50" s="7"/>
    </row>
    <row r="51" spans="14:14" ht="15.75" customHeight="1">
      <c r="N51" s="7"/>
    </row>
    <row r="52" spans="14:14" ht="15.75" customHeight="1">
      <c r="N52" s="7"/>
    </row>
    <row r="53" spans="14:14" ht="15.75" customHeight="1">
      <c r="N53" s="7"/>
    </row>
    <row r="54" spans="14:14" ht="15.75" customHeight="1">
      <c r="N54" s="7"/>
    </row>
    <row r="55" spans="14:14" ht="15.75" customHeight="1">
      <c r="N55" s="7"/>
    </row>
    <row r="56" spans="14:14" ht="15.75" customHeight="1">
      <c r="N56" s="7"/>
    </row>
    <row r="57" spans="14:14" ht="15.75" customHeight="1">
      <c r="N57" s="7"/>
    </row>
    <row r="58" spans="14:14" ht="15.75" customHeight="1">
      <c r="N58" s="7"/>
    </row>
    <row r="59" spans="14:14" ht="15.75" customHeight="1">
      <c r="N59" s="7"/>
    </row>
    <row r="60" spans="14:14" ht="15.75" customHeight="1">
      <c r="N60" s="7"/>
    </row>
    <row r="61" spans="14:14" ht="15.75" customHeight="1">
      <c r="N61" s="7"/>
    </row>
    <row r="62" spans="14:14" ht="15.75" customHeight="1">
      <c r="N62" s="7"/>
    </row>
    <row r="63" spans="14:14" ht="15.75" customHeight="1">
      <c r="N63" s="7"/>
    </row>
    <row r="64" spans="14:14" ht="15.75" customHeight="1">
      <c r="N64" s="7"/>
    </row>
    <row r="65" spans="14:14" ht="15.75" customHeight="1">
      <c r="N65" s="7"/>
    </row>
    <row r="66" spans="14:14" ht="15.75" customHeight="1">
      <c r="N66" s="7"/>
    </row>
    <row r="67" spans="14:14" ht="15.75" customHeight="1">
      <c r="N67" s="7"/>
    </row>
    <row r="68" spans="14:14" ht="15.75" customHeight="1">
      <c r="N68" s="7"/>
    </row>
    <row r="69" spans="14:14" ht="15.75" customHeight="1">
      <c r="N69" s="7"/>
    </row>
    <row r="70" spans="14:14" ht="15.75" customHeight="1">
      <c r="N70" s="7"/>
    </row>
    <row r="71" spans="14:14" ht="15.75" customHeight="1">
      <c r="N71" s="7"/>
    </row>
    <row r="72" spans="14:14" ht="15.75" customHeight="1">
      <c r="N72" s="7"/>
    </row>
    <row r="73" spans="14:14" ht="15.75" customHeight="1">
      <c r="N73" s="7"/>
    </row>
    <row r="74" spans="14:14" ht="15.75" customHeight="1">
      <c r="N74" s="7"/>
    </row>
    <row r="75" spans="14:14" ht="15.75" customHeight="1">
      <c r="N75" s="7"/>
    </row>
    <row r="76" spans="14:14" ht="15.75" customHeight="1">
      <c r="N76" s="7"/>
    </row>
    <row r="77" spans="14:14" ht="15.75" customHeight="1">
      <c r="N77" s="7"/>
    </row>
    <row r="78" spans="14:14" ht="15.75" customHeight="1">
      <c r="N78" s="7"/>
    </row>
    <row r="79" spans="14:14" ht="15.75" customHeight="1">
      <c r="N79" s="7"/>
    </row>
    <row r="80" spans="14:14" ht="15.75" customHeight="1">
      <c r="N80" s="7"/>
    </row>
    <row r="81" spans="14:14" ht="15.75" customHeight="1">
      <c r="N81" s="7"/>
    </row>
    <row r="82" spans="14:14" ht="15.75" customHeight="1">
      <c r="N82" s="7"/>
    </row>
    <row r="83" spans="14:14" ht="15.75" customHeight="1">
      <c r="N83" s="7"/>
    </row>
    <row r="84" spans="14:14" ht="15.75" customHeight="1">
      <c r="N84" s="7"/>
    </row>
    <row r="85" spans="14:14" ht="15.75" customHeight="1">
      <c r="N85" s="7"/>
    </row>
    <row r="86" spans="14:14" ht="15.75" customHeight="1">
      <c r="N86" s="7"/>
    </row>
    <row r="87" spans="14:14" ht="15.75" customHeight="1">
      <c r="N87" s="7"/>
    </row>
    <row r="88" spans="14:14" ht="15.75" customHeight="1">
      <c r="N88" s="7"/>
    </row>
    <row r="89" spans="14:14" ht="15.75" customHeight="1">
      <c r="N89" s="7"/>
    </row>
    <row r="90" spans="14:14" ht="15.75" customHeight="1">
      <c r="N90" s="7"/>
    </row>
    <row r="91" spans="14:14" ht="15.75" customHeight="1">
      <c r="N91" s="7"/>
    </row>
    <row r="92" spans="14:14" ht="15.75" customHeight="1">
      <c r="N92" s="7"/>
    </row>
    <row r="93" spans="14:14" ht="15.75" customHeight="1">
      <c r="N93" s="7"/>
    </row>
    <row r="94" spans="14:14" ht="15.75" customHeight="1">
      <c r="N94" s="7"/>
    </row>
    <row r="95" spans="14:14" ht="15.75" customHeight="1">
      <c r="N95" s="7"/>
    </row>
    <row r="96" spans="14:14" ht="15.75" customHeight="1">
      <c r="N96" s="7"/>
    </row>
    <row r="97" spans="14:14" ht="15.75" customHeight="1">
      <c r="N97" s="7"/>
    </row>
    <row r="98" spans="14:14" ht="15.75" customHeight="1">
      <c r="N98" s="7"/>
    </row>
    <row r="99" spans="14:14" ht="15.75" customHeight="1">
      <c r="N99" s="7"/>
    </row>
    <row r="100" spans="14:14" ht="15.75" customHeight="1">
      <c r="N100" s="7"/>
    </row>
    <row r="101" spans="14:14" ht="15.75" customHeight="1">
      <c r="N101" s="7"/>
    </row>
    <row r="102" spans="14:14" ht="15.75" customHeight="1">
      <c r="N102" s="7"/>
    </row>
  </sheetData>
  <mergeCells count="20">
    <mergeCell ref="B5:B35"/>
    <mergeCell ref="C5:C35"/>
    <mergeCell ref="M3:M4"/>
    <mergeCell ref="C3:C4"/>
    <mergeCell ref="D3:D4"/>
    <mergeCell ref="F3:F4"/>
    <mergeCell ref="G3:G4"/>
    <mergeCell ref="H3:H4"/>
    <mergeCell ref="A40:D40"/>
    <mergeCell ref="J40:M40"/>
    <mergeCell ref="A38:D38"/>
    <mergeCell ref="J38:M38"/>
    <mergeCell ref="A39:D39"/>
    <mergeCell ref="J39:M39"/>
    <mergeCell ref="A1:N2"/>
    <mergeCell ref="N3:N4"/>
    <mergeCell ref="A3:A4"/>
    <mergeCell ref="B3:B4"/>
    <mergeCell ref="I3:L3"/>
    <mergeCell ref="E3:E4"/>
  </mergeCells>
  <pageMargins left="0.7" right="0.7" top="0.75" bottom="0.75" header="0" footer="0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 2021 </vt:lpstr>
      <vt:lpstr>FEBRUARY 2021</vt:lpstr>
      <vt:lpstr>MARCH 2021</vt:lpstr>
      <vt:lpstr>APRIL 2021</vt:lpstr>
      <vt:lpstr>MAY 2021</vt:lpstr>
      <vt:lpstr>JUNE 2021</vt:lpstr>
      <vt:lpstr>JULY 2021 </vt:lpstr>
      <vt:lpstr>AUGUST 2021</vt:lpstr>
      <vt:lpstr>SEPTEMBER 2021</vt:lpstr>
      <vt:lpstr>OCTOBER 2021</vt:lpstr>
      <vt:lpstr>NOVEMBER 2021 </vt:lpstr>
      <vt:lpstr>DECEMBER 2021</vt:lpstr>
      <vt:lpstr>'SEPTEMBER 2021'!Print_Area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2024-04-26T09:41:22Z</cp:lastPrinted>
  <dcterms:created xsi:type="dcterms:W3CDTF">2022-06-06T06:49:54Z</dcterms:created>
  <dcterms:modified xsi:type="dcterms:W3CDTF">2024-04-26T09:43:54Z</dcterms:modified>
</cp:coreProperties>
</file>