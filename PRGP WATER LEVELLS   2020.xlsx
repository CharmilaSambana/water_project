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3250" windowHeight="12450" activeTab="11"/>
  </bookViews>
  <sheets>
    <sheet name="JANUARY 2020" sheetId="12" r:id="rId1"/>
    <sheet name="FEBRUARY 2020" sheetId="11" r:id="rId2"/>
    <sheet name="MARCH 2020" sheetId="10" r:id="rId3"/>
    <sheet name="APRIL 2020" sheetId="9" r:id="rId4"/>
    <sheet name="MAY 2020" sheetId="8" r:id="rId5"/>
    <sheet name="JUNE 2020" sheetId="7" r:id="rId6"/>
    <sheet name="JULY 2020" sheetId="6" r:id="rId7"/>
    <sheet name="AUGUST 2020" sheetId="5" r:id="rId8"/>
    <sheet name="SEPTEMBER 2020" sheetId="4" r:id="rId9"/>
    <sheet name="OCTOBER 2020" sheetId="3" r:id="rId10"/>
    <sheet name="NOVEMBER 2020 " sheetId="2" r:id="rId11"/>
    <sheet name="DECEMBER 2020" sheetId="1" r:id="rId1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/>
  <c r="J36"/>
  <c r="K36"/>
  <c r="L36"/>
  <c r="M36"/>
  <c r="I35" i="2"/>
  <c r="J35"/>
  <c r="K35"/>
  <c r="L35"/>
  <c r="M35"/>
  <c r="I36" i="3"/>
  <c r="J36"/>
  <c r="K36"/>
  <c r="L36"/>
  <c r="M36"/>
  <c r="I35" i="4"/>
  <c r="J35"/>
  <c r="K35"/>
  <c r="L35"/>
  <c r="M35"/>
  <c r="I36" i="5"/>
  <c r="J36"/>
  <c r="K36"/>
  <c r="L36"/>
  <c r="M36"/>
  <c r="I36" i="6"/>
  <c r="J36"/>
  <c r="K36"/>
  <c r="L36"/>
  <c r="M36"/>
  <c r="I35" i="7"/>
  <c r="J35"/>
  <c r="K35"/>
  <c r="L35"/>
  <c r="M35"/>
  <c r="I36" i="8"/>
  <c r="J36"/>
  <c r="K36"/>
  <c r="L36"/>
  <c r="M36"/>
  <c r="I35" i="9"/>
  <c r="J35"/>
  <c r="K35"/>
  <c r="L35"/>
  <c r="M35"/>
  <c r="I36" i="10"/>
  <c r="J36"/>
  <c r="K36"/>
  <c r="L36"/>
  <c r="M36"/>
  <c r="I34" i="11"/>
  <c r="J34"/>
  <c r="K34"/>
  <c r="L34"/>
  <c r="M34"/>
  <c r="I36" i="12"/>
  <c r="J36"/>
  <c r="K36"/>
  <c r="L36"/>
  <c r="M36"/>
  <c r="G27" i="5"/>
  <c r="F27"/>
  <c r="M27"/>
  <c r="G23" i="10"/>
  <c r="F23"/>
  <c r="M33" i="11" l="1"/>
  <c r="K37" i="12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5" i="11"/>
  <c r="J35"/>
  <c r="H34"/>
  <c r="H35" s="1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10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9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8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7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6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5"/>
  <c r="J37"/>
  <c r="H36"/>
  <c r="H37" s="1"/>
  <c r="M35"/>
  <c r="M34"/>
  <c r="M33"/>
  <c r="M32"/>
  <c r="M31"/>
  <c r="M30"/>
  <c r="M29"/>
  <c r="M28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4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3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2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6" i="1"/>
  <c r="H37" s="1"/>
  <c r="J37"/>
  <c r="K37"/>
  <c r="M34" l="1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5"/>
  <c r="M5"/>
</calcChain>
</file>

<file path=xl/sharedStrings.xml><?xml version="1.0" encoding="utf-8"?>
<sst xmlns="http://schemas.openxmlformats.org/spreadsheetml/2006/main" count="289" uniqueCount="34">
  <si>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</si>
  <si>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</si>
  <si>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</si>
  <si>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</si>
  <si>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</si>
  <si>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</si>
  <si>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</si>
  <si>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</si>
  <si>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</si>
  <si>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</si>
  <si>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</si>
  <si>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</si>
  <si>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</si>
  <si>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</si>
  <si>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</si>
  <si>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</si>
  <si>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</si>
  <si>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</si>
  <si>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</si>
  <si>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</si>
  <si>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RIVER DISCHARGE PARTICULARS OF PEDDAGEDDA RESERVOIR PROJECT FOR THE MONTH OF JANUARY, 2020</t>
  </si>
  <si>
    <t>RIVER DISCHARGE PARTICULARS OF PEDDAGEDDA RESERVOIR PROJECT FOR THE MONTH OF FEBRUARY , 2020</t>
  </si>
  <si>
    <t>RIVER DISCHARGE PARTICULARS OF PEDDAGEDDA RESERVOIR PROJECT FOR THE MONTH OF MARCH, 2020</t>
  </si>
  <si>
    <t>RIVER DISCHARGE PARTICULARS OF PEDDAGEDDA RESERVOIR PROJECT FOR THE MONTH OF APRIL , 2020</t>
  </si>
  <si>
    <t>RIVER DISCHARGE PARTICULARS OF PEDDAGEDDA RESERVOIR PROJECT FOR THE MONTH OF DECEMBER, 2020</t>
  </si>
  <si>
    <t>RIVER DISCHARGE PARTICULARS OF PEDDAGEDDA RESERVOIR PROJECT FOR THE MONTH OF NOVEMBER, 2020</t>
  </si>
  <si>
    <t>RIVER DISCHARGE PARTICULARS OF PEDDAGEDDA RESERVOIR PROJECT FOR THE MONTH OF OCTOBER, 2020</t>
  </si>
  <si>
    <t>RIVER DISCHARGE PARTICULARS OF PEDDAGEDDA RESERVOIR PROJECT FOR THE MONTH OF SEPTEMBER, 2020</t>
  </si>
  <si>
    <t>RIVER DISCHARGE PARTICULARS OF PEDDAGEDDA RESERVOIR PROJECT FOR THE MONTH OF  AUGUST , 2020</t>
  </si>
  <si>
    <t>RIVER DISCHARGE PARTICULARS OF PEDDAGEDDA RESERVOIR PROJECT FOR THE MONTH OF JULY, 2020</t>
  </si>
  <si>
    <t>RIVER DISCHARGE PARTICULARS OF PEDDAGEDDA RESERVOIR PROJECT FOR THE MONTH OF JUNE, 2020</t>
  </si>
  <si>
    <t>RIVER DISCHARGE PARTICULARS OF PEDDAGEDDA RESERVOIR PROJECT FOR THE MONTH OF MAY, 2020</t>
  </si>
  <si>
    <t>Gross Capacity in Mcft</t>
  </si>
  <si>
    <t>629..39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</si>
</sst>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8" xfId="0" quotePrefix="1" applyNumberFormat="1" applyFont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 wrapText="1"/>
    </xf>
    <xf numFmtId="2" fontId="6" fillId="0" borderId="18" xfId="0" quotePrefix="1" applyNumberFormat="1" applyFont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/>
    </xf>
    <xf numFmtId="166" fontId="5" fillId="0" borderId="19" xfId="0" applyNumberFormat="1" applyFont="1" applyBorder="1" applyAlignment="1">
      <alignment horizontal="center" vertical="center"/>
    </xf>
    <xf numFmtId="164" fontId="6" fillId="0" borderId="20" xfId="0" quotePrefix="1" applyNumberFormat="1" applyFont="1" applyBorder="1" applyAlignment="1">
      <alignment horizontal="center" vertical="center" wrapText="1"/>
    </xf>
    <xf numFmtId="164" fontId="6" fillId="0" borderId="21" xfId="0" quotePrefix="1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6" fillId="0" borderId="12" xfId="0" applyNumberFormat="1" applyFont="1" applyFill="1" applyBorder="1" applyAlignment="1">
      <alignment horizontal="center" vertical="center" wrapText="1"/>
    </xf>
    <xf numFmtId="164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2" fillId="0" borderId="10" xfId="0" applyFont="1" applyBorder="1"/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24" zoomScale="60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43831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213.08</v>
      </c>
      <c r="G5" s="11">
        <v>873.67</v>
      </c>
      <c r="H5" s="9">
        <v>22</v>
      </c>
      <c r="I5" s="23">
        <v>0</v>
      </c>
      <c r="J5" s="1">
        <v>20</v>
      </c>
      <c r="K5" s="1">
        <v>15</v>
      </c>
      <c r="L5" s="23">
        <v>0</v>
      </c>
      <c r="M5" s="23">
        <f>L5+K5+J5+I5</f>
        <v>35</v>
      </c>
      <c r="N5" s="2"/>
    </row>
    <row r="6" spans="1:14" ht="19.5" customHeight="1">
      <c r="A6" s="8">
        <v>43832</v>
      </c>
      <c r="B6" s="45"/>
      <c r="C6" s="45"/>
      <c r="D6" s="21">
        <v>213.8</v>
      </c>
      <c r="E6" s="26">
        <v>949</v>
      </c>
      <c r="F6" s="24">
        <v>213.06</v>
      </c>
      <c r="G6" s="11">
        <v>871.55</v>
      </c>
      <c r="H6" s="9">
        <v>11</v>
      </c>
      <c r="I6" s="23">
        <v>0</v>
      </c>
      <c r="J6" s="1">
        <v>20</v>
      </c>
      <c r="K6" s="1">
        <v>15</v>
      </c>
      <c r="L6" s="23">
        <v>0</v>
      </c>
      <c r="M6" s="23">
        <f t="shared" ref="M6:M35" si="0">L6+K6+J6+I6</f>
        <v>35</v>
      </c>
      <c r="N6" s="2"/>
    </row>
    <row r="7" spans="1:14" ht="19.5" customHeight="1">
      <c r="A7" s="8">
        <v>43833</v>
      </c>
      <c r="B7" s="45"/>
      <c r="C7" s="45"/>
      <c r="D7" s="21">
        <v>213.8</v>
      </c>
      <c r="E7" s="26">
        <v>949</v>
      </c>
      <c r="F7" s="24">
        <v>213.04</v>
      </c>
      <c r="G7" s="11">
        <v>869.43</v>
      </c>
      <c r="H7" s="9">
        <v>11</v>
      </c>
      <c r="I7" s="23">
        <v>0</v>
      </c>
      <c r="J7" s="1">
        <v>20</v>
      </c>
      <c r="K7" s="1">
        <v>15</v>
      </c>
      <c r="L7" s="23">
        <v>0</v>
      </c>
      <c r="M7" s="23">
        <f t="shared" si="0"/>
        <v>35</v>
      </c>
      <c r="N7" s="2"/>
    </row>
    <row r="8" spans="1:14" ht="19.5" customHeight="1">
      <c r="A8" s="8">
        <v>43834</v>
      </c>
      <c r="B8" s="45"/>
      <c r="C8" s="45"/>
      <c r="D8" s="21">
        <v>213.8</v>
      </c>
      <c r="E8" s="26">
        <v>949</v>
      </c>
      <c r="F8" s="24">
        <v>213.03</v>
      </c>
      <c r="G8" s="11">
        <v>868.38</v>
      </c>
      <c r="H8" s="9">
        <v>22</v>
      </c>
      <c r="I8" s="23">
        <v>0</v>
      </c>
      <c r="J8" s="1">
        <v>20</v>
      </c>
      <c r="K8" s="1">
        <v>15</v>
      </c>
      <c r="L8" s="23">
        <v>0</v>
      </c>
      <c r="M8" s="23">
        <f t="shared" si="0"/>
        <v>35</v>
      </c>
      <c r="N8" s="2"/>
    </row>
    <row r="9" spans="1:14" ht="19.5" customHeight="1">
      <c r="A9" s="8">
        <v>43835</v>
      </c>
      <c r="B9" s="45"/>
      <c r="C9" s="45"/>
      <c r="D9" s="21">
        <v>213.8</v>
      </c>
      <c r="E9" s="26">
        <v>949</v>
      </c>
      <c r="F9" s="24">
        <v>213.03</v>
      </c>
      <c r="G9" s="11">
        <v>868.38</v>
      </c>
      <c r="H9" s="9">
        <v>35</v>
      </c>
      <c r="I9" s="23">
        <v>0</v>
      </c>
      <c r="J9" s="1">
        <v>20</v>
      </c>
      <c r="K9" s="1">
        <v>15</v>
      </c>
      <c r="L9" s="23">
        <v>0</v>
      </c>
      <c r="M9" s="23">
        <f t="shared" si="0"/>
        <v>35</v>
      </c>
      <c r="N9" s="2"/>
    </row>
    <row r="10" spans="1:14" ht="19.5" customHeight="1">
      <c r="A10" s="8">
        <v>43836</v>
      </c>
      <c r="B10" s="45"/>
      <c r="C10" s="45"/>
      <c r="D10" s="21">
        <v>213.8</v>
      </c>
      <c r="E10" s="26">
        <v>949</v>
      </c>
      <c r="F10" s="24">
        <v>213.03</v>
      </c>
      <c r="G10" s="11">
        <v>868.38</v>
      </c>
      <c r="H10" s="9">
        <v>35</v>
      </c>
      <c r="I10" s="23">
        <v>0</v>
      </c>
      <c r="J10" s="1">
        <v>20</v>
      </c>
      <c r="K10" s="1">
        <v>15</v>
      </c>
      <c r="L10" s="23">
        <v>0</v>
      </c>
      <c r="M10" s="23">
        <f t="shared" si="0"/>
        <v>35</v>
      </c>
      <c r="N10" s="2"/>
    </row>
    <row r="11" spans="1:14" ht="19.5" customHeight="1">
      <c r="A11" s="8">
        <v>43837</v>
      </c>
      <c r="B11" s="45"/>
      <c r="C11" s="45"/>
      <c r="D11" s="21">
        <v>213.8</v>
      </c>
      <c r="E11" s="26">
        <v>949</v>
      </c>
      <c r="F11" s="24">
        <v>213.03</v>
      </c>
      <c r="G11" s="11">
        <v>868.38</v>
      </c>
      <c r="H11" s="9">
        <v>35</v>
      </c>
      <c r="I11" s="23">
        <v>0</v>
      </c>
      <c r="J11" s="1">
        <v>20</v>
      </c>
      <c r="K11" s="1">
        <v>15</v>
      </c>
      <c r="L11" s="23">
        <v>0</v>
      </c>
      <c r="M11" s="23">
        <f t="shared" si="0"/>
        <v>35</v>
      </c>
      <c r="N11" s="2"/>
    </row>
    <row r="12" spans="1:14" ht="19.5" customHeight="1">
      <c r="A12" s="8">
        <v>43838</v>
      </c>
      <c r="B12" s="45"/>
      <c r="C12" s="45"/>
      <c r="D12" s="21">
        <v>213.8</v>
      </c>
      <c r="E12" s="26">
        <v>949</v>
      </c>
      <c r="F12" s="24">
        <v>213.03</v>
      </c>
      <c r="G12" s="11">
        <v>868.38</v>
      </c>
      <c r="H12" s="9">
        <v>35</v>
      </c>
      <c r="I12" s="23">
        <v>0</v>
      </c>
      <c r="J12" s="1">
        <v>20</v>
      </c>
      <c r="K12" s="1">
        <v>15</v>
      </c>
      <c r="L12" s="23">
        <v>0</v>
      </c>
      <c r="M12" s="23">
        <f t="shared" si="0"/>
        <v>35</v>
      </c>
      <c r="N12" s="2"/>
    </row>
    <row r="13" spans="1:14" ht="19.5" customHeight="1">
      <c r="A13" s="8">
        <v>43839</v>
      </c>
      <c r="B13" s="45"/>
      <c r="C13" s="45"/>
      <c r="D13" s="21">
        <v>213.8</v>
      </c>
      <c r="E13" s="26">
        <v>949</v>
      </c>
      <c r="F13" s="24">
        <v>213.03</v>
      </c>
      <c r="G13" s="11">
        <v>868.38</v>
      </c>
      <c r="H13" s="9">
        <v>35</v>
      </c>
      <c r="I13" s="23">
        <v>0</v>
      </c>
      <c r="J13" s="1">
        <v>20</v>
      </c>
      <c r="K13" s="1">
        <v>15</v>
      </c>
      <c r="L13" s="23">
        <v>0</v>
      </c>
      <c r="M13" s="23">
        <f t="shared" si="0"/>
        <v>35</v>
      </c>
      <c r="N13" s="2"/>
    </row>
    <row r="14" spans="1:14" ht="19.5" customHeight="1">
      <c r="A14" s="8">
        <v>43840</v>
      </c>
      <c r="B14" s="45"/>
      <c r="C14" s="45"/>
      <c r="D14" s="21">
        <v>213.8</v>
      </c>
      <c r="E14" s="26">
        <v>949</v>
      </c>
      <c r="F14" s="24">
        <v>213.01</v>
      </c>
      <c r="G14" s="11">
        <v>865.2</v>
      </c>
      <c r="H14" s="34">
        <v>0</v>
      </c>
      <c r="I14" s="23">
        <v>0</v>
      </c>
      <c r="J14" s="1">
        <v>20</v>
      </c>
      <c r="K14" s="1">
        <v>15</v>
      </c>
      <c r="L14" s="23">
        <v>0</v>
      </c>
      <c r="M14" s="23">
        <f t="shared" si="0"/>
        <v>35</v>
      </c>
      <c r="N14" s="2"/>
    </row>
    <row r="15" spans="1:14" ht="19.5" customHeight="1">
      <c r="A15" s="8">
        <v>43841</v>
      </c>
      <c r="B15" s="45"/>
      <c r="C15" s="45"/>
      <c r="D15" s="21">
        <v>213.8</v>
      </c>
      <c r="E15" s="26">
        <v>949</v>
      </c>
      <c r="F15" s="24">
        <v>212.99</v>
      </c>
      <c r="G15" s="11">
        <v>864.14</v>
      </c>
      <c r="H15" s="34">
        <v>0</v>
      </c>
      <c r="I15" s="23">
        <v>0</v>
      </c>
      <c r="J15" s="1">
        <v>20</v>
      </c>
      <c r="K15" s="1">
        <v>15</v>
      </c>
      <c r="L15" s="23">
        <v>0</v>
      </c>
      <c r="M15" s="23">
        <f t="shared" si="0"/>
        <v>35</v>
      </c>
      <c r="N15" s="2"/>
    </row>
    <row r="16" spans="1:14" ht="19.5" customHeight="1">
      <c r="A16" s="8">
        <v>43842</v>
      </c>
      <c r="B16" s="45"/>
      <c r="C16" s="45"/>
      <c r="D16" s="21">
        <v>213.8</v>
      </c>
      <c r="E16" s="26">
        <v>949</v>
      </c>
      <c r="F16" s="24">
        <v>212.95</v>
      </c>
      <c r="G16" s="11">
        <v>859.9</v>
      </c>
      <c r="H16" s="34">
        <v>0</v>
      </c>
      <c r="I16" s="23">
        <v>0</v>
      </c>
      <c r="J16" s="1">
        <v>25</v>
      </c>
      <c r="K16" s="1">
        <v>25</v>
      </c>
      <c r="L16" s="23">
        <v>0</v>
      </c>
      <c r="M16" s="23">
        <f t="shared" si="0"/>
        <v>50</v>
      </c>
      <c r="N16" s="2"/>
    </row>
    <row r="17" spans="1:15" ht="19.5" customHeight="1">
      <c r="A17" s="8">
        <v>43843</v>
      </c>
      <c r="B17" s="45"/>
      <c r="C17" s="45"/>
      <c r="D17" s="21">
        <v>213.8</v>
      </c>
      <c r="E17" s="26">
        <v>949</v>
      </c>
      <c r="F17" s="24">
        <v>212.9</v>
      </c>
      <c r="G17" s="11">
        <v>854.61</v>
      </c>
      <c r="H17" s="34">
        <v>0</v>
      </c>
      <c r="I17" s="23">
        <v>0</v>
      </c>
      <c r="J17" s="1">
        <v>30</v>
      </c>
      <c r="K17" s="1">
        <v>30</v>
      </c>
      <c r="L17" s="23">
        <v>0</v>
      </c>
      <c r="M17" s="23">
        <f t="shared" si="0"/>
        <v>60</v>
      </c>
      <c r="N17" s="2"/>
    </row>
    <row r="18" spans="1:15" ht="19.5" customHeight="1">
      <c r="A18" s="8">
        <v>43844</v>
      </c>
      <c r="B18" s="45"/>
      <c r="C18" s="45"/>
      <c r="D18" s="21">
        <v>213.8</v>
      </c>
      <c r="E18" s="26">
        <v>949</v>
      </c>
      <c r="F18" s="24">
        <v>212.85</v>
      </c>
      <c r="G18" s="11">
        <v>849.67</v>
      </c>
      <c r="H18" s="34">
        <v>0</v>
      </c>
      <c r="I18" s="23">
        <v>0</v>
      </c>
      <c r="J18" s="1">
        <v>30</v>
      </c>
      <c r="K18" s="1">
        <v>30</v>
      </c>
      <c r="L18" s="23">
        <v>0</v>
      </c>
      <c r="M18" s="23">
        <f t="shared" si="0"/>
        <v>60</v>
      </c>
      <c r="N18" s="2"/>
    </row>
    <row r="19" spans="1:15" ht="19.5" customHeight="1">
      <c r="A19" s="8">
        <v>43845</v>
      </c>
      <c r="B19" s="45"/>
      <c r="C19" s="45"/>
      <c r="D19" s="21">
        <v>213.8</v>
      </c>
      <c r="E19" s="26">
        <v>949</v>
      </c>
      <c r="F19" s="24">
        <v>212.8</v>
      </c>
      <c r="G19" s="11">
        <v>844.37</v>
      </c>
      <c r="H19" s="34">
        <v>0</v>
      </c>
      <c r="I19" s="23">
        <v>0</v>
      </c>
      <c r="J19" s="1">
        <v>30</v>
      </c>
      <c r="K19" s="1">
        <v>30</v>
      </c>
      <c r="L19" s="23">
        <v>0</v>
      </c>
      <c r="M19" s="23">
        <f t="shared" si="0"/>
        <v>60</v>
      </c>
      <c r="N19" s="2"/>
    </row>
    <row r="20" spans="1:15" ht="19.5" customHeight="1">
      <c r="A20" s="8">
        <v>43846</v>
      </c>
      <c r="B20" s="45"/>
      <c r="C20" s="45"/>
      <c r="D20" s="21">
        <v>213.8</v>
      </c>
      <c r="E20" s="26">
        <v>949</v>
      </c>
      <c r="F20" s="24">
        <v>212.76</v>
      </c>
      <c r="G20" s="11">
        <v>840.14</v>
      </c>
      <c r="H20" s="34">
        <v>0</v>
      </c>
      <c r="I20" s="23">
        <v>0</v>
      </c>
      <c r="J20" s="1">
        <v>25</v>
      </c>
      <c r="K20" s="1">
        <v>25</v>
      </c>
      <c r="L20" s="23">
        <v>0</v>
      </c>
      <c r="M20" s="23">
        <f t="shared" si="0"/>
        <v>50</v>
      </c>
      <c r="N20" s="2"/>
    </row>
    <row r="21" spans="1:15" ht="19.5" customHeight="1">
      <c r="A21" s="8">
        <v>43847</v>
      </c>
      <c r="B21" s="45"/>
      <c r="C21" s="45"/>
      <c r="D21" s="21">
        <v>213.8</v>
      </c>
      <c r="E21" s="26">
        <v>949</v>
      </c>
      <c r="F21" s="24">
        <v>212.71</v>
      </c>
      <c r="G21" s="11">
        <v>834.84</v>
      </c>
      <c r="H21" s="34">
        <v>0</v>
      </c>
      <c r="I21" s="23">
        <v>0</v>
      </c>
      <c r="J21" s="1">
        <v>30</v>
      </c>
      <c r="K21" s="1">
        <v>30</v>
      </c>
      <c r="L21" s="23">
        <v>0</v>
      </c>
      <c r="M21" s="23">
        <f t="shared" si="0"/>
        <v>60</v>
      </c>
      <c r="N21" s="2"/>
    </row>
    <row r="22" spans="1:15" ht="19.5" customHeight="1">
      <c r="A22" s="8">
        <v>43848</v>
      </c>
      <c r="B22" s="45"/>
      <c r="C22" s="45"/>
      <c r="D22" s="21">
        <v>213.8</v>
      </c>
      <c r="E22" s="26">
        <v>949</v>
      </c>
      <c r="F22" s="24">
        <v>212.66</v>
      </c>
      <c r="G22" s="11">
        <v>829.55</v>
      </c>
      <c r="H22" s="34">
        <v>0</v>
      </c>
      <c r="I22" s="23">
        <v>0</v>
      </c>
      <c r="J22" s="1">
        <v>30</v>
      </c>
      <c r="K22" s="1">
        <v>30</v>
      </c>
      <c r="L22" s="23">
        <v>0</v>
      </c>
      <c r="M22" s="23">
        <f t="shared" si="0"/>
        <v>60</v>
      </c>
      <c r="N22" s="2"/>
    </row>
    <row r="23" spans="1:15" ht="19.5" customHeight="1">
      <c r="A23" s="8">
        <v>43849</v>
      </c>
      <c r="B23" s="45"/>
      <c r="C23" s="45"/>
      <c r="D23" s="21">
        <v>213.8</v>
      </c>
      <c r="E23" s="26">
        <v>949</v>
      </c>
      <c r="F23" s="24">
        <v>212.61</v>
      </c>
      <c r="G23" s="11">
        <v>824.25</v>
      </c>
      <c r="H23" s="34">
        <v>0</v>
      </c>
      <c r="I23" s="23">
        <v>0</v>
      </c>
      <c r="J23" s="1">
        <v>30</v>
      </c>
      <c r="K23" s="1">
        <v>30</v>
      </c>
      <c r="L23" s="23">
        <v>0</v>
      </c>
      <c r="M23" s="23">
        <f t="shared" si="0"/>
        <v>60</v>
      </c>
      <c r="N23" s="2"/>
    </row>
    <row r="24" spans="1:15" ht="19.5" customHeight="1">
      <c r="A24" s="8">
        <v>43850</v>
      </c>
      <c r="B24" s="45"/>
      <c r="C24" s="45"/>
      <c r="D24" s="21">
        <v>213.8</v>
      </c>
      <c r="E24" s="26">
        <v>949</v>
      </c>
      <c r="F24" s="24">
        <v>212.58</v>
      </c>
      <c r="G24" s="11">
        <v>821.43</v>
      </c>
      <c r="H24" s="34">
        <v>0</v>
      </c>
      <c r="I24" s="23">
        <v>0</v>
      </c>
      <c r="J24" s="1">
        <v>15</v>
      </c>
      <c r="K24" s="1">
        <v>20</v>
      </c>
      <c r="L24" s="23">
        <v>0</v>
      </c>
      <c r="M24" s="23">
        <f t="shared" si="0"/>
        <v>35</v>
      </c>
      <c r="N24" s="2"/>
    </row>
    <row r="25" spans="1:15" ht="19.5" customHeight="1">
      <c r="A25" s="8">
        <v>43851</v>
      </c>
      <c r="B25" s="45"/>
      <c r="C25" s="45"/>
      <c r="D25" s="21">
        <v>213.8</v>
      </c>
      <c r="E25" s="26">
        <v>949</v>
      </c>
      <c r="F25" s="24">
        <v>2121.54</v>
      </c>
      <c r="G25" s="11">
        <v>817.19</v>
      </c>
      <c r="H25" s="34">
        <v>0</v>
      </c>
      <c r="I25" s="23">
        <v>0</v>
      </c>
      <c r="J25" s="1">
        <v>25</v>
      </c>
      <c r="K25" s="1">
        <v>25</v>
      </c>
      <c r="L25" s="23">
        <v>0</v>
      </c>
      <c r="M25" s="23">
        <f t="shared" si="0"/>
        <v>50</v>
      </c>
      <c r="N25" s="2"/>
    </row>
    <row r="26" spans="1:15" ht="19.5" customHeight="1">
      <c r="A26" s="8">
        <v>43852</v>
      </c>
      <c r="B26" s="45"/>
      <c r="C26" s="45"/>
      <c r="D26" s="21">
        <v>213.8</v>
      </c>
      <c r="E26" s="26">
        <v>949</v>
      </c>
      <c r="F26" s="24">
        <v>212.49</v>
      </c>
      <c r="G26" s="11">
        <v>811.9</v>
      </c>
      <c r="H26" s="34">
        <v>0</v>
      </c>
      <c r="I26" s="23">
        <v>0</v>
      </c>
      <c r="J26" s="1">
        <v>30</v>
      </c>
      <c r="K26" s="1">
        <v>30</v>
      </c>
      <c r="L26" s="23">
        <v>0</v>
      </c>
      <c r="M26" s="23">
        <f t="shared" si="0"/>
        <v>60</v>
      </c>
      <c r="N26" s="2"/>
      <c r="O26" s="18"/>
    </row>
    <row r="27" spans="1:15" ht="19.5" customHeight="1">
      <c r="A27" s="8">
        <v>43853</v>
      </c>
      <c r="B27" s="45"/>
      <c r="C27" s="45"/>
      <c r="D27" s="21">
        <v>213.8</v>
      </c>
      <c r="E27" s="26">
        <v>949</v>
      </c>
      <c r="F27" s="24">
        <v>212.43</v>
      </c>
      <c r="G27" s="11">
        <v>805.54</v>
      </c>
      <c r="H27" s="34">
        <v>0</v>
      </c>
      <c r="I27" s="23">
        <v>0</v>
      </c>
      <c r="J27" s="1">
        <v>40</v>
      </c>
      <c r="K27" s="1">
        <v>30</v>
      </c>
      <c r="L27" s="23">
        <v>0</v>
      </c>
      <c r="M27" s="23">
        <f t="shared" si="0"/>
        <v>70</v>
      </c>
      <c r="N27" s="2"/>
    </row>
    <row r="28" spans="1:15" ht="19.5" customHeight="1">
      <c r="A28" s="8">
        <v>43854</v>
      </c>
      <c r="B28" s="45"/>
      <c r="C28" s="45"/>
      <c r="D28" s="21">
        <v>213.8</v>
      </c>
      <c r="E28" s="26">
        <v>949</v>
      </c>
      <c r="F28" s="24">
        <v>212.39</v>
      </c>
      <c r="G28" s="11">
        <v>801.31</v>
      </c>
      <c r="H28" s="34">
        <v>0</v>
      </c>
      <c r="I28" s="23">
        <v>0</v>
      </c>
      <c r="J28" s="1">
        <v>30</v>
      </c>
      <c r="K28" s="1">
        <v>20</v>
      </c>
      <c r="L28" s="23">
        <v>0</v>
      </c>
      <c r="M28" s="23">
        <f t="shared" si="0"/>
        <v>50</v>
      </c>
      <c r="N28" s="2"/>
    </row>
    <row r="29" spans="1:15" ht="19.5" customHeight="1">
      <c r="A29" s="8">
        <v>43855</v>
      </c>
      <c r="B29" s="45"/>
      <c r="C29" s="45"/>
      <c r="D29" s="21">
        <v>213.8</v>
      </c>
      <c r="E29" s="26">
        <v>949</v>
      </c>
      <c r="F29" s="24">
        <v>212.35</v>
      </c>
      <c r="G29" s="11">
        <v>797.42</v>
      </c>
      <c r="H29" s="34">
        <v>0</v>
      </c>
      <c r="I29" s="23">
        <v>0</v>
      </c>
      <c r="J29" s="1">
        <v>20</v>
      </c>
      <c r="K29" s="1">
        <v>25</v>
      </c>
      <c r="L29" s="23">
        <v>0</v>
      </c>
      <c r="M29" s="23">
        <f t="shared" si="0"/>
        <v>45</v>
      </c>
      <c r="N29" s="2"/>
    </row>
    <row r="30" spans="1:15" ht="19.5" customHeight="1">
      <c r="A30" s="8">
        <v>43856</v>
      </c>
      <c r="B30" s="45"/>
      <c r="C30" s="45"/>
      <c r="D30" s="21">
        <v>213.8</v>
      </c>
      <c r="E30" s="26">
        <v>949</v>
      </c>
      <c r="F30" s="24">
        <v>212.31</v>
      </c>
      <c r="G30" s="11">
        <v>797.42</v>
      </c>
      <c r="H30" s="34">
        <v>0</v>
      </c>
      <c r="I30" s="23">
        <v>0</v>
      </c>
      <c r="J30" s="1">
        <v>25</v>
      </c>
      <c r="K30" s="1">
        <v>20</v>
      </c>
      <c r="L30" s="23">
        <v>0</v>
      </c>
      <c r="M30" s="23">
        <f t="shared" si="0"/>
        <v>45</v>
      </c>
      <c r="N30" s="2"/>
    </row>
    <row r="31" spans="1:15" ht="21" customHeight="1">
      <c r="A31" s="8">
        <v>43857</v>
      </c>
      <c r="B31" s="45"/>
      <c r="C31" s="45"/>
      <c r="D31" s="21">
        <v>213.8</v>
      </c>
      <c r="E31" s="26">
        <v>949</v>
      </c>
      <c r="F31" s="24">
        <v>212.26</v>
      </c>
      <c r="G31" s="11">
        <v>787.89</v>
      </c>
      <c r="H31" s="34">
        <v>0</v>
      </c>
      <c r="I31" s="23">
        <v>0</v>
      </c>
      <c r="J31" s="1">
        <v>35</v>
      </c>
      <c r="K31" s="1">
        <v>25</v>
      </c>
      <c r="L31" s="23">
        <v>0</v>
      </c>
      <c r="M31" s="23">
        <f t="shared" si="0"/>
        <v>60</v>
      </c>
      <c r="N31" s="2"/>
    </row>
    <row r="32" spans="1:15" ht="21" customHeight="1">
      <c r="A32" s="8">
        <v>43858</v>
      </c>
      <c r="B32" s="45"/>
      <c r="C32" s="45"/>
      <c r="D32" s="21">
        <v>213.8</v>
      </c>
      <c r="E32" s="26">
        <v>949</v>
      </c>
      <c r="F32" s="24">
        <v>212.23</v>
      </c>
      <c r="G32" s="11">
        <v>784.71</v>
      </c>
      <c r="H32" s="34">
        <v>0</v>
      </c>
      <c r="I32" s="23">
        <v>0</v>
      </c>
      <c r="J32" s="1">
        <v>20</v>
      </c>
      <c r="K32" s="1">
        <v>15</v>
      </c>
      <c r="L32" s="23">
        <v>0</v>
      </c>
      <c r="M32" s="23">
        <f t="shared" si="0"/>
        <v>35</v>
      </c>
      <c r="N32" s="2"/>
    </row>
    <row r="33" spans="1:15" ht="21" customHeight="1">
      <c r="A33" s="8">
        <v>43859</v>
      </c>
      <c r="B33" s="45"/>
      <c r="C33" s="45"/>
      <c r="D33" s="21">
        <v>213.8</v>
      </c>
      <c r="E33" s="26">
        <v>949</v>
      </c>
      <c r="F33" s="24">
        <v>212.16</v>
      </c>
      <c r="G33" s="11">
        <v>777.3</v>
      </c>
      <c r="H33" s="34">
        <v>0</v>
      </c>
      <c r="I33" s="23">
        <v>0</v>
      </c>
      <c r="J33" s="1">
        <v>45</v>
      </c>
      <c r="K33" s="1">
        <v>40</v>
      </c>
      <c r="L33" s="23">
        <v>0</v>
      </c>
      <c r="M33" s="23">
        <f t="shared" si="0"/>
        <v>85</v>
      </c>
      <c r="N33" s="2"/>
    </row>
    <row r="34" spans="1:15" ht="21" customHeight="1">
      <c r="A34" s="8">
        <v>43860</v>
      </c>
      <c r="B34" s="45"/>
      <c r="C34" s="45"/>
      <c r="D34" s="21">
        <v>213.8</v>
      </c>
      <c r="E34" s="26">
        <v>949</v>
      </c>
      <c r="F34" s="24">
        <v>212.13</v>
      </c>
      <c r="G34" s="11">
        <v>774.29</v>
      </c>
      <c r="H34" s="34">
        <v>0</v>
      </c>
      <c r="I34" s="23">
        <v>0</v>
      </c>
      <c r="J34" s="1">
        <v>20</v>
      </c>
      <c r="K34" s="1">
        <v>15</v>
      </c>
      <c r="L34" s="23">
        <v>0</v>
      </c>
      <c r="M34" s="23">
        <f t="shared" si="0"/>
        <v>35</v>
      </c>
      <c r="N34" s="2"/>
    </row>
    <row r="35" spans="1:15" ht="21" customHeight="1">
      <c r="A35" s="8">
        <v>43861</v>
      </c>
      <c r="B35" s="46"/>
      <c r="C35" s="46"/>
      <c r="D35" s="22">
        <v>213.8</v>
      </c>
      <c r="E35" s="26">
        <v>949</v>
      </c>
      <c r="F35" s="24">
        <v>212.1</v>
      </c>
      <c r="G35" s="11">
        <v>771.12</v>
      </c>
      <c r="H35" s="34">
        <v>0</v>
      </c>
      <c r="I35" s="23">
        <v>0</v>
      </c>
      <c r="J35" s="1">
        <v>15</v>
      </c>
      <c r="K35" s="1">
        <v>20</v>
      </c>
      <c r="L35" s="23">
        <v>0</v>
      </c>
      <c r="M35" s="23">
        <f t="shared" si="0"/>
        <v>35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241</v>
      </c>
      <c r="I36" s="16">
        <f t="shared" ref="I36:M36" si="1">SUM(I5:I35)</f>
        <v>0</v>
      </c>
      <c r="J36" s="16">
        <f t="shared" si="1"/>
        <v>770</v>
      </c>
      <c r="K36" s="16">
        <f t="shared" si="1"/>
        <v>680</v>
      </c>
      <c r="L36" s="16">
        <f t="shared" si="1"/>
        <v>0</v>
      </c>
      <c r="M36" s="16">
        <f t="shared" si="1"/>
        <v>1450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2.0822533264212892E-2</v>
      </c>
      <c r="I37" s="5"/>
      <c r="J37" s="5">
        <f>J36/11574</f>
        <v>6.6528425781924999E-2</v>
      </c>
      <c r="K37" s="5">
        <f>K36/11574</f>
        <v>5.8752376015206498E-2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0"/>
  <sheetViews>
    <sheetView view="pageBreakPreview" topLeftCell="A16" zoomScale="60" workbookViewId="0">
      <selection activeCell="H34" sqref="H34:M34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5"/>
      <c r="C4" s="45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30">
        <v>43862</v>
      </c>
      <c r="B5" s="61" t="s">
        <v>11</v>
      </c>
      <c r="C5" s="61" t="s">
        <v>12</v>
      </c>
      <c r="D5" s="32">
        <v>213.8</v>
      </c>
      <c r="E5" s="26">
        <v>949</v>
      </c>
      <c r="F5" s="24">
        <v>212.05</v>
      </c>
      <c r="G5" s="11">
        <v>766.1</v>
      </c>
      <c r="H5" s="34">
        <v>0</v>
      </c>
      <c r="I5" s="23">
        <v>0</v>
      </c>
      <c r="J5" s="1">
        <v>35</v>
      </c>
      <c r="K5" s="1">
        <v>25</v>
      </c>
      <c r="L5" s="23">
        <v>0</v>
      </c>
      <c r="M5" s="23">
        <f>L5+K5+J5+I5</f>
        <v>60</v>
      </c>
      <c r="N5" s="2"/>
    </row>
    <row r="6" spans="1:14" ht="19.5" customHeight="1">
      <c r="A6" s="30">
        <v>43863</v>
      </c>
      <c r="B6" s="61"/>
      <c r="C6" s="61"/>
      <c r="D6" s="32">
        <v>213.8</v>
      </c>
      <c r="E6" s="26">
        <v>949</v>
      </c>
      <c r="F6" s="24">
        <v>211.98</v>
      </c>
      <c r="G6" s="11">
        <v>758</v>
      </c>
      <c r="H6" s="34">
        <v>0</v>
      </c>
      <c r="I6" s="23">
        <v>0</v>
      </c>
      <c r="J6" s="1">
        <v>25</v>
      </c>
      <c r="K6" s="1">
        <v>25</v>
      </c>
      <c r="L6" s="23">
        <v>0</v>
      </c>
      <c r="M6" s="23">
        <f t="shared" ref="M6:M32" si="0">L6+K6+J6+I6</f>
        <v>50</v>
      </c>
      <c r="N6" s="2"/>
    </row>
    <row r="7" spans="1:14" ht="19.5" customHeight="1">
      <c r="A7" s="30">
        <v>43864</v>
      </c>
      <c r="B7" s="61"/>
      <c r="C7" s="61"/>
      <c r="D7" s="32">
        <v>213.8</v>
      </c>
      <c r="E7" s="26">
        <v>949</v>
      </c>
      <c r="F7" s="24">
        <v>212.01</v>
      </c>
      <c r="G7" s="11">
        <v>761</v>
      </c>
      <c r="H7" s="34">
        <v>0</v>
      </c>
      <c r="I7" s="23">
        <v>0</v>
      </c>
      <c r="J7" s="1">
        <v>25</v>
      </c>
      <c r="K7" s="1">
        <v>25</v>
      </c>
      <c r="L7" s="23">
        <v>0</v>
      </c>
      <c r="M7" s="23">
        <f t="shared" si="0"/>
        <v>50</v>
      </c>
      <c r="N7" s="2"/>
    </row>
    <row r="8" spans="1:14" ht="19.5" customHeight="1">
      <c r="A8" s="30">
        <v>43865</v>
      </c>
      <c r="B8" s="61"/>
      <c r="C8" s="61"/>
      <c r="D8" s="32">
        <v>213.8</v>
      </c>
      <c r="E8" s="26">
        <v>949</v>
      </c>
      <c r="F8" s="24">
        <v>211.95</v>
      </c>
      <c r="G8" s="11">
        <v>754.27</v>
      </c>
      <c r="H8" s="34">
        <v>0</v>
      </c>
      <c r="I8" s="23">
        <v>0</v>
      </c>
      <c r="J8" s="1">
        <v>25</v>
      </c>
      <c r="K8" s="1">
        <v>25</v>
      </c>
      <c r="L8" s="23">
        <v>0</v>
      </c>
      <c r="M8" s="23">
        <f t="shared" si="0"/>
        <v>50</v>
      </c>
      <c r="N8" s="2"/>
    </row>
    <row r="9" spans="1:14" ht="19.5" customHeight="1">
      <c r="A9" s="30">
        <v>43866</v>
      </c>
      <c r="B9" s="61"/>
      <c r="C9" s="61"/>
      <c r="D9" s="32">
        <v>213.8</v>
      </c>
      <c r="E9" s="26">
        <v>949</v>
      </c>
      <c r="F9" s="24">
        <v>211.92</v>
      </c>
      <c r="G9" s="11">
        <v>749.95</v>
      </c>
      <c r="H9" s="34">
        <v>0</v>
      </c>
      <c r="I9" s="23">
        <v>0</v>
      </c>
      <c r="J9" s="1">
        <v>25</v>
      </c>
      <c r="K9" s="1">
        <v>25</v>
      </c>
      <c r="L9" s="23">
        <v>0</v>
      </c>
      <c r="M9" s="23">
        <f t="shared" si="0"/>
        <v>50</v>
      </c>
      <c r="N9" s="2"/>
    </row>
    <row r="10" spans="1:14" ht="19.5" customHeight="1">
      <c r="A10" s="30">
        <v>43867</v>
      </c>
      <c r="B10" s="61"/>
      <c r="C10" s="61"/>
      <c r="D10" s="32">
        <v>213.8</v>
      </c>
      <c r="E10" s="26">
        <v>949</v>
      </c>
      <c r="F10" s="24">
        <v>211.94</v>
      </c>
      <c r="G10" s="11">
        <v>754.36</v>
      </c>
      <c r="H10" s="9">
        <v>85</v>
      </c>
      <c r="I10" s="23">
        <v>0</v>
      </c>
      <c r="J10" s="1">
        <v>15</v>
      </c>
      <c r="K10" s="1">
        <v>25</v>
      </c>
      <c r="L10" s="23">
        <v>0</v>
      </c>
      <c r="M10" s="23">
        <f t="shared" si="0"/>
        <v>40</v>
      </c>
      <c r="N10" s="2"/>
    </row>
    <row r="11" spans="1:14" ht="19.5" customHeight="1">
      <c r="A11" s="30">
        <v>43868</v>
      </c>
      <c r="B11" s="61"/>
      <c r="C11" s="61"/>
      <c r="D11" s="32">
        <v>213.8</v>
      </c>
      <c r="E11" s="26">
        <v>949</v>
      </c>
      <c r="F11" s="24">
        <v>211.91</v>
      </c>
      <c r="G11" s="11">
        <v>751.18</v>
      </c>
      <c r="H11" s="9">
        <v>9</v>
      </c>
      <c r="I11" s="23">
        <v>0</v>
      </c>
      <c r="J11" s="1">
        <v>15</v>
      </c>
      <c r="K11" s="1">
        <v>25</v>
      </c>
      <c r="L11" s="23">
        <v>0</v>
      </c>
      <c r="M11" s="23">
        <f t="shared" si="0"/>
        <v>40</v>
      </c>
      <c r="N11" s="2"/>
    </row>
    <row r="12" spans="1:14" ht="19.5" customHeight="1">
      <c r="A12" s="30">
        <v>43869</v>
      </c>
      <c r="B12" s="61"/>
      <c r="C12" s="61"/>
      <c r="D12" s="32">
        <v>213.8</v>
      </c>
      <c r="E12" s="26">
        <v>949</v>
      </c>
      <c r="F12" s="24">
        <v>211.88</v>
      </c>
      <c r="G12" s="11">
        <v>749.06</v>
      </c>
      <c r="H12" s="9">
        <v>21</v>
      </c>
      <c r="I12" s="23">
        <v>0</v>
      </c>
      <c r="J12" s="1">
        <v>30</v>
      </c>
      <c r="K12" s="1">
        <v>15</v>
      </c>
      <c r="L12" s="23">
        <v>0</v>
      </c>
      <c r="M12" s="23">
        <f t="shared" si="0"/>
        <v>45</v>
      </c>
      <c r="N12" s="2"/>
    </row>
    <row r="13" spans="1:14" ht="19.5" customHeight="1">
      <c r="A13" s="30">
        <v>43870</v>
      </c>
      <c r="B13" s="61"/>
      <c r="C13" s="61"/>
      <c r="D13" s="32">
        <v>213.8</v>
      </c>
      <c r="E13" s="26">
        <v>949</v>
      </c>
      <c r="F13" s="25">
        <v>211.85</v>
      </c>
      <c r="G13" s="24">
        <v>744.83</v>
      </c>
      <c r="H13" s="9">
        <v>11</v>
      </c>
      <c r="I13" s="23">
        <v>0</v>
      </c>
      <c r="J13" s="1">
        <v>30</v>
      </c>
      <c r="K13" s="1">
        <v>30</v>
      </c>
      <c r="L13" s="23">
        <v>0</v>
      </c>
      <c r="M13" s="23">
        <f t="shared" si="0"/>
        <v>60</v>
      </c>
      <c r="N13" s="2"/>
    </row>
    <row r="14" spans="1:14" ht="19.5" customHeight="1">
      <c r="A14" s="30">
        <v>43871</v>
      </c>
      <c r="B14" s="61"/>
      <c r="C14" s="61"/>
      <c r="D14" s="32">
        <v>213.8</v>
      </c>
      <c r="E14" s="26">
        <v>949</v>
      </c>
      <c r="F14" s="24">
        <v>211.84</v>
      </c>
      <c r="G14" s="11">
        <v>744.12</v>
      </c>
      <c r="H14" s="9">
        <v>31</v>
      </c>
      <c r="I14" s="23">
        <v>0</v>
      </c>
      <c r="J14" s="1">
        <v>30</v>
      </c>
      <c r="K14" s="1">
        <v>10</v>
      </c>
      <c r="L14" s="23">
        <v>0</v>
      </c>
      <c r="M14" s="23">
        <f t="shared" si="0"/>
        <v>40</v>
      </c>
      <c r="N14" s="2"/>
    </row>
    <row r="15" spans="1:14" ht="19.5" customHeight="1">
      <c r="A15" s="30">
        <v>43872</v>
      </c>
      <c r="B15" s="61"/>
      <c r="C15" s="61"/>
      <c r="D15" s="32">
        <v>213.8</v>
      </c>
      <c r="E15" s="26">
        <v>949</v>
      </c>
      <c r="F15" s="24">
        <v>211.79</v>
      </c>
      <c r="G15" s="11">
        <v>738.82</v>
      </c>
      <c r="H15" s="34">
        <v>0</v>
      </c>
      <c r="I15" s="23">
        <v>0</v>
      </c>
      <c r="J15" s="1">
        <v>40</v>
      </c>
      <c r="K15" s="1">
        <v>20</v>
      </c>
      <c r="L15" s="23">
        <v>0</v>
      </c>
      <c r="M15" s="23">
        <f t="shared" si="0"/>
        <v>60</v>
      </c>
      <c r="N15" s="2"/>
    </row>
    <row r="16" spans="1:14" ht="19.5" customHeight="1">
      <c r="A16" s="30">
        <v>43873</v>
      </c>
      <c r="B16" s="61"/>
      <c r="C16" s="61"/>
      <c r="D16" s="32">
        <v>213.8</v>
      </c>
      <c r="E16" s="26">
        <v>949</v>
      </c>
      <c r="F16" s="24">
        <v>211.73</v>
      </c>
      <c r="G16" s="11">
        <v>732.45</v>
      </c>
      <c r="H16" s="34">
        <v>0</v>
      </c>
      <c r="I16" s="23">
        <v>0</v>
      </c>
      <c r="J16" s="1">
        <v>40</v>
      </c>
      <c r="K16" s="1">
        <v>35</v>
      </c>
      <c r="L16" s="23">
        <v>0</v>
      </c>
      <c r="M16" s="23">
        <f t="shared" si="0"/>
        <v>75</v>
      </c>
      <c r="N16" s="2"/>
    </row>
    <row r="17" spans="1:15" ht="19.5" customHeight="1">
      <c r="A17" s="30">
        <v>43874</v>
      </c>
      <c r="B17" s="61"/>
      <c r="C17" s="61"/>
      <c r="D17" s="32">
        <v>213.8</v>
      </c>
      <c r="E17" s="26">
        <v>949</v>
      </c>
      <c r="F17" s="11">
        <v>211.73</v>
      </c>
      <c r="G17" s="9">
        <v>732.47</v>
      </c>
      <c r="H17" s="34">
        <v>0</v>
      </c>
      <c r="I17" s="23">
        <v>0</v>
      </c>
      <c r="J17" s="1">
        <v>40</v>
      </c>
      <c r="K17" s="1">
        <v>35</v>
      </c>
      <c r="L17" s="23">
        <v>0</v>
      </c>
      <c r="M17" s="23">
        <f t="shared" si="0"/>
        <v>75</v>
      </c>
      <c r="N17" s="2"/>
    </row>
    <row r="18" spans="1:15" ht="19.5" customHeight="1">
      <c r="A18" s="30">
        <v>43875</v>
      </c>
      <c r="B18" s="61"/>
      <c r="C18" s="61"/>
      <c r="D18" s="32">
        <v>213.8</v>
      </c>
      <c r="E18" s="26">
        <v>949</v>
      </c>
      <c r="F18" s="24">
        <v>211.6</v>
      </c>
      <c r="G18" s="11">
        <v>718.70799999999997</v>
      </c>
      <c r="H18" s="34">
        <v>0</v>
      </c>
      <c r="I18" s="23">
        <v>0</v>
      </c>
      <c r="J18" s="1">
        <v>40</v>
      </c>
      <c r="K18" s="1">
        <v>40</v>
      </c>
      <c r="L18" s="23">
        <v>0</v>
      </c>
      <c r="M18" s="23">
        <f t="shared" si="0"/>
        <v>80</v>
      </c>
      <c r="N18" s="2"/>
    </row>
    <row r="19" spans="1:15" ht="19.5" customHeight="1">
      <c r="A19" s="30">
        <v>43876</v>
      </c>
      <c r="B19" s="61"/>
      <c r="C19" s="61"/>
      <c r="D19" s="32">
        <v>213.8</v>
      </c>
      <c r="E19" s="26">
        <v>949</v>
      </c>
      <c r="F19" s="24">
        <v>211.54</v>
      </c>
      <c r="G19" s="11">
        <v>709.53</v>
      </c>
      <c r="H19" s="34">
        <v>0</v>
      </c>
      <c r="I19" s="23">
        <v>0</v>
      </c>
      <c r="J19" s="1">
        <v>55</v>
      </c>
      <c r="K19" s="1">
        <v>45</v>
      </c>
      <c r="L19" s="23">
        <v>0</v>
      </c>
      <c r="M19" s="23">
        <f t="shared" si="0"/>
        <v>100</v>
      </c>
      <c r="N19" s="2"/>
    </row>
    <row r="20" spans="1:15" ht="19.5" customHeight="1">
      <c r="A20" s="30">
        <v>43877</v>
      </c>
      <c r="B20" s="61"/>
      <c r="C20" s="61"/>
      <c r="D20" s="32">
        <v>213.8</v>
      </c>
      <c r="E20" s="26">
        <v>949</v>
      </c>
      <c r="F20" s="24">
        <v>211.48</v>
      </c>
      <c r="G20" s="11">
        <v>701.41</v>
      </c>
      <c r="H20" s="34">
        <v>0</v>
      </c>
      <c r="I20" s="23">
        <v>0</v>
      </c>
      <c r="J20" s="1">
        <v>50</v>
      </c>
      <c r="K20" s="1">
        <v>45</v>
      </c>
      <c r="L20" s="23">
        <v>0</v>
      </c>
      <c r="M20" s="23">
        <f t="shared" si="0"/>
        <v>95</v>
      </c>
      <c r="N20" s="2"/>
    </row>
    <row r="21" spans="1:15" ht="19.5" customHeight="1">
      <c r="A21" s="30">
        <v>43878</v>
      </c>
      <c r="B21" s="61"/>
      <c r="C21" s="61"/>
      <c r="D21" s="32">
        <v>213.8</v>
      </c>
      <c r="E21" s="26">
        <v>949</v>
      </c>
      <c r="F21" s="24">
        <v>211.41</v>
      </c>
      <c r="G21" s="11">
        <v>693.99</v>
      </c>
      <c r="H21" s="34">
        <v>0</v>
      </c>
      <c r="I21" s="23">
        <v>0</v>
      </c>
      <c r="J21" s="1">
        <v>45</v>
      </c>
      <c r="K21" s="1">
        <v>40</v>
      </c>
      <c r="L21" s="23">
        <v>0</v>
      </c>
      <c r="M21" s="23">
        <f t="shared" si="0"/>
        <v>85</v>
      </c>
      <c r="N21" s="2"/>
    </row>
    <row r="22" spans="1:15" ht="19.5" customHeight="1">
      <c r="A22" s="30">
        <v>43879</v>
      </c>
      <c r="B22" s="61"/>
      <c r="C22" s="61"/>
      <c r="D22" s="32">
        <v>213.8</v>
      </c>
      <c r="E22" s="26">
        <v>949</v>
      </c>
      <c r="F22" s="24">
        <v>211.4</v>
      </c>
      <c r="G22" s="11">
        <v>692.93</v>
      </c>
      <c r="H22" s="9">
        <v>8</v>
      </c>
      <c r="I22" s="23">
        <v>0</v>
      </c>
      <c r="J22" s="1">
        <v>20</v>
      </c>
      <c r="K22" s="1">
        <v>0</v>
      </c>
      <c r="L22" s="23">
        <v>0</v>
      </c>
      <c r="M22" s="23">
        <f t="shared" si="0"/>
        <v>20</v>
      </c>
      <c r="N22" s="2"/>
    </row>
    <row r="23" spans="1:15" ht="19.5" customHeight="1">
      <c r="A23" s="30">
        <v>43880</v>
      </c>
      <c r="B23" s="61"/>
      <c r="C23" s="61"/>
      <c r="D23" s="32">
        <v>213.8</v>
      </c>
      <c r="E23" s="26">
        <v>949</v>
      </c>
      <c r="F23" s="24">
        <v>211.36</v>
      </c>
      <c r="G23" s="11">
        <v>690.82</v>
      </c>
      <c r="H23" s="34">
        <v>0</v>
      </c>
      <c r="I23" s="23">
        <v>0</v>
      </c>
      <c r="J23" s="1">
        <v>25</v>
      </c>
      <c r="K23" s="1">
        <v>0</v>
      </c>
      <c r="L23" s="23">
        <v>0</v>
      </c>
      <c r="M23" s="23">
        <f t="shared" si="0"/>
        <v>25</v>
      </c>
      <c r="N23" s="2"/>
    </row>
    <row r="24" spans="1:15" ht="19.5" customHeight="1">
      <c r="A24" s="30">
        <v>43881</v>
      </c>
      <c r="B24" s="61"/>
      <c r="C24" s="61"/>
      <c r="D24" s="32">
        <v>213.8</v>
      </c>
      <c r="E24" s="26">
        <v>949</v>
      </c>
      <c r="F24" s="24">
        <v>211.34</v>
      </c>
      <c r="G24" s="11">
        <v>689.58</v>
      </c>
      <c r="H24" s="34">
        <v>0</v>
      </c>
      <c r="I24" s="23">
        <v>0</v>
      </c>
      <c r="J24" s="1">
        <v>15</v>
      </c>
      <c r="K24" s="1">
        <v>0</v>
      </c>
      <c r="L24" s="23">
        <v>0</v>
      </c>
      <c r="M24" s="23">
        <f t="shared" si="0"/>
        <v>15</v>
      </c>
      <c r="N24" s="2"/>
    </row>
    <row r="25" spans="1:15" ht="19.5" customHeight="1">
      <c r="A25" s="30">
        <v>43882</v>
      </c>
      <c r="B25" s="61"/>
      <c r="C25" s="61"/>
      <c r="D25" s="32">
        <v>213.8</v>
      </c>
      <c r="E25" s="26">
        <v>949</v>
      </c>
      <c r="F25" s="24">
        <v>211.29</v>
      </c>
      <c r="G25" s="11">
        <v>686.58</v>
      </c>
      <c r="H25" s="34">
        <v>0</v>
      </c>
      <c r="I25" s="23">
        <v>0</v>
      </c>
      <c r="J25" s="1">
        <v>20</v>
      </c>
      <c r="K25" s="1">
        <v>15</v>
      </c>
      <c r="L25" s="23">
        <v>0</v>
      </c>
      <c r="M25" s="23">
        <f t="shared" si="0"/>
        <v>35</v>
      </c>
      <c r="N25" s="2"/>
    </row>
    <row r="26" spans="1:15" ht="19.5" customHeight="1">
      <c r="A26" s="30">
        <v>43883</v>
      </c>
      <c r="B26" s="61"/>
      <c r="C26" s="61"/>
      <c r="D26" s="32">
        <v>213.8</v>
      </c>
      <c r="E26" s="26">
        <v>949</v>
      </c>
      <c r="F26" s="24">
        <v>211.2</v>
      </c>
      <c r="G26" s="11">
        <v>677.05</v>
      </c>
      <c r="H26" s="34">
        <v>0</v>
      </c>
      <c r="I26" s="23">
        <v>0</v>
      </c>
      <c r="J26" s="1">
        <v>70</v>
      </c>
      <c r="K26" s="1">
        <v>40</v>
      </c>
      <c r="L26" s="23">
        <v>0</v>
      </c>
      <c r="M26" s="23">
        <f t="shared" si="0"/>
        <v>110</v>
      </c>
      <c r="N26" s="2"/>
      <c r="O26" s="18"/>
    </row>
    <row r="27" spans="1:15" ht="19.5" customHeight="1">
      <c r="A27" s="30">
        <v>43884</v>
      </c>
      <c r="B27" s="61"/>
      <c r="C27" s="61"/>
      <c r="D27" s="32">
        <v>213.8</v>
      </c>
      <c r="E27" s="26">
        <v>949</v>
      </c>
      <c r="F27" s="24">
        <v>211.11</v>
      </c>
      <c r="G27" s="11">
        <v>666.46</v>
      </c>
      <c r="H27" s="34">
        <v>0</v>
      </c>
      <c r="I27" s="23">
        <v>0</v>
      </c>
      <c r="J27" s="1">
        <v>75</v>
      </c>
      <c r="K27" s="1">
        <v>45</v>
      </c>
      <c r="L27" s="23">
        <v>0</v>
      </c>
      <c r="M27" s="23">
        <f t="shared" si="0"/>
        <v>120</v>
      </c>
      <c r="N27" s="2"/>
    </row>
    <row r="28" spans="1:15" ht="19.5" customHeight="1">
      <c r="A28" s="30">
        <v>43885</v>
      </c>
      <c r="B28" s="61"/>
      <c r="C28" s="61"/>
      <c r="D28" s="32">
        <v>213.8</v>
      </c>
      <c r="E28" s="26">
        <v>949</v>
      </c>
      <c r="F28" s="24">
        <v>211.05</v>
      </c>
      <c r="G28" s="11">
        <v>661</v>
      </c>
      <c r="H28" s="34">
        <v>0</v>
      </c>
      <c r="I28" s="23">
        <v>0</v>
      </c>
      <c r="J28" s="1">
        <v>30</v>
      </c>
      <c r="K28" s="1">
        <v>30</v>
      </c>
      <c r="L28" s="23">
        <v>0</v>
      </c>
      <c r="M28" s="23">
        <f t="shared" si="0"/>
        <v>60</v>
      </c>
      <c r="N28" s="2"/>
    </row>
    <row r="29" spans="1:15" ht="19.5" customHeight="1">
      <c r="A29" s="30">
        <v>43886</v>
      </c>
      <c r="B29" s="61"/>
      <c r="C29" s="61"/>
      <c r="D29" s="32">
        <v>213.8</v>
      </c>
      <c r="E29" s="26">
        <v>949</v>
      </c>
      <c r="F29" s="24">
        <v>221.04</v>
      </c>
      <c r="G29" s="11">
        <v>660.46</v>
      </c>
      <c r="H29" s="34">
        <v>0</v>
      </c>
      <c r="I29" s="23">
        <v>0</v>
      </c>
      <c r="J29" s="1">
        <v>12</v>
      </c>
      <c r="K29" s="1">
        <v>0</v>
      </c>
      <c r="L29" s="23">
        <v>0</v>
      </c>
      <c r="M29" s="23">
        <f t="shared" si="0"/>
        <v>12</v>
      </c>
      <c r="N29" s="2"/>
    </row>
    <row r="30" spans="1:15" ht="19.5" customHeight="1">
      <c r="A30" s="30">
        <v>43887</v>
      </c>
      <c r="B30" s="61"/>
      <c r="C30" s="61"/>
      <c r="D30" s="32">
        <v>213.8</v>
      </c>
      <c r="E30" s="26">
        <v>949</v>
      </c>
      <c r="F30" s="24">
        <v>211</v>
      </c>
      <c r="G30" s="11">
        <v>656.22</v>
      </c>
      <c r="H30" s="34">
        <v>0</v>
      </c>
      <c r="I30" s="23">
        <v>0</v>
      </c>
      <c r="J30" s="1">
        <v>35</v>
      </c>
      <c r="K30" s="1">
        <v>10</v>
      </c>
      <c r="L30" s="23">
        <v>0</v>
      </c>
      <c r="M30" s="23">
        <f t="shared" si="0"/>
        <v>45</v>
      </c>
      <c r="N30" s="2"/>
    </row>
    <row r="31" spans="1:15" ht="21" customHeight="1">
      <c r="A31" s="30">
        <v>43888</v>
      </c>
      <c r="B31" s="61"/>
      <c r="C31" s="61"/>
      <c r="D31" s="32">
        <v>213.8</v>
      </c>
      <c r="E31" s="26">
        <v>949</v>
      </c>
      <c r="F31" s="24">
        <v>210.95</v>
      </c>
      <c r="G31" s="11">
        <v>652.33000000000004</v>
      </c>
      <c r="H31" s="34">
        <v>0</v>
      </c>
      <c r="I31" s="23">
        <v>0</v>
      </c>
      <c r="J31" s="1">
        <v>35</v>
      </c>
      <c r="K31" s="1">
        <v>10</v>
      </c>
      <c r="L31" s="23">
        <v>0</v>
      </c>
      <c r="M31" s="23">
        <f t="shared" si="0"/>
        <v>45</v>
      </c>
      <c r="N31" s="2"/>
    </row>
    <row r="32" spans="1:15" ht="21" customHeight="1">
      <c r="A32" s="30">
        <v>43889</v>
      </c>
      <c r="B32" s="61"/>
      <c r="C32" s="61"/>
      <c r="D32" s="33">
        <v>213.8</v>
      </c>
      <c r="E32" s="26">
        <v>949</v>
      </c>
      <c r="F32" s="24">
        <v>210.88</v>
      </c>
      <c r="G32" s="11">
        <v>645.99</v>
      </c>
      <c r="H32" s="34">
        <v>0</v>
      </c>
      <c r="I32" s="23">
        <v>0</v>
      </c>
      <c r="J32" s="1">
        <v>40</v>
      </c>
      <c r="K32" s="1">
        <v>30</v>
      </c>
      <c r="L32" s="23">
        <v>0</v>
      </c>
      <c r="M32" s="23">
        <f t="shared" si="0"/>
        <v>70</v>
      </c>
      <c r="N32" s="2"/>
    </row>
    <row r="33" spans="1:15" ht="21" customHeight="1">
      <c r="A33" s="31">
        <v>43890</v>
      </c>
      <c r="B33" s="61"/>
      <c r="C33" s="61"/>
      <c r="D33" s="33">
        <v>213.8</v>
      </c>
      <c r="E33" s="26">
        <v>949</v>
      </c>
      <c r="F33" s="24">
        <v>210.8</v>
      </c>
      <c r="G33" s="27">
        <v>635.4</v>
      </c>
      <c r="H33" s="34">
        <v>0</v>
      </c>
      <c r="I33" s="28">
        <v>0</v>
      </c>
      <c r="J33" s="29">
        <v>70</v>
      </c>
      <c r="K33" s="29">
        <v>50</v>
      </c>
      <c r="L33" s="28">
        <v>0</v>
      </c>
      <c r="M33" s="23">
        <f t="shared" ref="M33" si="1">L33+K33+J33+I33</f>
        <v>120</v>
      </c>
      <c r="N33" s="2"/>
    </row>
    <row r="34" spans="1:15" ht="21" customHeight="1">
      <c r="A34" s="12"/>
      <c r="B34" s="13"/>
      <c r="C34" s="13"/>
      <c r="D34" s="14"/>
      <c r="E34" s="14"/>
      <c r="F34" s="15"/>
      <c r="G34" s="14"/>
      <c r="H34" s="16">
        <f>SUM(H5:H32)</f>
        <v>165</v>
      </c>
      <c r="I34" s="16">
        <f t="shared" ref="I34:M34" si="2">SUM(I5:I32)</f>
        <v>0</v>
      </c>
      <c r="J34" s="16">
        <f t="shared" si="2"/>
        <v>942</v>
      </c>
      <c r="K34" s="16">
        <f t="shared" si="2"/>
        <v>670</v>
      </c>
      <c r="L34" s="16">
        <f t="shared" si="2"/>
        <v>0</v>
      </c>
      <c r="M34" s="16">
        <f t="shared" si="2"/>
        <v>1612</v>
      </c>
      <c r="N34" s="17"/>
      <c r="O34" s="19"/>
    </row>
    <row r="35" spans="1:15" ht="47.25" customHeight="1">
      <c r="A35" s="3"/>
      <c r="B35" s="4"/>
      <c r="C35" s="5"/>
      <c r="D35" s="5"/>
      <c r="E35" s="5"/>
      <c r="F35" s="5"/>
      <c r="G35" s="5"/>
      <c r="H35" s="5">
        <f>H34/11574</f>
        <v>1.425609123898393E-2</v>
      </c>
      <c r="I35" s="5"/>
      <c r="J35" s="5">
        <f>J34/11574</f>
        <v>8.138932089165371E-2</v>
      </c>
      <c r="K35" s="5">
        <f>K34/11574</f>
        <v>5.7888370485571106E-2</v>
      </c>
      <c r="L35" s="6"/>
      <c r="M35" s="6"/>
      <c r="N35" s="7"/>
    </row>
    <row r="36" spans="1:15" ht="15.75" customHeight="1">
      <c r="A36" s="47" t="s">
        <v>9</v>
      </c>
      <c r="B36" s="41"/>
      <c r="C36" s="41"/>
      <c r="D36" s="41"/>
      <c r="J36" s="47" t="s">
        <v>10</v>
      </c>
      <c r="K36" s="41"/>
      <c r="L36" s="41"/>
      <c r="M36" s="41"/>
      <c r="N36" s="7"/>
    </row>
    <row r="37" spans="1:15" ht="15.75" customHeight="1">
      <c r="A37" s="48" t="s">
        <v>16</v>
      </c>
      <c r="B37" s="41"/>
      <c r="C37" s="41"/>
      <c r="D37" s="41"/>
      <c r="J37" s="48" t="s">
        <v>16</v>
      </c>
      <c r="K37" s="41"/>
      <c r="L37" s="41"/>
      <c r="M37" s="41"/>
      <c r="N37" s="7"/>
    </row>
    <row r="38" spans="1:15" ht="15.75" customHeight="1">
      <c r="A38" s="40" t="s">
        <v>17</v>
      </c>
      <c r="B38" s="41"/>
      <c r="C38" s="41"/>
      <c r="D38" s="41"/>
      <c r="J38" s="40" t="s">
        <v>17</v>
      </c>
      <c r="K38" s="41"/>
      <c r="L38" s="41"/>
      <c r="M38" s="41"/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38:D38"/>
    <mergeCell ref="J38:M38"/>
    <mergeCell ref="N3:N4"/>
    <mergeCell ref="A36:D36"/>
    <mergeCell ref="J36:M36"/>
    <mergeCell ref="A37:D37"/>
    <mergeCell ref="J37:M37"/>
    <mergeCell ref="E3:E4"/>
    <mergeCell ref="C5:C33"/>
    <mergeCell ref="B5:B33"/>
  </mergeCells>
  <pageMargins left="0.7" right="0.7" top="0.75" bottom="0.75" header="0" footer="0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19" zoomScale="60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43891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210.72</v>
      </c>
      <c r="G5" s="11" t="s">
        <v>33</v>
      </c>
      <c r="H5" s="9"/>
      <c r="I5" s="23">
        <v>0</v>
      </c>
      <c r="J5" s="1">
        <v>40</v>
      </c>
      <c r="K5" s="1">
        <v>40</v>
      </c>
      <c r="L5" s="23">
        <v>0</v>
      </c>
      <c r="M5" s="23">
        <f>L5+K5+J5+I5</f>
        <v>80</v>
      </c>
      <c r="N5" s="2"/>
    </row>
    <row r="6" spans="1:14" ht="19.5" customHeight="1">
      <c r="A6" s="8">
        <v>43892</v>
      </c>
      <c r="B6" s="45"/>
      <c r="C6" s="45"/>
      <c r="D6" s="21">
        <v>213.8</v>
      </c>
      <c r="E6" s="26">
        <v>949</v>
      </c>
      <c r="F6" s="24">
        <v>210.68</v>
      </c>
      <c r="G6" s="11">
        <v>626.91999999999996</v>
      </c>
      <c r="H6" s="9"/>
      <c r="I6" s="23">
        <v>0</v>
      </c>
      <c r="J6" s="1">
        <v>35</v>
      </c>
      <c r="K6" s="1">
        <v>20</v>
      </c>
      <c r="L6" s="23">
        <v>0</v>
      </c>
      <c r="M6" s="23">
        <f t="shared" ref="M6:M35" si="0">L6+K6+J6+I6</f>
        <v>55</v>
      </c>
      <c r="N6" s="2"/>
    </row>
    <row r="7" spans="1:14" ht="19.5" customHeight="1">
      <c r="A7" s="8">
        <v>43893</v>
      </c>
      <c r="B7" s="45"/>
      <c r="C7" s="45"/>
      <c r="D7" s="21">
        <v>213.8</v>
      </c>
      <c r="E7" s="26">
        <v>949</v>
      </c>
      <c r="F7" s="24">
        <v>210.61</v>
      </c>
      <c r="G7" s="11">
        <v>619.61</v>
      </c>
      <c r="H7" s="9"/>
      <c r="I7" s="23">
        <v>0</v>
      </c>
      <c r="J7" s="1">
        <v>50</v>
      </c>
      <c r="K7" s="1">
        <v>40</v>
      </c>
      <c r="L7" s="23">
        <v>0</v>
      </c>
      <c r="M7" s="23">
        <f t="shared" si="0"/>
        <v>90</v>
      </c>
      <c r="N7" s="2"/>
    </row>
    <row r="8" spans="1:14" ht="19.5" customHeight="1">
      <c r="A8" s="8">
        <v>43894</v>
      </c>
      <c r="B8" s="45"/>
      <c r="C8" s="45"/>
      <c r="D8" s="21">
        <v>213.8</v>
      </c>
      <c r="E8" s="26">
        <v>949</v>
      </c>
      <c r="F8" s="24">
        <v>210.55</v>
      </c>
      <c r="G8" s="11">
        <v>613.51</v>
      </c>
      <c r="H8" s="9"/>
      <c r="I8" s="23">
        <v>0</v>
      </c>
      <c r="J8" s="1">
        <v>40</v>
      </c>
      <c r="K8" s="1">
        <v>30</v>
      </c>
      <c r="L8" s="23">
        <v>0</v>
      </c>
      <c r="M8" s="23">
        <f t="shared" si="0"/>
        <v>70</v>
      </c>
      <c r="N8" s="2"/>
    </row>
    <row r="9" spans="1:14" ht="19.5" customHeight="1">
      <c r="A9" s="8">
        <v>43895</v>
      </c>
      <c r="B9" s="45"/>
      <c r="C9" s="45"/>
      <c r="D9" s="21">
        <v>213.8</v>
      </c>
      <c r="E9" s="26">
        <v>949</v>
      </c>
      <c r="F9" s="24">
        <v>210.5</v>
      </c>
      <c r="G9" s="11">
        <v>607.6</v>
      </c>
      <c r="H9" s="9"/>
      <c r="I9" s="23">
        <v>0</v>
      </c>
      <c r="J9" s="1">
        <v>40</v>
      </c>
      <c r="K9" s="1">
        <v>30</v>
      </c>
      <c r="L9" s="23">
        <v>0</v>
      </c>
      <c r="M9" s="23">
        <f t="shared" si="0"/>
        <v>70</v>
      </c>
      <c r="N9" s="2"/>
    </row>
    <row r="10" spans="1:14" ht="19.5" customHeight="1">
      <c r="A10" s="8">
        <v>43896</v>
      </c>
      <c r="B10" s="45"/>
      <c r="C10" s="45"/>
      <c r="D10" s="21">
        <v>213.8</v>
      </c>
      <c r="E10" s="26">
        <v>949</v>
      </c>
      <c r="F10" s="24">
        <v>210.5</v>
      </c>
      <c r="G10" s="11">
        <v>607.6</v>
      </c>
      <c r="H10" s="9"/>
      <c r="I10" s="23">
        <v>0</v>
      </c>
      <c r="J10" s="1">
        <v>40</v>
      </c>
      <c r="K10" s="1">
        <v>30</v>
      </c>
      <c r="L10" s="23">
        <v>0</v>
      </c>
      <c r="M10" s="23">
        <f t="shared" si="0"/>
        <v>70</v>
      </c>
      <c r="N10" s="2"/>
    </row>
    <row r="11" spans="1:14" ht="19.5" customHeight="1">
      <c r="A11" s="8">
        <v>43897</v>
      </c>
      <c r="B11" s="45"/>
      <c r="C11" s="45"/>
      <c r="D11" s="21">
        <v>213.8</v>
      </c>
      <c r="E11" s="26">
        <v>949</v>
      </c>
      <c r="F11" s="24">
        <v>210.38</v>
      </c>
      <c r="G11" s="11">
        <v>598.33000000000004</v>
      </c>
      <c r="H11" s="9"/>
      <c r="I11" s="23">
        <v>0</v>
      </c>
      <c r="J11" s="1">
        <v>30</v>
      </c>
      <c r="K11" s="1">
        <v>10</v>
      </c>
      <c r="L11" s="23">
        <v>0</v>
      </c>
      <c r="M11" s="23">
        <f t="shared" si="0"/>
        <v>40</v>
      </c>
      <c r="N11" s="2"/>
    </row>
    <row r="12" spans="1:14" ht="19.5" customHeight="1">
      <c r="A12" s="8">
        <v>43898</v>
      </c>
      <c r="B12" s="45"/>
      <c r="C12" s="45"/>
      <c r="D12" s="21">
        <v>213.8</v>
      </c>
      <c r="E12" s="26">
        <v>949</v>
      </c>
      <c r="F12" s="24">
        <v>210.33</v>
      </c>
      <c r="G12" s="11">
        <v>594.79999999999995</v>
      </c>
      <c r="H12" s="9"/>
      <c r="I12" s="23">
        <v>0</v>
      </c>
      <c r="J12" s="1">
        <v>30</v>
      </c>
      <c r="K12" s="1">
        <v>10</v>
      </c>
      <c r="L12" s="23">
        <v>0</v>
      </c>
      <c r="M12" s="23">
        <f t="shared" si="0"/>
        <v>40</v>
      </c>
      <c r="N12" s="2"/>
    </row>
    <row r="13" spans="1:14" ht="19.5" customHeight="1">
      <c r="A13" s="8">
        <v>43899</v>
      </c>
      <c r="B13" s="45"/>
      <c r="C13" s="45"/>
      <c r="D13" s="21">
        <v>213.8</v>
      </c>
      <c r="E13" s="26">
        <v>949</v>
      </c>
      <c r="F13" s="25">
        <v>210.32</v>
      </c>
      <c r="G13" s="24">
        <v>593.74</v>
      </c>
      <c r="H13" s="9">
        <v>35</v>
      </c>
      <c r="I13" s="23">
        <v>0</v>
      </c>
      <c r="J13" s="1">
        <v>30</v>
      </c>
      <c r="K13" s="1">
        <v>20</v>
      </c>
      <c r="L13" s="23">
        <v>0</v>
      </c>
      <c r="M13" s="23">
        <f t="shared" si="0"/>
        <v>50</v>
      </c>
      <c r="N13" s="2"/>
    </row>
    <row r="14" spans="1:14" ht="19.5" customHeight="1">
      <c r="A14" s="8">
        <v>43900</v>
      </c>
      <c r="B14" s="45"/>
      <c r="C14" s="45"/>
      <c r="D14" s="21">
        <v>213.8</v>
      </c>
      <c r="E14" s="26">
        <v>949</v>
      </c>
      <c r="F14" s="24">
        <v>210.29</v>
      </c>
      <c r="G14" s="11">
        <v>590.91999999999996</v>
      </c>
      <c r="H14" s="9">
        <v>10</v>
      </c>
      <c r="I14" s="23">
        <v>0</v>
      </c>
      <c r="J14" s="1">
        <v>30</v>
      </c>
      <c r="K14" s="1">
        <v>10</v>
      </c>
      <c r="L14" s="23">
        <v>0</v>
      </c>
      <c r="M14" s="23">
        <f t="shared" si="0"/>
        <v>40</v>
      </c>
      <c r="N14" s="2"/>
    </row>
    <row r="15" spans="1:14" ht="19.5" customHeight="1">
      <c r="A15" s="8">
        <v>43901</v>
      </c>
      <c r="B15" s="45"/>
      <c r="C15" s="45"/>
      <c r="D15" s="21">
        <v>213.8</v>
      </c>
      <c r="E15" s="26">
        <v>949</v>
      </c>
      <c r="F15" s="24">
        <v>210.28</v>
      </c>
      <c r="G15" s="11">
        <v>590.21</v>
      </c>
      <c r="H15" s="9">
        <v>30</v>
      </c>
      <c r="I15" s="23">
        <v>0</v>
      </c>
      <c r="J15" s="1">
        <v>30</v>
      </c>
      <c r="K15" s="1">
        <v>10</v>
      </c>
      <c r="L15" s="23">
        <v>0</v>
      </c>
      <c r="M15" s="23">
        <f t="shared" si="0"/>
        <v>40</v>
      </c>
      <c r="N15" s="2"/>
    </row>
    <row r="16" spans="1:14" ht="19.5" customHeight="1">
      <c r="A16" s="8">
        <v>43902</v>
      </c>
      <c r="B16" s="45"/>
      <c r="C16" s="45"/>
      <c r="D16" s="21">
        <v>213.8</v>
      </c>
      <c r="E16" s="26">
        <v>949</v>
      </c>
      <c r="F16" s="24">
        <v>210.24</v>
      </c>
      <c r="G16" s="11">
        <v>586.67999999999995</v>
      </c>
      <c r="H16" s="9"/>
      <c r="I16" s="23">
        <v>0</v>
      </c>
      <c r="J16" s="1">
        <v>30</v>
      </c>
      <c r="K16" s="1">
        <v>10</v>
      </c>
      <c r="L16" s="23">
        <v>0</v>
      </c>
      <c r="M16" s="23">
        <f t="shared" si="0"/>
        <v>40</v>
      </c>
      <c r="N16" s="2"/>
    </row>
    <row r="17" spans="1:15" ht="19.5" customHeight="1">
      <c r="A17" s="8">
        <v>43903</v>
      </c>
      <c r="B17" s="45"/>
      <c r="C17" s="45"/>
      <c r="D17" s="21">
        <v>213.8</v>
      </c>
      <c r="E17" s="26">
        <v>949</v>
      </c>
      <c r="F17" s="24">
        <v>210.17</v>
      </c>
      <c r="G17" s="11">
        <v>580.67999999999995</v>
      </c>
      <c r="H17" s="9"/>
      <c r="I17" s="23">
        <v>0</v>
      </c>
      <c r="J17" s="1">
        <v>40</v>
      </c>
      <c r="K17" s="1">
        <v>30</v>
      </c>
      <c r="L17" s="23">
        <v>0</v>
      </c>
      <c r="M17" s="23">
        <f t="shared" si="0"/>
        <v>70</v>
      </c>
      <c r="N17" s="2"/>
    </row>
    <row r="18" spans="1:15" ht="19.5" customHeight="1">
      <c r="A18" s="8">
        <v>43904</v>
      </c>
      <c r="B18" s="45"/>
      <c r="C18" s="45"/>
      <c r="D18" s="21">
        <v>213.8</v>
      </c>
      <c r="E18" s="26">
        <v>949</v>
      </c>
      <c r="F18" s="24">
        <v>210.09</v>
      </c>
      <c r="G18" s="11">
        <v>573.62</v>
      </c>
      <c r="H18" s="9"/>
      <c r="I18" s="23">
        <v>0</v>
      </c>
      <c r="J18" s="1">
        <v>45</v>
      </c>
      <c r="K18" s="1">
        <v>35</v>
      </c>
      <c r="L18" s="23">
        <v>0</v>
      </c>
      <c r="M18" s="23">
        <f t="shared" si="0"/>
        <v>80</v>
      </c>
      <c r="N18" s="2"/>
    </row>
    <row r="19" spans="1:15" ht="19.5" customHeight="1">
      <c r="A19" s="8">
        <v>43905</v>
      </c>
      <c r="B19" s="45"/>
      <c r="C19" s="45"/>
      <c r="D19" s="21">
        <v>213.8</v>
      </c>
      <c r="E19" s="26">
        <v>949</v>
      </c>
      <c r="F19" s="24">
        <v>210.02</v>
      </c>
      <c r="G19" s="11">
        <v>567.62</v>
      </c>
      <c r="H19" s="9"/>
      <c r="I19" s="23">
        <v>0</v>
      </c>
      <c r="J19" s="1">
        <v>40</v>
      </c>
      <c r="K19" s="1">
        <v>30</v>
      </c>
      <c r="L19" s="23">
        <v>0</v>
      </c>
      <c r="M19" s="23">
        <f t="shared" si="0"/>
        <v>70</v>
      </c>
      <c r="N19" s="2"/>
    </row>
    <row r="20" spans="1:15" ht="19.5" customHeight="1">
      <c r="A20" s="8">
        <v>43906</v>
      </c>
      <c r="B20" s="45"/>
      <c r="C20" s="45"/>
      <c r="D20" s="21">
        <v>213.8</v>
      </c>
      <c r="E20" s="26">
        <v>949</v>
      </c>
      <c r="F20" s="24">
        <v>209.97</v>
      </c>
      <c r="G20" s="11">
        <v>563.38</v>
      </c>
      <c r="H20" s="9"/>
      <c r="I20" s="23">
        <v>0</v>
      </c>
      <c r="J20" s="1">
        <v>30</v>
      </c>
      <c r="K20" s="1">
        <v>20</v>
      </c>
      <c r="L20" s="23">
        <v>0</v>
      </c>
      <c r="M20" s="23">
        <f t="shared" si="0"/>
        <v>50</v>
      </c>
      <c r="N20" s="2"/>
    </row>
    <row r="21" spans="1:15" ht="19.5" customHeight="1">
      <c r="A21" s="8">
        <v>43907</v>
      </c>
      <c r="B21" s="45"/>
      <c r="C21" s="45"/>
      <c r="D21" s="21">
        <v>213.8</v>
      </c>
      <c r="E21" s="26">
        <v>949</v>
      </c>
      <c r="F21" s="24">
        <v>209.89</v>
      </c>
      <c r="G21" s="11">
        <v>556.32000000000005</v>
      </c>
      <c r="H21" s="9"/>
      <c r="I21" s="23">
        <v>0</v>
      </c>
      <c r="J21" s="1">
        <v>45</v>
      </c>
      <c r="K21" s="1">
        <v>35</v>
      </c>
      <c r="L21" s="23">
        <v>0</v>
      </c>
      <c r="M21" s="23">
        <f t="shared" si="0"/>
        <v>80</v>
      </c>
      <c r="N21" s="2"/>
    </row>
    <row r="22" spans="1:15" ht="19.5" customHeight="1">
      <c r="A22" s="8">
        <v>43908</v>
      </c>
      <c r="B22" s="45"/>
      <c r="C22" s="45"/>
      <c r="D22" s="21">
        <v>213.8</v>
      </c>
      <c r="E22" s="26">
        <v>949</v>
      </c>
      <c r="F22" s="24">
        <v>209.82</v>
      </c>
      <c r="G22" s="11">
        <v>550.32000000000005</v>
      </c>
      <c r="H22" s="9"/>
      <c r="I22" s="23">
        <v>0</v>
      </c>
      <c r="J22" s="1">
        <v>40</v>
      </c>
      <c r="K22" s="1">
        <v>30</v>
      </c>
      <c r="L22" s="23">
        <v>0</v>
      </c>
      <c r="M22" s="23">
        <f t="shared" si="0"/>
        <v>70</v>
      </c>
      <c r="N22" s="2"/>
    </row>
    <row r="23" spans="1:15" ht="19.5" customHeight="1">
      <c r="A23" s="8">
        <v>43909</v>
      </c>
      <c r="B23" s="45"/>
      <c r="C23" s="45"/>
      <c r="D23" s="21">
        <v>213.8</v>
      </c>
      <c r="E23" s="26">
        <v>949</v>
      </c>
      <c r="F23" s="24">
        <f>(F22+F24)/2</f>
        <v>209.78</v>
      </c>
      <c r="G23" s="24">
        <f>(G22+G24)/2</f>
        <v>546.97</v>
      </c>
      <c r="H23" s="9"/>
      <c r="I23" s="23">
        <v>0</v>
      </c>
      <c r="J23" s="1">
        <v>40</v>
      </c>
      <c r="K23" s="1">
        <v>30</v>
      </c>
      <c r="L23" s="23">
        <v>0</v>
      </c>
      <c r="M23" s="23">
        <f t="shared" si="0"/>
        <v>70</v>
      </c>
      <c r="N23" s="2"/>
    </row>
    <row r="24" spans="1:15" ht="19.5" customHeight="1">
      <c r="A24" s="8">
        <v>43910</v>
      </c>
      <c r="B24" s="45"/>
      <c r="C24" s="45"/>
      <c r="D24" s="21">
        <v>213.8</v>
      </c>
      <c r="E24" s="26">
        <v>949</v>
      </c>
      <c r="F24" s="24">
        <v>209.74</v>
      </c>
      <c r="G24" s="11">
        <v>543.62</v>
      </c>
      <c r="H24" s="9"/>
      <c r="I24" s="23">
        <v>0</v>
      </c>
      <c r="J24" s="1">
        <v>40</v>
      </c>
      <c r="K24" s="1">
        <v>30</v>
      </c>
      <c r="L24" s="23">
        <v>0</v>
      </c>
      <c r="M24" s="23">
        <f t="shared" si="0"/>
        <v>70</v>
      </c>
      <c r="N24" s="2"/>
    </row>
    <row r="25" spans="1:15" ht="19.5" customHeight="1">
      <c r="A25" s="8">
        <v>43911</v>
      </c>
      <c r="B25" s="45"/>
      <c r="C25" s="45"/>
      <c r="D25" s="21">
        <v>213.8</v>
      </c>
      <c r="E25" s="26">
        <v>949</v>
      </c>
      <c r="F25" s="24">
        <v>209.67</v>
      </c>
      <c r="G25" s="11">
        <v>537.6</v>
      </c>
      <c r="H25" s="9"/>
      <c r="I25" s="23">
        <v>0</v>
      </c>
      <c r="J25" s="1">
        <v>40</v>
      </c>
      <c r="K25" s="1">
        <v>30</v>
      </c>
      <c r="L25" s="23">
        <v>0</v>
      </c>
      <c r="M25" s="23">
        <f t="shared" si="0"/>
        <v>70</v>
      </c>
      <c r="N25" s="2"/>
    </row>
    <row r="26" spans="1:15" ht="19.5" customHeight="1">
      <c r="A26" s="8">
        <v>43912</v>
      </c>
      <c r="B26" s="45"/>
      <c r="C26" s="45"/>
      <c r="D26" s="21">
        <v>213.8</v>
      </c>
      <c r="E26" s="26">
        <v>949</v>
      </c>
      <c r="F26" s="24">
        <v>209.62</v>
      </c>
      <c r="G26" s="11">
        <v>533.03</v>
      </c>
      <c r="H26" s="9"/>
      <c r="I26" s="23">
        <v>0</v>
      </c>
      <c r="J26" s="1">
        <v>40</v>
      </c>
      <c r="K26" s="1">
        <v>30</v>
      </c>
      <c r="L26" s="23">
        <v>0</v>
      </c>
      <c r="M26" s="23">
        <f t="shared" si="0"/>
        <v>70</v>
      </c>
      <c r="N26" s="2"/>
      <c r="O26" s="18"/>
    </row>
    <row r="27" spans="1:15" ht="19.5" customHeight="1">
      <c r="A27" s="8">
        <v>43913</v>
      </c>
      <c r="B27" s="45"/>
      <c r="C27" s="45"/>
      <c r="D27" s="21">
        <v>213.8</v>
      </c>
      <c r="E27" s="26">
        <v>949</v>
      </c>
      <c r="F27" s="24">
        <v>209.58</v>
      </c>
      <c r="G27" s="11">
        <v>530.54999999999995</v>
      </c>
      <c r="H27" s="9"/>
      <c r="I27" s="23">
        <v>0</v>
      </c>
      <c r="J27" s="1">
        <v>5</v>
      </c>
      <c r="K27" s="1">
        <v>25</v>
      </c>
      <c r="L27" s="23">
        <v>0</v>
      </c>
      <c r="M27" s="23">
        <f t="shared" si="0"/>
        <v>30</v>
      </c>
      <c r="N27" s="2"/>
    </row>
    <row r="28" spans="1:15" ht="19.5" customHeight="1">
      <c r="A28" s="8">
        <v>43914</v>
      </c>
      <c r="B28" s="45"/>
      <c r="C28" s="45"/>
      <c r="D28" s="21">
        <v>213.8</v>
      </c>
      <c r="E28" s="26">
        <v>949</v>
      </c>
      <c r="F28" s="24">
        <v>209.6</v>
      </c>
      <c r="G28" s="11">
        <v>531.26</v>
      </c>
      <c r="H28" s="9">
        <v>8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43915</v>
      </c>
      <c r="B29" s="45"/>
      <c r="C29" s="45"/>
      <c r="D29" s="21">
        <v>213.8</v>
      </c>
      <c r="E29" s="26">
        <v>949</v>
      </c>
      <c r="F29" s="24">
        <v>209.59</v>
      </c>
      <c r="G29" s="11">
        <v>530.54999999999995</v>
      </c>
      <c r="H29" s="9">
        <v>8</v>
      </c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43916</v>
      </c>
      <c r="B30" s="45"/>
      <c r="C30" s="45"/>
      <c r="D30" s="21">
        <v>213.8</v>
      </c>
      <c r="E30" s="26">
        <v>949</v>
      </c>
      <c r="F30" s="24">
        <v>209.6</v>
      </c>
      <c r="G30" s="11">
        <v>531.26</v>
      </c>
      <c r="H30" s="9">
        <v>8</v>
      </c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43917</v>
      </c>
      <c r="B31" s="45"/>
      <c r="C31" s="45"/>
      <c r="D31" s="21">
        <v>213.8</v>
      </c>
      <c r="E31" s="26">
        <v>949</v>
      </c>
      <c r="F31" s="24">
        <v>209.58</v>
      </c>
      <c r="G31" s="11">
        <v>529.5</v>
      </c>
      <c r="H31" s="9"/>
      <c r="I31" s="23">
        <v>0</v>
      </c>
      <c r="J31" s="1">
        <v>20</v>
      </c>
      <c r="K31" s="1">
        <v>0</v>
      </c>
      <c r="L31" s="23">
        <v>0</v>
      </c>
      <c r="M31" s="23">
        <f t="shared" si="0"/>
        <v>20</v>
      </c>
      <c r="N31" s="2"/>
    </row>
    <row r="32" spans="1:15" ht="21" customHeight="1">
      <c r="A32" s="8">
        <v>43918</v>
      </c>
      <c r="B32" s="45"/>
      <c r="C32" s="45"/>
      <c r="D32" s="21">
        <v>213.8</v>
      </c>
      <c r="E32" s="26">
        <v>949</v>
      </c>
      <c r="F32" s="24">
        <v>209.53</v>
      </c>
      <c r="G32" s="11">
        <v>525.26</v>
      </c>
      <c r="H32" s="9"/>
      <c r="I32" s="23">
        <v>0</v>
      </c>
      <c r="J32" s="1">
        <v>30</v>
      </c>
      <c r="K32" s="1">
        <v>20</v>
      </c>
      <c r="L32" s="23">
        <v>0</v>
      </c>
      <c r="M32" s="23">
        <f t="shared" si="0"/>
        <v>50</v>
      </c>
      <c r="N32" s="2"/>
    </row>
    <row r="33" spans="1:15" ht="21" customHeight="1">
      <c r="A33" s="8">
        <v>43919</v>
      </c>
      <c r="B33" s="45"/>
      <c r="C33" s="45"/>
      <c r="D33" s="21">
        <v>213.8</v>
      </c>
      <c r="E33" s="26">
        <v>949</v>
      </c>
      <c r="F33" s="24">
        <v>209.49</v>
      </c>
      <c r="G33" s="11">
        <v>521.73</v>
      </c>
      <c r="H33" s="9"/>
      <c r="I33" s="23">
        <v>0</v>
      </c>
      <c r="J33" s="1">
        <v>20</v>
      </c>
      <c r="K33" s="1">
        <v>20</v>
      </c>
      <c r="L33" s="23">
        <v>0</v>
      </c>
      <c r="M33" s="23">
        <f t="shared" si="0"/>
        <v>40</v>
      </c>
      <c r="N33" s="2"/>
    </row>
    <row r="34" spans="1:15" ht="21" customHeight="1">
      <c r="A34" s="8">
        <v>43920</v>
      </c>
      <c r="B34" s="45"/>
      <c r="C34" s="45"/>
      <c r="D34" s="21">
        <v>213.8</v>
      </c>
      <c r="E34" s="26">
        <v>949</v>
      </c>
      <c r="F34" s="24">
        <v>209.45</v>
      </c>
      <c r="G34" s="11">
        <v>518.20000000000005</v>
      </c>
      <c r="H34" s="9"/>
      <c r="I34" s="23">
        <v>0</v>
      </c>
      <c r="J34" s="1">
        <v>20</v>
      </c>
      <c r="K34" s="1">
        <v>20</v>
      </c>
      <c r="L34" s="23">
        <v>0</v>
      </c>
      <c r="M34" s="23">
        <f t="shared" si="0"/>
        <v>40</v>
      </c>
      <c r="N34" s="2"/>
    </row>
    <row r="35" spans="1:15" ht="21" customHeight="1">
      <c r="A35" s="8">
        <v>43921</v>
      </c>
      <c r="B35" s="46"/>
      <c r="C35" s="46"/>
      <c r="D35" s="22">
        <v>213.8</v>
      </c>
      <c r="E35" s="26">
        <v>949</v>
      </c>
      <c r="F35" s="24">
        <v>206.9</v>
      </c>
      <c r="G35" s="11">
        <v>525.26</v>
      </c>
      <c r="H35" s="9">
        <v>120</v>
      </c>
      <c r="I35" s="23">
        <v>0</v>
      </c>
      <c r="J35" s="1">
        <v>20</v>
      </c>
      <c r="K35" s="1">
        <v>20</v>
      </c>
      <c r="L35" s="23">
        <v>0</v>
      </c>
      <c r="M35" s="23">
        <f t="shared" si="0"/>
        <v>40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219</v>
      </c>
      <c r="I36" s="16">
        <f t="shared" ref="I36:M36" si="1">SUM(I5:I35)</f>
        <v>0</v>
      </c>
      <c r="J36" s="16">
        <f t="shared" si="1"/>
        <v>940</v>
      </c>
      <c r="K36" s="16">
        <f t="shared" si="1"/>
        <v>665</v>
      </c>
      <c r="L36" s="16">
        <f t="shared" si="1"/>
        <v>0</v>
      </c>
      <c r="M36" s="16">
        <f t="shared" si="1"/>
        <v>1605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1.8921721099015035E-2</v>
      </c>
      <c r="I37" s="5"/>
      <c r="J37" s="5">
        <f>J36/11574</f>
        <v>8.1216519785726624E-2</v>
      </c>
      <c r="K37" s="5">
        <f>K36/11574</f>
        <v>5.745636772075341E-2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1"/>
  <sheetViews>
    <sheetView view="pageBreakPreview" topLeftCell="A21" zoomScale="60" workbookViewId="0">
      <selection activeCell="H35" sqref="H35:M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5"/>
      <c r="C4" s="45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30">
        <v>43922</v>
      </c>
      <c r="B5" s="61" t="s">
        <v>11</v>
      </c>
      <c r="C5" s="61" t="s">
        <v>12</v>
      </c>
      <c r="D5" s="32">
        <v>213.8</v>
      </c>
      <c r="E5" s="26">
        <v>949</v>
      </c>
      <c r="F5" s="24">
        <v>209.5</v>
      </c>
      <c r="G5" s="11">
        <v>522.79</v>
      </c>
      <c r="H5" s="9">
        <v>12</v>
      </c>
      <c r="I5" s="23">
        <v>0</v>
      </c>
      <c r="J5" s="1">
        <v>20</v>
      </c>
      <c r="K5" s="1">
        <v>20</v>
      </c>
      <c r="L5" s="23">
        <v>0</v>
      </c>
      <c r="M5" s="23">
        <f>L5+K5+J5+I5</f>
        <v>40</v>
      </c>
      <c r="N5" s="2"/>
    </row>
    <row r="6" spans="1:14" ht="19.5" customHeight="1">
      <c r="A6" s="30">
        <v>43923</v>
      </c>
      <c r="B6" s="62"/>
      <c r="C6" s="62"/>
      <c r="D6" s="32">
        <v>213.8</v>
      </c>
      <c r="E6" s="26">
        <v>949</v>
      </c>
      <c r="F6" s="24">
        <v>209.45</v>
      </c>
      <c r="G6" s="11">
        <v>518.70000000000005</v>
      </c>
      <c r="H6" s="34">
        <v>0</v>
      </c>
      <c r="I6" s="23">
        <v>0</v>
      </c>
      <c r="J6" s="1">
        <v>30</v>
      </c>
      <c r="K6" s="1">
        <v>20</v>
      </c>
      <c r="L6" s="23">
        <v>0</v>
      </c>
      <c r="M6" s="23">
        <f t="shared" ref="M6:M34" si="0">L6+K6+J6+I6</f>
        <v>50</v>
      </c>
      <c r="N6" s="2"/>
    </row>
    <row r="7" spans="1:14" ht="19.5" customHeight="1">
      <c r="A7" s="30">
        <v>43924</v>
      </c>
      <c r="B7" s="62"/>
      <c r="C7" s="62"/>
      <c r="D7" s="32">
        <v>213.8</v>
      </c>
      <c r="E7" s="26">
        <v>949</v>
      </c>
      <c r="F7" s="24">
        <v>209.4</v>
      </c>
      <c r="G7" s="11">
        <v>514.4</v>
      </c>
      <c r="H7" s="34">
        <v>0</v>
      </c>
      <c r="I7" s="23">
        <v>0</v>
      </c>
      <c r="J7" s="1">
        <v>30</v>
      </c>
      <c r="K7" s="1">
        <v>20</v>
      </c>
      <c r="L7" s="23">
        <v>0</v>
      </c>
      <c r="M7" s="23">
        <f t="shared" si="0"/>
        <v>50</v>
      </c>
      <c r="N7" s="2"/>
    </row>
    <row r="8" spans="1:14" ht="19.5" customHeight="1">
      <c r="A8" s="30">
        <v>43925</v>
      </c>
      <c r="B8" s="62"/>
      <c r="C8" s="62"/>
      <c r="D8" s="32">
        <v>213.8</v>
      </c>
      <c r="E8" s="26">
        <v>949</v>
      </c>
      <c r="F8" s="24">
        <v>209.37</v>
      </c>
      <c r="G8" s="11">
        <v>511.49</v>
      </c>
      <c r="H8" s="34">
        <v>0</v>
      </c>
      <c r="I8" s="23">
        <v>0</v>
      </c>
      <c r="J8" s="1">
        <v>40</v>
      </c>
      <c r="K8" s="1">
        <v>35</v>
      </c>
      <c r="L8" s="23">
        <v>0</v>
      </c>
      <c r="M8" s="23">
        <f t="shared" si="0"/>
        <v>75</v>
      </c>
      <c r="N8" s="2"/>
    </row>
    <row r="9" spans="1:14" ht="19.5" customHeight="1">
      <c r="A9" s="30">
        <v>43926</v>
      </c>
      <c r="B9" s="62"/>
      <c r="C9" s="62"/>
      <c r="D9" s="32">
        <v>213.8</v>
      </c>
      <c r="E9" s="26">
        <v>949</v>
      </c>
      <c r="F9" s="24">
        <v>209.3</v>
      </c>
      <c r="G9" s="11">
        <v>505.49599999999998</v>
      </c>
      <c r="H9" s="34">
        <v>0</v>
      </c>
      <c r="I9" s="23">
        <v>0</v>
      </c>
      <c r="J9" s="1">
        <v>40</v>
      </c>
      <c r="K9" s="1">
        <v>30</v>
      </c>
      <c r="L9" s="23">
        <v>0</v>
      </c>
      <c r="M9" s="23">
        <f t="shared" si="0"/>
        <v>70</v>
      </c>
      <c r="N9" s="2"/>
    </row>
    <row r="10" spans="1:14" ht="19.5" customHeight="1">
      <c r="A10" s="30">
        <v>43927</v>
      </c>
      <c r="B10" s="62"/>
      <c r="C10" s="62"/>
      <c r="D10" s="32">
        <v>213.8</v>
      </c>
      <c r="E10" s="26">
        <v>949</v>
      </c>
      <c r="F10" s="24">
        <v>209.24</v>
      </c>
      <c r="G10" s="11">
        <v>500.21</v>
      </c>
      <c r="H10" s="34">
        <v>0</v>
      </c>
      <c r="I10" s="23">
        <v>0</v>
      </c>
      <c r="J10" s="1">
        <v>30</v>
      </c>
      <c r="K10" s="1">
        <v>30</v>
      </c>
      <c r="L10" s="23">
        <v>0</v>
      </c>
      <c r="M10" s="23">
        <f t="shared" si="0"/>
        <v>60</v>
      </c>
      <c r="N10" s="2"/>
    </row>
    <row r="11" spans="1:14" ht="19.5" customHeight="1">
      <c r="A11" s="30">
        <v>43928</v>
      </c>
      <c r="B11" s="62"/>
      <c r="C11" s="62"/>
      <c r="D11" s="32">
        <v>213.8</v>
      </c>
      <c r="E11" s="26">
        <v>949</v>
      </c>
      <c r="F11" s="24">
        <v>209.27</v>
      </c>
      <c r="G11" s="11">
        <v>502.67</v>
      </c>
      <c r="H11" s="9">
        <v>73</v>
      </c>
      <c r="I11" s="23">
        <v>0</v>
      </c>
      <c r="J11" s="1">
        <v>25</v>
      </c>
      <c r="K11" s="1">
        <v>20</v>
      </c>
      <c r="L11" s="23">
        <v>0</v>
      </c>
      <c r="M11" s="23">
        <f t="shared" si="0"/>
        <v>45</v>
      </c>
      <c r="N11" s="2"/>
    </row>
    <row r="12" spans="1:14" ht="19.5" customHeight="1">
      <c r="A12" s="30">
        <v>43929</v>
      </c>
      <c r="B12" s="62"/>
      <c r="C12" s="62"/>
      <c r="D12" s="32">
        <v>213.8</v>
      </c>
      <c r="E12" s="26">
        <v>949</v>
      </c>
      <c r="F12" s="24">
        <v>209.25</v>
      </c>
      <c r="G12" s="11">
        <v>500.9</v>
      </c>
      <c r="H12" s="9">
        <v>20</v>
      </c>
      <c r="I12" s="23">
        <v>0</v>
      </c>
      <c r="J12" s="1">
        <v>20</v>
      </c>
      <c r="K12" s="1">
        <v>20</v>
      </c>
      <c r="L12" s="23">
        <v>0</v>
      </c>
      <c r="M12" s="23">
        <f t="shared" si="0"/>
        <v>40</v>
      </c>
      <c r="N12" s="2"/>
    </row>
    <row r="13" spans="1:14" ht="19.5" customHeight="1">
      <c r="A13" s="30">
        <v>43930</v>
      </c>
      <c r="B13" s="62"/>
      <c r="C13" s="62"/>
      <c r="D13" s="32">
        <v>213.8</v>
      </c>
      <c r="E13" s="26">
        <v>949</v>
      </c>
      <c r="F13" s="25">
        <v>209.23</v>
      </c>
      <c r="G13" s="24">
        <v>499.14</v>
      </c>
      <c r="H13" s="9">
        <v>20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30">
        <v>43931</v>
      </c>
      <c r="B14" s="62"/>
      <c r="C14" s="62"/>
      <c r="D14" s="32">
        <v>213.8</v>
      </c>
      <c r="E14" s="26">
        <v>949</v>
      </c>
      <c r="F14" s="24">
        <v>209.2</v>
      </c>
      <c r="G14" s="11">
        <v>496.67</v>
      </c>
      <c r="H14" s="34">
        <v>0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30">
        <v>43932</v>
      </c>
      <c r="B15" s="62"/>
      <c r="C15" s="62"/>
      <c r="D15" s="32">
        <v>213.8</v>
      </c>
      <c r="E15" s="26">
        <v>949</v>
      </c>
      <c r="F15" s="24">
        <v>209.2</v>
      </c>
      <c r="G15" s="11">
        <v>496.67</v>
      </c>
      <c r="H15" s="34">
        <v>0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30">
        <v>43933</v>
      </c>
      <c r="B16" s="62"/>
      <c r="C16" s="62"/>
      <c r="D16" s="32">
        <v>213.8</v>
      </c>
      <c r="E16" s="26">
        <v>949</v>
      </c>
      <c r="F16" s="24">
        <v>209.2</v>
      </c>
      <c r="G16" s="11">
        <v>496.67</v>
      </c>
      <c r="H16" s="34">
        <v>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30">
        <v>43934</v>
      </c>
      <c r="B17" s="62"/>
      <c r="C17" s="62"/>
      <c r="D17" s="32">
        <v>213.8</v>
      </c>
      <c r="E17" s="26">
        <v>949</v>
      </c>
      <c r="F17" s="24">
        <v>209.2</v>
      </c>
      <c r="G17" s="11">
        <v>496.67</v>
      </c>
      <c r="H17" s="34">
        <v>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30">
        <v>43935</v>
      </c>
      <c r="B18" s="62"/>
      <c r="C18" s="62"/>
      <c r="D18" s="32">
        <v>213.8</v>
      </c>
      <c r="E18" s="26">
        <v>949</v>
      </c>
      <c r="F18" s="24">
        <v>209.2</v>
      </c>
      <c r="G18" s="11">
        <v>496.67</v>
      </c>
      <c r="H18" s="34">
        <v>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30">
        <v>43936</v>
      </c>
      <c r="B19" s="62"/>
      <c r="C19" s="62"/>
      <c r="D19" s="32">
        <v>213.8</v>
      </c>
      <c r="E19" s="26">
        <v>949</v>
      </c>
      <c r="F19" s="24">
        <v>209.2</v>
      </c>
      <c r="G19" s="11">
        <v>496.67</v>
      </c>
      <c r="H19" s="34">
        <v>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30">
        <v>43937</v>
      </c>
      <c r="B20" s="62"/>
      <c r="C20" s="62"/>
      <c r="D20" s="32">
        <v>213.8</v>
      </c>
      <c r="E20" s="26">
        <v>949</v>
      </c>
      <c r="F20" s="24">
        <v>209.17</v>
      </c>
      <c r="G20" s="11">
        <v>492.43</v>
      </c>
      <c r="H20" s="34">
        <v>0</v>
      </c>
      <c r="I20" s="23">
        <v>0</v>
      </c>
      <c r="J20" s="1">
        <v>25</v>
      </c>
      <c r="K20" s="1">
        <v>20</v>
      </c>
      <c r="L20" s="23">
        <v>0</v>
      </c>
      <c r="M20" s="23">
        <f t="shared" si="0"/>
        <v>45</v>
      </c>
      <c r="N20" s="2"/>
    </row>
    <row r="21" spans="1:15" ht="19.5" customHeight="1">
      <c r="A21" s="30">
        <v>43938</v>
      </c>
      <c r="B21" s="62"/>
      <c r="C21" s="62"/>
      <c r="D21" s="32">
        <v>213.8</v>
      </c>
      <c r="E21" s="26">
        <v>949</v>
      </c>
      <c r="F21" s="24">
        <v>209.14</v>
      </c>
      <c r="G21" s="11">
        <v>488.55</v>
      </c>
      <c r="H21" s="34">
        <v>0</v>
      </c>
      <c r="I21" s="23">
        <v>0</v>
      </c>
      <c r="J21" s="1">
        <v>25</v>
      </c>
      <c r="K21" s="1">
        <v>20</v>
      </c>
      <c r="L21" s="23">
        <v>0</v>
      </c>
      <c r="M21" s="23">
        <f t="shared" si="0"/>
        <v>45</v>
      </c>
      <c r="N21" s="2"/>
    </row>
    <row r="22" spans="1:15" ht="19.5" customHeight="1">
      <c r="A22" s="30">
        <v>43939</v>
      </c>
      <c r="B22" s="62"/>
      <c r="C22" s="62"/>
      <c r="D22" s="32">
        <v>213.8</v>
      </c>
      <c r="E22" s="26">
        <v>949</v>
      </c>
      <c r="F22" s="24">
        <v>209.13</v>
      </c>
      <c r="G22" s="11">
        <v>487.14</v>
      </c>
      <c r="H22" s="34">
        <v>0</v>
      </c>
      <c r="I22" s="23">
        <v>0</v>
      </c>
      <c r="J22" s="1">
        <v>15</v>
      </c>
      <c r="K22" s="1">
        <v>0</v>
      </c>
      <c r="L22" s="23">
        <v>0</v>
      </c>
      <c r="M22" s="23">
        <f t="shared" si="0"/>
        <v>15</v>
      </c>
      <c r="N22" s="2"/>
    </row>
    <row r="23" spans="1:15" ht="19.5" customHeight="1">
      <c r="A23" s="30">
        <v>43940</v>
      </c>
      <c r="B23" s="62"/>
      <c r="C23" s="62"/>
      <c r="D23" s="32">
        <v>213.8</v>
      </c>
      <c r="E23" s="26">
        <v>949</v>
      </c>
      <c r="F23" s="24">
        <v>209.12</v>
      </c>
      <c r="G23" s="11">
        <v>485.72</v>
      </c>
      <c r="H23" s="34">
        <v>0</v>
      </c>
      <c r="I23" s="23">
        <v>0</v>
      </c>
      <c r="J23" s="1">
        <v>15</v>
      </c>
      <c r="K23" s="1">
        <v>0</v>
      </c>
      <c r="L23" s="23">
        <v>0</v>
      </c>
      <c r="M23" s="23">
        <f t="shared" si="0"/>
        <v>15</v>
      </c>
      <c r="N23" s="2"/>
    </row>
    <row r="24" spans="1:15" ht="19.5" customHeight="1">
      <c r="A24" s="30">
        <v>43941</v>
      </c>
      <c r="B24" s="62"/>
      <c r="C24" s="62"/>
      <c r="D24" s="32">
        <v>213.8</v>
      </c>
      <c r="E24" s="26">
        <v>949</v>
      </c>
      <c r="F24" s="24">
        <v>209.19</v>
      </c>
      <c r="G24" s="11">
        <v>482.9</v>
      </c>
      <c r="H24" s="34">
        <v>0</v>
      </c>
      <c r="I24" s="23">
        <v>0</v>
      </c>
      <c r="J24" s="1">
        <v>30</v>
      </c>
      <c r="K24" s="1">
        <v>0</v>
      </c>
      <c r="L24" s="23">
        <v>0</v>
      </c>
      <c r="M24" s="23">
        <f t="shared" si="0"/>
        <v>30</v>
      </c>
      <c r="N24" s="2"/>
    </row>
    <row r="25" spans="1:15" ht="19.5" customHeight="1">
      <c r="A25" s="30">
        <v>43942</v>
      </c>
      <c r="B25" s="62"/>
      <c r="C25" s="62"/>
      <c r="D25" s="32">
        <v>213.8</v>
      </c>
      <c r="E25" s="26">
        <v>949</v>
      </c>
      <c r="F25" s="24">
        <v>209.1</v>
      </c>
      <c r="G25" s="11">
        <v>482.9</v>
      </c>
      <c r="H25" s="34">
        <v>0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30">
        <v>43943</v>
      </c>
      <c r="B26" s="62"/>
      <c r="C26" s="62"/>
      <c r="D26" s="32">
        <v>213.8</v>
      </c>
      <c r="E26" s="26">
        <v>949</v>
      </c>
      <c r="F26" s="24">
        <v>209.1</v>
      </c>
      <c r="G26" s="11">
        <v>482.9</v>
      </c>
      <c r="H26" s="34">
        <v>0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8"/>
    </row>
    <row r="27" spans="1:15" ht="19.5" customHeight="1">
      <c r="A27" s="30">
        <v>43944</v>
      </c>
      <c r="B27" s="62"/>
      <c r="C27" s="62"/>
      <c r="D27" s="32">
        <v>213.8</v>
      </c>
      <c r="E27" s="26">
        <v>949</v>
      </c>
      <c r="F27" s="24">
        <v>209.1</v>
      </c>
      <c r="G27" s="11">
        <v>482.9</v>
      </c>
      <c r="H27" s="34">
        <v>0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30">
        <v>43945</v>
      </c>
      <c r="B28" s="62"/>
      <c r="C28" s="62"/>
      <c r="D28" s="32">
        <v>213.8</v>
      </c>
      <c r="E28" s="26">
        <v>949</v>
      </c>
      <c r="F28" s="24">
        <v>209.09</v>
      </c>
      <c r="G28" s="11">
        <v>482.55</v>
      </c>
      <c r="H28" s="34">
        <v>0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30">
        <v>43946</v>
      </c>
      <c r="B29" s="62"/>
      <c r="C29" s="62"/>
      <c r="D29" s="32">
        <v>213.8</v>
      </c>
      <c r="E29" s="26">
        <v>949</v>
      </c>
      <c r="F29" s="24">
        <v>209.09</v>
      </c>
      <c r="G29" s="11">
        <v>482.55</v>
      </c>
      <c r="H29" s="34">
        <v>0</v>
      </c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30">
        <v>43947</v>
      </c>
      <c r="B30" s="62"/>
      <c r="C30" s="62"/>
      <c r="D30" s="32">
        <v>213.8</v>
      </c>
      <c r="E30" s="26">
        <v>949</v>
      </c>
      <c r="F30" s="24">
        <v>209.09</v>
      </c>
      <c r="G30" s="11">
        <v>482.55</v>
      </c>
      <c r="H30" s="34">
        <v>0</v>
      </c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30">
        <v>43948</v>
      </c>
      <c r="B31" s="62"/>
      <c r="C31" s="62"/>
      <c r="D31" s="32">
        <v>213.8</v>
      </c>
      <c r="E31" s="26">
        <v>949</v>
      </c>
      <c r="F31" s="24">
        <v>209.12</v>
      </c>
      <c r="G31" s="11">
        <v>485.72</v>
      </c>
      <c r="H31" s="9">
        <v>37</v>
      </c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30">
        <v>43949</v>
      </c>
      <c r="B32" s="62"/>
      <c r="C32" s="62"/>
      <c r="D32" s="32">
        <v>213.8</v>
      </c>
      <c r="E32" s="26">
        <v>949</v>
      </c>
      <c r="F32" s="24">
        <v>209.14</v>
      </c>
      <c r="G32" s="11">
        <v>488.55200000000002</v>
      </c>
      <c r="H32" s="9">
        <v>33</v>
      </c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30">
        <v>43950</v>
      </c>
      <c r="B33" s="62"/>
      <c r="C33" s="62"/>
      <c r="D33" s="32">
        <v>213.8</v>
      </c>
      <c r="E33" s="26">
        <v>949</v>
      </c>
      <c r="F33" s="24">
        <v>209.17</v>
      </c>
      <c r="G33" s="11">
        <v>492.435</v>
      </c>
      <c r="H33" s="9">
        <v>45</v>
      </c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30">
        <v>43951</v>
      </c>
      <c r="B34" s="62"/>
      <c r="C34" s="62"/>
      <c r="D34" s="32">
        <v>213.8</v>
      </c>
      <c r="E34" s="26">
        <v>949</v>
      </c>
      <c r="F34" s="24">
        <v>209.17</v>
      </c>
      <c r="G34" s="11">
        <v>492.435</v>
      </c>
      <c r="H34" s="9">
        <v>0</v>
      </c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12"/>
      <c r="B35" s="13"/>
      <c r="C35" s="13"/>
      <c r="D35" s="14"/>
      <c r="E35" s="14"/>
      <c r="F35" s="15"/>
      <c r="G35" s="14"/>
      <c r="H35" s="16">
        <f>SUM(H5:H34)</f>
        <v>240</v>
      </c>
      <c r="I35" s="16">
        <f t="shared" ref="I35:M35" si="1">SUM(I5:I34)</f>
        <v>0</v>
      </c>
      <c r="J35" s="16">
        <f t="shared" si="1"/>
        <v>345</v>
      </c>
      <c r="K35" s="16">
        <f t="shared" si="1"/>
        <v>235</v>
      </c>
      <c r="L35" s="16">
        <f t="shared" si="1"/>
        <v>0</v>
      </c>
      <c r="M35" s="16">
        <f t="shared" si="1"/>
        <v>580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2.0736132711249352E-2</v>
      </c>
      <c r="I36" s="5"/>
      <c r="J36" s="5">
        <f>J35/11574</f>
        <v>2.9808190772420945E-2</v>
      </c>
      <c r="K36" s="5">
        <f>K35/11574</f>
        <v>2.0304129946431656E-2</v>
      </c>
      <c r="L36" s="6"/>
      <c r="M36" s="6"/>
      <c r="N36" s="7"/>
    </row>
    <row r="37" spans="1:15" ht="15.75" customHeight="1">
      <c r="A37" s="47" t="s">
        <v>9</v>
      </c>
      <c r="B37" s="41"/>
      <c r="C37" s="41"/>
      <c r="D37" s="41"/>
      <c r="J37" s="47" t="s">
        <v>10</v>
      </c>
      <c r="K37" s="41"/>
      <c r="L37" s="41"/>
      <c r="M37" s="41"/>
      <c r="N37" s="7"/>
    </row>
    <row r="38" spans="1:15" ht="15.75" customHeight="1">
      <c r="A38" s="48" t="s">
        <v>16</v>
      </c>
      <c r="B38" s="41"/>
      <c r="C38" s="41"/>
      <c r="D38" s="41"/>
      <c r="J38" s="48" t="s">
        <v>16</v>
      </c>
      <c r="K38" s="41"/>
      <c r="L38" s="41"/>
      <c r="M38" s="41"/>
      <c r="N38" s="7"/>
    </row>
    <row r="39" spans="1:15" ht="15.75" customHeight="1">
      <c r="A39" s="40" t="s">
        <v>17</v>
      </c>
      <c r="B39" s="41"/>
      <c r="C39" s="41"/>
      <c r="D39" s="41"/>
      <c r="J39" s="40" t="s">
        <v>17</v>
      </c>
      <c r="K39" s="41"/>
      <c r="L39" s="41"/>
      <c r="M39" s="41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18" zoomScale="60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43952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209.17</v>
      </c>
      <c r="G5" s="11">
        <v>492.43</v>
      </c>
      <c r="H5" s="9">
        <v>0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43953</v>
      </c>
      <c r="B6" s="45"/>
      <c r="C6" s="45"/>
      <c r="D6" s="21">
        <v>213.8</v>
      </c>
      <c r="E6" s="26">
        <v>949</v>
      </c>
      <c r="F6" s="24">
        <v>209.17</v>
      </c>
      <c r="G6" s="11">
        <v>492.43</v>
      </c>
      <c r="H6" s="9">
        <v>0</v>
      </c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43954</v>
      </c>
      <c r="B7" s="45"/>
      <c r="C7" s="45"/>
      <c r="D7" s="21">
        <v>213.8</v>
      </c>
      <c r="E7" s="26">
        <v>949</v>
      </c>
      <c r="F7" s="24">
        <v>209.17</v>
      </c>
      <c r="G7" s="11">
        <v>492.43</v>
      </c>
      <c r="H7" s="9">
        <v>0</v>
      </c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43955</v>
      </c>
      <c r="B8" s="45"/>
      <c r="C8" s="45"/>
      <c r="D8" s="21">
        <v>213.8</v>
      </c>
      <c r="E8" s="26">
        <v>949</v>
      </c>
      <c r="F8" s="24">
        <v>209.22</v>
      </c>
      <c r="G8" s="11">
        <v>498.43</v>
      </c>
      <c r="H8" s="9">
        <v>70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43956</v>
      </c>
      <c r="B9" s="45"/>
      <c r="C9" s="45"/>
      <c r="D9" s="21">
        <v>213.8</v>
      </c>
      <c r="E9" s="26">
        <v>949</v>
      </c>
      <c r="F9" s="24">
        <v>209.25</v>
      </c>
      <c r="G9" s="11">
        <v>500.9</v>
      </c>
      <c r="H9" s="9">
        <v>30</v>
      </c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43957</v>
      </c>
      <c r="B10" s="45"/>
      <c r="C10" s="45"/>
      <c r="D10" s="21">
        <v>213.8</v>
      </c>
      <c r="E10" s="26">
        <v>949</v>
      </c>
      <c r="F10" s="24">
        <v>209.25</v>
      </c>
      <c r="G10" s="11">
        <v>500.9</v>
      </c>
      <c r="H10" s="9">
        <v>30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43958</v>
      </c>
      <c r="B11" s="45"/>
      <c r="C11" s="45"/>
      <c r="D11" s="21">
        <v>213.8</v>
      </c>
      <c r="E11" s="26">
        <v>949</v>
      </c>
      <c r="F11" s="24">
        <v>209.27</v>
      </c>
      <c r="G11" s="11">
        <v>502.67</v>
      </c>
      <c r="H11" s="9">
        <v>20</v>
      </c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43959</v>
      </c>
      <c r="B12" s="45"/>
      <c r="C12" s="45"/>
      <c r="D12" s="21">
        <v>213.8</v>
      </c>
      <c r="E12" s="26">
        <v>949</v>
      </c>
      <c r="F12" s="24">
        <v>209.27</v>
      </c>
      <c r="G12" s="11">
        <v>502.67</v>
      </c>
      <c r="H12" s="9">
        <v>0</v>
      </c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43960</v>
      </c>
      <c r="B13" s="45"/>
      <c r="C13" s="45"/>
      <c r="D13" s="21">
        <v>213.8</v>
      </c>
      <c r="E13" s="26">
        <v>949</v>
      </c>
      <c r="F13" s="24">
        <v>209.27</v>
      </c>
      <c r="G13" s="11">
        <v>502.67</v>
      </c>
      <c r="H13" s="9">
        <v>0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43961</v>
      </c>
      <c r="B14" s="45"/>
      <c r="C14" s="45"/>
      <c r="D14" s="21">
        <v>213.8</v>
      </c>
      <c r="E14" s="26">
        <v>949</v>
      </c>
      <c r="F14" s="24">
        <v>209.32</v>
      </c>
      <c r="G14" s="11">
        <v>507.26</v>
      </c>
      <c r="H14" s="9">
        <v>0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43962</v>
      </c>
      <c r="B15" s="45"/>
      <c r="C15" s="45"/>
      <c r="D15" s="21">
        <v>213.8</v>
      </c>
      <c r="E15" s="26">
        <v>949</v>
      </c>
      <c r="F15" s="24">
        <v>209.32</v>
      </c>
      <c r="G15" s="11">
        <v>507.26</v>
      </c>
      <c r="H15" s="9">
        <v>0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43963</v>
      </c>
      <c r="B16" s="45"/>
      <c r="C16" s="45"/>
      <c r="D16" s="21">
        <v>213.8</v>
      </c>
      <c r="E16" s="26">
        <v>949</v>
      </c>
      <c r="F16" s="24">
        <v>209.32</v>
      </c>
      <c r="G16" s="11">
        <v>507.26</v>
      </c>
      <c r="H16" s="9">
        <v>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43964</v>
      </c>
      <c r="B17" s="45"/>
      <c r="C17" s="45"/>
      <c r="D17" s="21">
        <v>213.8</v>
      </c>
      <c r="E17" s="26">
        <v>949</v>
      </c>
      <c r="F17" s="24">
        <v>209.32</v>
      </c>
      <c r="G17" s="11">
        <v>507.26</v>
      </c>
      <c r="H17" s="9">
        <v>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43965</v>
      </c>
      <c r="B18" s="45"/>
      <c r="C18" s="45"/>
      <c r="D18" s="21">
        <v>213.8</v>
      </c>
      <c r="E18" s="26">
        <v>949</v>
      </c>
      <c r="F18" s="24">
        <v>209.32</v>
      </c>
      <c r="G18" s="11">
        <v>507.26</v>
      </c>
      <c r="H18" s="9">
        <v>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43966</v>
      </c>
      <c r="B19" s="45"/>
      <c r="C19" s="45"/>
      <c r="D19" s="21">
        <v>213.8</v>
      </c>
      <c r="E19" s="26">
        <v>949</v>
      </c>
      <c r="F19" s="24">
        <v>209.32</v>
      </c>
      <c r="G19" s="11">
        <v>507.26</v>
      </c>
      <c r="H19" s="9">
        <v>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43967</v>
      </c>
      <c r="B20" s="45"/>
      <c r="C20" s="45"/>
      <c r="D20" s="21">
        <v>213.8</v>
      </c>
      <c r="E20" s="26">
        <v>949</v>
      </c>
      <c r="F20" s="24">
        <v>209.32</v>
      </c>
      <c r="G20" s="11">
        <v>507.26</v>
      </c>
      <c r="H20" s="9">
        <v>0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43968</v>
      </c>
      <c r="B21" s="45"/>
      <c r="C21" s="45"/>
      <c r="D21" s="21">
        <v>213.8</v>
      </c>
      <c r="E21" s="26">
        <v>949</v>
      </c>
      <c r="F21" s="24">
        <v>209.32</v>
      </c>
      <c r="G21" s="11">
        <v>507.26</v>
      </c>
      <c r="H21" s="9">
        <v>0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43969</v>
      </c>
      <c r="B22" s="45"/>
      <c r="C22" s="45"/>
      <c r="D22" s="21">
        <v>213.8</v>
      </c>
      <c r="E22" s="26">
        <v>949</v>
      </c>
      <c r="F22" s="24">
        <v>209.32</v>
      </c>
      <c r="G22" s="11">
        <v>507.26</v>
      </c>
      <c r="H22" s="9">
        <v>0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43970</v>
      </c>
      <c r="B23" s="45"/>
      <c r="C23" s="45"/>
      <c r="D23" s="21">
        <v>213.8</v>
      </c>
      <c r="E23" s="26">
        <v>949</v>
      </c>
      <c r="F23" s="24">
        <v>209.32</v>
      </c>
      <c r="G23" s="11">
        <v>507.26</v>
      </c>
      <c r="H23" s="9">
        <v>0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43971</v>
      </c>
      <c r="B24" s="45"/>
      <c r="C24" s="45"/>
      <c r="D24" s="21">
        <v>213.8</v>
      </c>
      <c r="E24" s="26">
        <v>949</v>
      </c>
      <c r="F24" s="24">
        <v>209.3</v>
      </c>
      <c r="G24" s="11">
        <v>505.5</v>
      </c>
      <c r="H24" s="9">
        <v>0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43972</v>
      </c>
      <c r="B25" s="45"/>
      <c r="C25" s="45"/>
      <c r="D25" s="21">
        <v>213.8</v>
      </c>
      <c r="E25" s="26">
        <v>949</v>
      </c>
      <c r="F25" s="24">
        <v>209.3</v>
      </c>
      <c r="G25" s="11">
        <v>505.5</v>
      </c>
      <c r="H25" s="9">
        <v>0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43973</v>
      </c>
      <c r="B26" s="45"/>
      <c r="C26" s="45"/>
      <c r="D26" s="21">
        <v>213.8</v>
      </c>
      <c r="E26" s="26">
        <v>949</v>
      </c>
      <c r="F26" s="24">
        <v>209.29</v>
      </c>
      <c r="G26" s="11">
        <v>504.1</v>
      </c>
      <c r="H26" s="9">
        <v>0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8"/>
    </row>
    <row r="27" spans="1:15" ht="19.5" customHeight="1">
      <c r="A27" s="8">
        <v>43974</v>
      </c>
      <c r="B27" s="45"/>
      <c r="C27" s="45"/>
      <c r="D27" s="21">
        <v>213.8</v>
      </c>
      <c r="E27" s="26">
        <v>949</v>
      </c>
      <c r="F27" s="24">
        <v>209.29</v>
      </c>
      <c r="G27" s="11">
        <v>504.1</v>
      </c>
      <c r="H27" s="9">
        <v>0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43975</v>
      </c>
      <c r="B28" s="45"/>
      <c r="C28" s="45"/>
      <c r="D28" s="21">
        <v>213.8</v>
      </c>
      <c r="E28" s="26">
        <v>949</v>
      </c>
      <c r="F28" s="24">
        <v>209.26</v>
      </c>
      <c r="G28" s="11">
        <v>502.49</v>
      </c>
      <c r="H28" s="9">
        <v>0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43976</v>
      </c>
      <c r="B29" s="45"/>
      <c r="C29" s="45"/>
      <c r="D29" s="21">
        <v>213.8</v>
      </c>
      <c r="E29" s="26">
        <v>949</v>
      </c>
      <c r="F29" s="24">
        <v>209.25</v>
      </c>
      <c r="G29" s="11">
        <v>500.9</v>
      </c>
      <c r="H29" s="9">
        <v>0</v>
      </c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43977</v>
      </c>
      <c r="B30" s="45"/>
      <c r="C30" s="45"/>
      <c r="D30" s="21">
        <v>213.8</v>
      </c>
      <c r="E30" s="26">
        <v>949</v>
      </c>
      <c r="F30" s="24">
        <v>209.23</v>
      </c>
      <c r="G30" s="11">
        <v>499.14</v>
      </c>
      <c r="H30" s="9">
        <v>0</v>
      </c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43978</v>
      </c>
      <c r="B31" s="45"/>
      <c r="C31" s="45"/>
      <c r="D31" s="21">
        <v>213.8</v>
      </c>
      <c r="E31" s="26">
        <v>949</v>
      </c>
      <c r="F31" s="24">
        <v>209.23</v>
      </c>
      <c r="G31" s="11">
        <v>499.14</v>
      </c>
      <c r="H31" s="9">
        <v>0</v>
      </c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43979</v>
      </c>
      <c r="B32" s="45"/>
      <c r="C32" s="45"/>
      <c r="D32" s="21">
        <v>213.8</v>
      </c>
      <c r="E32" s="26">
        <v>949</v>
      </c>
      <c r="F32" s="24">
        <v>209.2</v>
      </c>
      <c r="G32" s="11">
        <v>498.67</v>
      </c>
      <c r="H32" s="9">
        <v>0</v>
      </c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43980</v>
      </c>
      <c r="B33" s="45"/>
      <c r="C33" s="45"/>
      <c r="D33" s="21">
        <v>213.8</v>
      </c>
      <c r="E33" s="26">
        <v>949</v>
      </c>
      <c r="F33" s="24">
        <v>209.19</v>
      </c>
      <c r="G33" s="11">
        <v>495.25</v>
      </c>
      <c r="H33" s="9">
        <v>0</v>
      </c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43981</v>
      </c>
      <c r="B34" s="45"/>
      <c r="C34" s="45"/>
      <c r="D34" s="21">
        <v>213.8</v>
      </c>
      <c r="E34" s="26">
        <v>949</v>
      </c>
      <c r="F34" s="24">
        <v>209.19</v>
      </c>
      <c r="G34" s="11">
        <v>495.25</v>
      </c>
      <c r="H34" s="9">
        <v>0</v>
      </c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8">
        <v>43982</v>
      </c>
      <c r="B35" s="46"/>
      <c r="C35" s="46"/>
      <c r="D35" s="22">
        <v>213.8</v>
      </c>
      <c r="E35" s="26">
        <v>949</v>
      </c>
      <c r="F35" s="24">
        <v>209.17</v>
      </c>
      <c r="G35" s="11">
        <v>492.43</v>
      </c>
      <c r="H35" s="9">
        <v>0</v>
      </c>
      <c r="I35" s="23">
        <v>0</v>
      </c>
      <c r="J35" s="1">
        <v>0</v>
      </c>
      <c r="K35" s="1">
        <v>0</v>
      </c>
      <c r="L35" s="23">
        <v>0</v>
      </c>
      <c r="M35" s="23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150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0</v>
      </c>
      <c r="M36" s="16">
        <f t="shared" si="1"/>
        <v>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1.2960082944530845E-2</v>
      </c>
      <c r="I37" s="5"/>
      <c r="J37" s="5">
        <f>J36/11574</f>
        <v>0</v>
      </c>
      <c r="K37" s="5">
        <f>K36/11574</f>
        <v>0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1"/>
  <sheetViews>
    <sheetView view="pageBreakPreview" topLeftCell="A17" zoomScale="60" workbookViewId="0">
      <selection activeCell="H35" sqref="H35:M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5"/>
      <c r="C4" s="45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30">
        <v>43983</v>
      </c>
      <c r="B5" s="61" t="s">
        <v>11</v>
      </c>
      <c r="C5" s="61" t="s">
        <v>12</v>
      </c>
      <c r="D5" s="32">
        <v>213.8</v>
      </c>
      <c r="E5" s="26">
        <v>949</v>
      </c>
      <c r="F5" s="24">
        <v>209.17</v>
      </c>
      <c r="G5" s="11">
        <v>492.43</v>
      </c>
      <c r="H5" s="9">
        <v>0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30">
        <v>43984</v>
      </c>
      <c r="B6" s="62"/>
      <c r="C6" s="62"/>
      <c r="D6" s="32">
        <v>213.8</v>
      </c>
      <c r="E6" s="26">
        <v>949</v>
      </c>
      <c r="F6" s="24">
        <v>209.16</v>
      </c>
      <c r="G6" s="11">
        <v>491.37</v>
      </c>
      <c r="H6" s="9">
        <v>0</v>
      </c>
      <c r="I6" s="23">
        <v>0</v>
      </c>
      <c r="J6" s="1">
        <v>0</v>
      </c>
      <c r="K6" s="1">
        <v>0</v>
      </c>
      <c r="L6" s="23">
        <v>0</v>
      </c>
      <c r="M6" s="23">
        <f t="shared" ref="M6:M34" si="0">L6+K6+J6+I6</f>
        <v>0</v>
      </c>
      <c r="N6" s="2"/>
    </row>
    <row r="7" spans="1:14" ht="19.5" customHeight="1">
      <c r="A7" s="30">
        <v>43985</v>
      </c>
      <c r="B7" s="62"/>
      <c r="C7" s="62"/>
      <c r="D7" s="32">
        <v>213.8</v>
      </c>
      <c r="E7" s="26">
        <v>949</v>
      </c>
      <c r="F7" s="24">
        <v>209.23</v>
      </c>
      <c r="G7" s="11">
        <v>499.14</v>
      </c>
      <c r="H7" s="9">
        <v>90</v>
      </c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30">
        <v>43986</v>
      </c>
      <c r="B8" s="62"/>
      <c r="C8" s="62"/>
      <c r="D8" s="32">
        <v>213.8</v>
      </c>
      <c r="E8" s="26">
        <v>949</v>
      </c>
      <c r="F8" s="24">
        <v>209.27</v>
      </c>
      <c r="G8" s="11">
        <v>502.67</v>
      </c>
      <c r="H8" s="9">
        <v>0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30">
        <v>43987</v>
      </c>
      <c r="B9" s="62"/>
      <c r="C9" s="62"/>
      <c r="D9" s="32">
        <v>213.8</v>
      </c>
      <c r="E9" s="26">
        <v>949</v>
      </c>
      <c r="F9" s="24">
        <v>209.27</v>
      </c>
      <c r="G9" s="11">
        <v>502.67</v>
      </c>
      <c r="H9" s="9">
        <v>0</v>
      </c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30">
        <v>43988</v>
      </c>
      <c r="B10" s="62"/>
      <c r="C10" s="62"/>
      <c r="D10" s="32">
        <v>213.8</v>
      </c>
      <c r="E10" s="26">
        <v>949</v>
      </c>
      <c r="F10" s="24">
        <v>209.27</v>
      </c>
      <c r="G10" s="11">
        <v>502.67</v>
      </c>
      <c r="H10" s="9">
        <v>0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30">
        <v>43989</v>
      </c>
      <c r="B11" s="62"/>
      <c r="C11" s="62"/>
      <c r="D11" s="32">
        <v>213.8</v>
      </c>
      <c r="E11" s="26">
        <v>949</v>
      </c>
      <c r="F11" s="24">
        <v>209.27</v>
      </c>
      <c r="G11" s="11">
        <v>502.67</v>
      </c>
      <c r="H11" s="9">
        <v>0</v>
      </c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30">
        <v>43990</v>
      </c>
      <c r="B12" s="62"/>
      <c r="C12" s="62"/>
      <c r="D12" s="32">
        <v>213.8</v>
      </c>
      <c r="E12" s="26">
        <v>949</v>
      </c>
      <c r="F12" s="24">
        <v>209.27</v>
      </c>
      <c r="G12" s="11">
        <v>502.67</v>
      </c>
      <c r="H12" s="9">
        <v>0</v>
      </c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30">
        <v>43991</v>
      </c>
      <c r="B13" s="62"/>
      <c r="C13" s="62"/>
      <c r="D13" s="32">
        <v>213.8</v>
      </c>
      <c r="E13" s="26">
        <v>949</v>
      </c>
      <c r="F13" s="25">
        <v>209.32</v>
      </c>
      <c r="G13" s="24">
        <v>505.49</v>
      </c>
      <c r="H13" s="9">
        <v>32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30">
        <v>43992</v>
      </c>
      <c r="B14" s="62"/>
      <c r="C14" s="62"/>
      <c r="D14" s="32">
        <v>213.8</v>
      </c>
      <c r="E14" s="26">
        <v>949</v>
      </c>
      <c r="F14" s="24">
        <v>209.33</v>
      </c>
      <c r="G14" s="11">
        <v>507.96</v>
      </c>
      <c r="H14" s="9">
        <v>29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30">
        <v>43993</v>
      </c>
      <c r="B15" s="62"/>
      <c r="C15" s="62"/>
      <c r="D15" s="32">
        <v>213.8</v>
      </c>
      <c r="E15" s="26">
        <v>949</v>
      </c>
      <c r="F15" s="24">
        <v>209.7</v>
      </c>
      <c r="G15" s="11">
        <v>540.09</v>
      </c>
      <c r="H15" s="9">
        <v>372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30">
        <v>43994</v>
      </c>
      <c r="B16" s="62"/>
      <c r="C16" s="62"/>
      <c r="D16" s="32">
        <v>213.8</v>
      </c>
      <c r="E16" s="26">
        <v>949</v>
      </c>
      <c r="F16" s="24">
        <v>209.77</v>
      </c>
      <c r="G16" s="11">
        <v>546.09</v>
      </c>
      <c r="H16" s="9">
        <v>70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30">
        <v>43995</v>
      </c>
      <c r="B17" s="62"/>
      <c r="C17" s="62"/>
      <c r="D17" s="32">
        <v>213.8</v>
      </c>
      <c r="E17" s="26">
        <v>949</v>
      </c>
      <c r="F17" s="24">
        <v>209.85</v>
      </c>
      <c r="G17" s="11">
        <v>552.79</v>
      </c>
      <c r="H17" s="9">
        <v>78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30">
        <v>43996</v>
      </c>
      <c r="B18" s="62"/>
      <c r="C18" s="62"/>
      <c r="D18" s="32">
        <v>213.8</v>
      </c>
      <c r="E18" s="26">
        <v>949</v>
      </c>
      <c r="F18" s="24">
        <v>209.9</v>
      </c>
      <c r="G18" s="11">
        <v>557.38</v>
      </c>
      <c r="H18" s="9">
        <v>54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30">
        <v>43997</v>
      </c>
      <c r="B19" s="62"/>
      <c r="C19" s="62"/>
      <c r="D19" s="32">
        <v>213.8</v>
      </c>
      <c r="E19" s="26">
        <v>949</v>
      </c>
      <c r="F19" s="24">
        <v>209.9</v>
      </c>
      <c r="G19" s="11">
        <v>557.38</v>
      </c>
      <c r="H19" s="9">
        <v>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30">
        <v>43998</v>
      </c>
      <c r="B20" s="62"/>
      <c r="C20" s="62"/>
      <c r="D20" s="32">
        <v>213.8</v>
      </c>
      <c r="E20" s="26">
        <v>949</v>
      </c>
      <c r="F20" s="24">
        <v>209.93</v>
      </c>
      <c r="G20" s="11">
        <v>559.85799999999995</v>
      </c>
      <c r="H20" s="9">
        <v>28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30">
        <v>43999</v>
      </c>
      <c r="B21" s="62"/>
      <c r="C21" s="62"/>
      <c r="D21" s="32">
        <v>213.8</v>
      </c>
      <c r="E21" s="26">
        <v>949</v>
      </c>
      <c r="F21" s="24">
        <v>209.93</v>
      </c>
      <c r="G21" s="11">
        <v>559.85799999999995</v>
      </c>
      <c r="H21" s="9">
        <v>0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30">
        <v>44000</v>
      </c>
      <c r="B22" s="62"/>
      <c r="C22" s="62"/>
      <c r="D22" s="32">
        <v>213.8</v>
      </c>
      <c r="E22" s="26">
        <v>949</v>
      </c>
      <c r="F22" s="24">
        <v>209.93</v>
      </c>
      <c r="G22" s="11">
        <v>559.85799999999995</v>
      </c>
      <c r="H22" s="9">
        <v>0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30">
        <v>44001</v>
      </c>
      <c r="B23" s="62"/>
      <c r="C23" s="62"/>
      <c r="D23" s="32">
        <v>213.8</v>
      </c>
      <c r="E23" s="26">
        <v>949</v>
      </c>
      <c r="F23" s="24">
        <v>209.98</v>
      </c>
      <c r="G23" s="11">
        <v>564.09</v>
      </c>
      <c r="H23" s="9">
        <v>49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30">
        <v>44002</v>
      </c>
      <c r="B24" s="62"/>
      <c r="C24" s="62"/>
      <c r="D24" s="32">
        <v>213.8</v>
      </c>
      <c r="E24" s="26">
        <v>949</v>
      </c>
      <c r="F24" s="24">
        <v>209.98</v>
      </c>
      <c r="G24" s="11">
        <v>564.09</v>
      </c>
      <c r="H24" s="9">
        <v>0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30">
        <v>44003</v>
      </c>
      <c r="B25" s="62"/>
      <c r="C25" s="62"/>
      <c r="D25" s="32">
        <v>213.8</v>
      </c>
      <c r="E25" s="26">
        <v>949</v>
      </c>
      <c r="F25" s="24">
        <v>210</v>
      </c>
      <c r="G25" s="11">
        <v>565.85</v>
      </c>
      <c r="H25" s="9">
        <v>20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30">
        <v>44004</v>
      </c>
      <c r="B26" s="62"/>
      <c r="C26" s="62"/>
      <c r="D26" s="32">
        <v>213.8</v>
      </c>
      <c r="E26" s="26">
        <v>949</v>
      </c>
      <c r="F26" s="24">
        <v>210</v>
      </c>
      <c r="G26" s="11">
        <v>565.85</v>
      </c>
      <c r="H26" s="9">
        <v>0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8"/>
    </row>
    <row r="27" spans="1:15" ht="19.5" customHeight="1">
      <c r="A27" s="30">
        <v>44005</v>
      </c>
      <c r="B27" s="62"/>
      <c r="C27" s="62"/>
      <c r="D27" s="32">
        <v>213.8</v>
      </c>
      <c r="E27" s="26">
        <v>949</v>
      </c>
      <c r="F27" s="24">
        <v>210</v>
      </c>
      <c r="G27" s="11">
        <v>565.85</v>
      </c>
      <c r="H27" s="9">
        <v>0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30">
        <v>44006</v>
      </c>
      <c r="B28" s="62"/>
      <c r="C28" s="62"/>
      <c r="D28" s="32">
        <v>213.8</v>
      </c>
      <c r="E28" s="26">
        <v>949</v>
      </c>
      <c r="F28" s="24">
        <v>210</v>
      </c>
      <c r="G28" s="11">
        <v>565.85</v>
      </c>
      <c r="H28" s="9">
        <v>0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30">
        <v>44007</v>
      </c>
      <c r="B29" s="62"/>
      <c r="C29" s="62"/>
      <c r="D29" s="32">
        <v>213.8</v>
      </c>
      <c r="E29" s="26">
        <v>949</v>
      </c>
      <c r="F29" s="24">
        <v>210</v>
      </c>
      <c r="G29" s="11">
        <v>565.85</v>
      </c>
      <c r="H29" s="9">
        <v>0</v>
      </c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30">
        <v>44008</v>
      </c>
      <c r="B30" s="62"/>
      <c r="C30" s="62"/>
      <c r="D30" s="32">
        <v>213.8</v>
      </c>
      <c r="E30" s="26">
        <v>949</v>
      </c>
      <c r="F30" s="24">
        <v>210</v>
      </c>
      <c r="G30" s="11">
        <v>565.85</v>
      </c>
      <c r="H30" s="9">
        <v>0</v>
      </c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30">
        <v>44009</v>
      </c>
      <c r="B31" s="62"/>
      <c r="C31" s="62"/>
      <c r="D31" s="32">
        <v>213.8</v>
      </c>
      <c r="E31" s="26">
        <v>949</v>
      </c>
      <c r="F31" s="24">
        <v>210</v>
      </c>
      <c r="G31" s="11">
        <v>565.85</v>
      </c>
      <c r="H31" s="9">
        <v>0</v>
      </c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30">
        <v>44010</v>
      </c>
      <c r="B32" s="62"/>
      <c r="C32" s="62"/>
      <c r="D32" s="32">
        <v>213.8</v>
      </c>
      <c r="E32" s="26">
        <v>949</v>
      </c>
      <c r="F32" s="24">
        <v>210</v>
      </c>
      <c r="G32" s="11">
        <v>565.85</v>
      </c>
      <c r="H32" s="9">
        <v>0</v>
      </c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30">
        <v>44011</v>
      </c>
      <c r="B33" s="62"/>
      <c r="C33" s="62"/>
      <c r="D33" s="32">
        <v>213.8</v>
      </c>
      <c r="E33" s="26">
        <v>949</v>
      </c>
      <c r="F33" s="24">
        <v>210.12</v>
      </c>
      <c r="G33" s="11">
        <v>576.44899999999996</v>
      </c>
      <c r="H33" s="9">
        <v>123</v>
      </c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30">
        <v>44012</v>
      </c>
      <c r="B34" s="62"/>
      <c r="C34" s="62"/>
      <c r="D34" s="32">
        <v>213.8</v>
      </c>
      <c r="E34" s="26">
        <v>949</v>
      </c>
      <c r="F34" s="24">
        <v>210.15</v>
      </c>
      <c r="G34" s="11">
        <v>578.91999999999996</v>
      </c>
      <c r="H34" s="9">
        <v>28</v>
      </c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12"/>
      <c r="B35" s="13"/>
      <c r="C35" s="13"/>
      <c r="D35" s="14"/>
      <c r="E35" s="14"/>
      <c r="F35" s="15"/>
      <c r="G35" s="14"/>
      <c r="H35" s="16">
        <f>SUM(H5:H34)</f>
        <v>973</v>
      </c>
      <c r="I35" s="16">
        <f t="shared" ref="I35:M35" si="1">SUM(I5:I34)</f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8.4067738033523409E-2</v>
      </c>
      <c r="I36" s="5"/>
      <c r="J36" s="5">
        <f>J35/11574</f>
        <v>0</v>
      </c>
      <c r="K36" s="5">
        <f>K35/11574</f>
        <v>0</v>
      </c>
      <c r="L36" s="6"/>
      <c r="M36" s="6"/>
      <c r="N36" s="7"/>
    </row>
    <row r="37" spans="1:15" ht="15.75" customHeight="1">
      <c r="A37" s="47" t="s">
        <v>9</v>
      </c>
      <c r="B37" s="41"/>
      <c r="C37" s="41"/>
      <c r="D37" s="41"/>
      <c r="J37" s="47" t="s">
        <v>10</v>
      </c>
      <c r="K37" s="41"/>
      <c r="L37" s="41"/>
      <c r="M37" s="41"/>
      <c r="N37" s="7"/>
    </row>
    <row r="38" spans="1:15" ht="15.75" customHeight="1">
      <c r="A38" s="48" t="s">
        <v>16</v>
      </c>
      <c r="B38" s="41"/>
      <c r="C38" s="41"/>
      <c r="D38" s="41"/>
      <c r="J38" s="48" t="s">
        <v>16</v>
      </c>
      <c r="K38" s="41"/>
      <c r="L38" s="41"/>
      <c r="M38" s="41"/>
      <c r="N38" s="7"/>
    </row>
    <row r="39" spans="1:15" ht="15.75" customHeight="1">
      <c r="A39" s="40" t="s">
        <v>17</v>
      </c>
      <c r="B39" s="41"/>
      <c r="C39" s="41"/>
      <c r="D39" s="41"/>
      <c r="J39" s="40" t="s">
        <v>17</v>
      </c>
      <c r="K39" s="41"/>
      <c r="L39" s="41"/>
      <c r="M39" s="41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</mergeCells>
  <pageMargins left="0.7" right="0.7" top="0.75" bottom="0.75" header="0" footer="0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19" zoomScale="60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44013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210.18</v>
      </c>
      <c r="G5" s="11">
        <v>580.68499999999995</v>
      </c>
      <c r="H5" s="9">
        <v>20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44014</v>
      </c>
      <c r="B6" s="45"/>
      <c r="C6" s="45"/>
      <c r="D6" s="21">
        <v>213.8</v>
      </c>
      <c r="E6" s="26">
        <v>949</v>
      </c>
      <c r="F6" s="24">
        <v>210.4</v>
      </c>
      <c r="G6" s="11">
        <v>600.45299999999997</v>
      </c>
      <c r="H6" s="9">
        <v>229</v>
      </c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44015</v>
      </c>
      <c r="B7" s="45"/>
      <c r="C7" s="45"/>
      <c r="D7" s="21">
        <v>213.8</v>
      </c>
      <c r="E7" s="26">
        <v>949</v>
      </c>
      <c r="F7" s="24">
        <v>210.76</v>
      </c>
      <c r="G7" s="11">
        <v>632.91999999999996</v>
      </c>
      <c r="H7" s="9">
        <v>376</v>
      </c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44016</v>
      </c>
      <c r="B8" s="45"/>
      <c r="C8" s="45"/>
      <c r="D8" s="21">
        <v>213.8</v>
      </c>
      <c r="E8" s="26">
        <v>949</v>
      </c>
      <c r="F8" s="24">
        <v>211.15</v>
      </c>
      <c r="G8" s="11">
        <v>679.75900000000001</v>
      </c>
      <c r="H8" s="9">
        <v>450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44017</v>
      </c>
      <c r="B9" s="45"/>
      <c r="C9" s="45"/>
      <c r="D9" s="21">
        <v>213.8</v>
      </c>
      <c r="E9" s="26">
        <v>949</v>
      </c>
      <c r="F9" s="24">
        <v>211.3</v>
      </c>
      <c r="G9" s="11">
        <v>687.64</v>
      </c>
      <c r="H9" s="9">
        <v>184</v>
      </c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44018</v>
      </c>
      <c r="B10" s="45"/>
      <c r="C10" s="45"/>
      <c r="D10" s="21">
        <v>213.8</v>
      </c>
      <c r="E10" s="26">
        <v>949</v>
      </c>
      <c r="F10" s="24">
        <v>211.44</v>
      </c>
      <c r="G10" s="11">
        <v>697.17</v>
      </c>
      <c r="H10" s="9">
        <v>110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44019</v>
      </c>
      <c r="B11" s="45"/>
      <c r="C11" s="45"/>
      <c r="D11" s="21">
        <v>213.8</v>
      </c>
      <c r="E11" s="26">
        <v>949</v>
      </c>
      <c r="F11" s="24">
        <v>211.53</v>
      </c>
      <c r="G11" s="11">
        <v>706.35299999999995</v>
      </c>
      <c r="H11" s="9">
        <v>107</v>
      </c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44020</v>
      </c>
      <c r="B12" s="45"/>
      <c r="C12" s="45"/>
      <c r="D12" s="21">
        <v>213.8</v>
      </c>
      <c r="E12" s="26">
        <v>949</v>
      </c>
      <c r="F12" s="24">
        <v>211.59</v>
      </c>
      <c r="G12" s="11">
        <v>717.29</v>
      </c>
      <c r="H12" s="9">
        <v>126</v>
      </c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44021</v>
      </c>
      <c r="B13" s="45"/>
      <c r="C13" s="45"/>
      <c r="D13" s="21">
        <v>213.8</v>
      </c>
      <c r="E13" s="26">
        <v>949</v>
      </c>
      <c r="F13" s="25">
        <v>211.69</v>
      </c>
      <c r="G13" s="24">
        <v>728.59</v>
      </c>
      <c r="H13" s="9">
        <v>131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44022</v>
      </c>
      <c r="B14" s="45"/>
      <c r="C14" s="45"/>
      <c r="D14" s="21">
        <v>213.8</v>
      </c>
      <c r="E14" s="26">
        <v>949</v>
      </c>
      <c r="F14" s="24">
        <v>211.85</v>
      </c>
      <c r="G14" s="11">
        <v>744.83</v>
      </c>
      <c r="H14" s="9">
        <v>188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44023</v>
      </c>
      <c r="B15" s="45"/>
      <c r="C15" s="45"/>
      <c r="D15" s="21">
        <v>213.8</v>
      </c>
      <c r="E15" s="26">
        <v>949</v>
      </c>
      <c r="F15" s="24">
        <v>211.91</v>
      </c>
      <c r="G15" s="11">
        <v>751.18</v>
      </c>
      <c r="H15" s="9">
        <v>74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44024</v>
      </c>
      <c r="B16" s="45"/>
      <c r="C16" s="45"/>
      <c r="D16" s="21">
        <v>213.8</v>
      </c>
      <c r="E16" s="26">
        <v>949</v>
      </c>
      <c r="F16" s="24">
        <v>211.95</v>
      </c>
      <c r="G16" s="11">
        <v>755.42</v>
      </c>
      <c r="H16" s="9">
        <v>50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44025</v>
      </c>
      <c r="B17" s="45"/>
      <c r="C17" s="45"/>
      <c r="D17" s="21">
        <v>213.8</v>
      </c>
      <c r="E17" s="26">
        <v>949</v>
      </c>
      <c r="F17" s="24">
        <v>211.99</v>
      </c>
      <c r="G17" s="11">
        <v>759.65</v>
      </c>
      <c r="H17" s="9">
        <v>50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44026</v>
      </c>
      <c r="B18" s="45"/>
      <c r="C18" s="45"/>
      <c r="D18" s="21">
        <v>213.8</v>
      </c>
      <c r="E18" s="26">
        <v>949</v>
      </c>
      <c r="F18" s="24">
        <v>212.11</v>
      </c>
      <c r="G18" s="11">
        <v>772.01099999999997</v>
      </c>
      <c r="H18" s="9">
        <v>143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44027</v>
      </c>
      <c r="B19" s="45"/>
      <c r="C19" s="45"/>
      <c r="D19" s="21">
        <v>213.8</v>
      </c>
      <c r="E19" s="26">
        <v>949</v>
      </c>
      <c r="F19" s="24">
        <v>212.23</v>
      </c>
      <c r="G19" s="11">
        <v>784.71</v>
      </c>
      <c r="H19" s="9">
        <v>147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44028</v>
      </c>
      <c r="B20" s="45"/>
      <c r="C20" s="45"/>
      <c r="D20" s="21">
        <v>213.8</v>
      </c>
      <c r="E20" s="26">
        <v>949</v>
      </c>
      <c r="F20" s="24">
        <v>212.3</v>
      </c>
      <c r="G20" s="11">
        <v>792.13</v>
      </c>
      <c r="H20" s="9">
        <v>86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44029</v>
      </c>
      <c r="B21" s="45"/>
      <c r="C21" s="45"/>
      <c r="D21" s="21">
        <v>213.8</v>
      </c>
      <c r="E21" s="26">
        <v>949</v>
      </c>
      <c r="F21" s="24">
        <v>212.44</v>
      </c>
      <c r="G21" s="11">
        <v>806.60500000000002</v>
      </c>
      <c r="H21" s="9">
        <v>168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44030</v>
      </c>
      <c r="B22" s="45"/>
      <c r="C22" s="45"/>
      <c r="D22" s="21">
        <v>213.8</v>
      </c>
      <c r="E22" s="26">
        <v>949</v>
      </c>
      <c r="F22" s="24">
        <v>212.44</v>
      </c>
      <c r="G22" s="11">
        <v>806.60500000000002</v>
      </c>
      <c r="H22" s="9">
        <v>168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44031</v>
      </c>
      <c r="B23" s="45"/>
      <c r="C23" s="45"/>
      <c r="D23" s="21">
        <v>213.8</v>
      </c>
      <c r="E23" s="26">
        <v>949</v>
      </c>
      <c r="F23" s="24">
        <v>212.65</v>
      </c>
      <c r="G23" s="11">
        <v>828.49</v>
      </c>
      <c r="H23" s="9">
        <v>143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44032</v>
      </c>
      <c r="B24" s="45"/>
      <c r="C24" s="45"/>
      <c r="D24" s="21">
        <v>213.8</v>
      </c>
      <c r="E24" s="26">
        <v>949</v>
      </c>
      <c r="F24" s="24">
        <v>212.83</v>
      </c>
      <c r="G24" s="11">
        <v>847.55</v>
      </c>
      <c r="H24" s="9">
        <v>221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44033</v>
      </c>
      <c r="B25" s="45"/>
      <c r="C25" s="45"/>
      <c r="D25" s="21">
        <v>213.8</v>
      </c>
      <c r="E25" s="26">
        <v>949</v>
      </c>
      <c r="F25" s="24">
        <v>212.99</v>
      </c>
      <c r="G25" s="11">
        <v>864.14</v>
      </c>
      <c r="H25" s="9">
        <v>193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44034</v>
      </c>
      <c r="B26" s="45"/>
      <c r="C26" s="45"/>
      <c r="D26" s="21">
        <v>213.8</v>
      </c>
      <c r="E26" s="26">
        <v>949</v>
      </c>
      <c r="F26" s="24">
        <v>213.08</v>
      </c>
      <c r="G26" s="11">
        <v>873.68</v>
      </c>
      <c r="H26" s="9">
        <v>111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8"/>
    </row>
    <row r="27" spans="1:15" ht="19.5" customHeight="1">
      <c r="A27" s="8">
        <v>44035</v>
      </c>
      <c r="B27" s="45"/>
      <c r="C27" s="45"/>
      <c r="D27" s="21">
        <v>213.8</v>
      </c>
      <c r="E27" s="26">
        <v>949</v>
      </c>
      <c r="F27" s="24">
        <v>213.13</v>
      </c>
      <c r="G27" s="11">
        <v>878.61</v>
      </c>
      <c r="H27" s="9">
        <v>88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44036</v>
      </c>
      <c r="B28" s="45"/>
      <c r="C28" s="45"/>
      <c r="D28" s="21">
        <v>213.8</v>
      </c>
      <c r="E28" s="26">
        <v>949</v>
      </c>
      <c r="F28" s="24">
        <v>213.16</v>
      </c>
      <c r="G28" s="11">
        <v>881.79</v>
      </c>
      <c r="H28" s="9">
        <v>67</v>
      </c>
      <c r="I28" s="23">
        <v>0</v>
      </c>
      <c r="J28" s="1">
        <v>0</v>
      </c>
      <c r="K28" s="1">
        <v>30</v>
      </c>
      <c r="L28" s="23">
        <v>0</v>
      </c>
      <c r="M28" s="23">
        <f t="shared" si="0"/>
        <v>30</v>
      </c>
      <c r="N28" s="2"/>
    </row>
    <row r="29" spans="1:15" ht="19.5" customHeight="1">
      <c r="A29" s="8">
        <v>44037</v>
      </c>
      <c r="B29" s="45"/>
      <c r="C29" s="45"/>
      <c r="D29" s="21">
        <v>213.8</v>
      </c>
      <c r="E29" s="26">
        <v>949</v>
      </c>
      <c r="F29" s="24">
        <v>213.19</v>
      </c>
      <c r="G29" s="11">
        <v>884.97</v>
      </c>
      <c r="H29" s="9">
        <v>67</v>
      </c>
      <c r="I29" s="23">
        <v>0</v>
      </c>
      <c r="J29" s="1">
        <v>0</v>
      </c>
      <c r="K29" s="1">
        <v>30</v>
      </c>
      <c r="L29" s="23">
        <v>0</v>
      </c>
      <c r="M29" s="23">
        <f t="shared" si="0"/>
        <v>30</v>
      </c>
      <c r="N29" s="2"/>
    </row>
    <row r="30" spans="1:15" ht="19.5" customHeight="1">
      <c r="A30" s="8">
        <v>44038</v>
      </c>
      <c r="B30" s="45"/>
      <c r="C30" s="45"/>
      <c r="D30" s="21">
        <v>213.8</v>
      </c>
      <c r="E30" s="26">
        <v>949</v>
      </c>
      <c r="F30" s="24">
        <v>213.21</v>
      </c>
      <c r="G30" s="11">
        <v>887.08</v>
      </c>
      <c r="H30" s="9">
        <v>55</v>
      </c>
      <c r="I30" s="23">
        <v>0</v>
      </c>
      <c r="J30" s="1">
        <v>0</v>
      </c>
      <c r="K30" s="1">
        <v>30</v>
      </c>
      <c r="L30" s="23">
        <v>0</v>
      </c>
      <c r="M30" s="23">
        <f t="shared" si="0"/>
        <v>30</v>
      </c>
      <c r="N30" s="2"/>
    </row>
    <row r="31" spans="1:15" ht="21" customHeight="1">
      <c r="A31" s="8">
        <v>44039</v>
      </c>
      <c r="B31" s="45"/>
      <c r="C31" s="45"/>
      <c r="D31" s="21">
        <v>213.8</v>
      </c>
      <c r="E31" s="26">
        <v>949</v>
      </c>
      <c r="F31" s="24">
        <v>213.24</v>
      </c>
      <c r="G31" s="11">
        <v>890.26</v>
      </c>
      <c r="H31" s="9">
        <v>67</v>
      </c>
      <c r="I31" s="23">
        <v>0</v>
      </c>
      <c r="J31" s="1">
        <v>0</v>
      </c>
      <c r="K31" s="1">
        <v>30</v>
      </c>
      <c r="L31" s="23">
        <v>0</v>
      </c>
      <c r="M31" s="23">
        <f t="shared" si="0"/>
        <v>30</v>
      </c>
      <c r="N31" s="2"/>
    </row>
    <row r="32" spans="1:15" ht="21" customHeight="1">
      <c r="A32" s="8">
        <v>44040</v>
      </c>
      <c r="B32" s="45"/>
      <c r="C32" s="45"/>
      <c r="D32" s="21">
        <v>213.8</v>
      </c>
      <c r="E32" s="26">
        <v>949</v>
      </c>
      <c r="F32" s="24">
        <v>213.26</v>
      </c>
      <c r="G32" s="11">
        <v>892.38400000000001</v>
      </c>
      <c r="H32" s="9"/>
      <c r="I32" s="23">
        <v>0</v>
      </c>
      <c r="J32" s="1">
        <v>0</v>
      </c>
      <c r="K32" s="1">
        <v>30</v>
      </c>
      <c r="L32" s="23">
        <v>0</v>
      </c>
      <c r="M32" s="23">
        <f t="shared" si="0"/>
        <v>30</v>
      </c>
      <c r="N32" s="2"/>
    </row>
    <row r="33" spans="1:15" ht="21" customHeight="1">
      <c r="A33" s="8">
        <v>44041</v>
      </c>
      <c r="B33" s="45"/>
      <c r="C33" s="45"/>
      <c r="D33" s="21">
        <v>213.8</v>
      </c>
      <c r="E33" s="26">
        <v>949</v>
      </c>
      <c r="F33" s="24">
        <v>213.33</v>
      </c>
      <c r="G33" s="11">
        <v>899.79</v>
      </c>
      <c r="H33" s="9">
        <v>101</v>
      </c>
      <c r="I33" s="23">
        <v>0</v>
      </c>
      <c r="J33" s="1">
        <v>15</v>
      </c>
      <c r="K33" s="1">
        <v>0</v>
      </c>
      <c r="L33" s="23">
        <v>0</v>
      </c>
      <c r="M33" s="23">
        <f t="shared" si="0"/>
        <v>15</v>
      </c>
      <c r="N33" s="2"/>
    </row>
    <row r="34" spans="1:15" ht="21" customHeight="1">
      <c r="A34" s="8">
        <v>44042</v>
      </c>
      <c r="B34" s="45"/>
      <c r="C34" s="45"/>
      <c r="D34" s="21">
        <v>213.8</v>
      </c>
      <c r="E34" s="26">
        <v>949</v>
      </c>
      <c r="F34" s="24">
        <v>213.36</v>
      </c>
      <c r="G34" s="11">
        <v>902.97</v>
      </c>
      <c r="H34" s="9">
        <v>37</v>
      </c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8">
        <v>44043</v>
      </c>
      <c r="B35" s="46"/>
      <c r="C35" s="46"/>
      <c r="D35" s="22">
        <v>213.8</v>
      </c>
      <c r="E35" s="26">
        <v>949</v>
      </c>
      <c r="F35" s="24">
        <v>213.35</v>
      </c>
      <c r="G35" s="11">
        <v>901.91</v>
      </c>
      <c r="H35" s="9">
        <v>14</v>
      </c>
      <c r="I35" s="23">
        <v>0</v>
      </c>
      <c r="J35" s="1">
        <v>35</v>
      </c>
      <c r="K35" s="1">
        <v>0</v>
      </c>
      <c r="L35" s="23">
        <v>0</v>
      </c>
      <c r="M35" s="23">
        <f t="shared" si="0"/>
        <v>35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3971</v>
      </c>
      <c r="I36" s="16">
        <f t="shared" ref="I36:M36" si="1">SUM(I5:I35)</f>
        <v>0</v>
      </c>
      <c r="J36" s="16">
        <f t="shared" si="1"/>
        <v>50</v>
      </c>
      <c r="K36" s="16">
        <f t="shared" si="1"/>
        <v>150</v>
      </c>
      <c r="L36" s="16">
        <f t="shared" si="1"/>
        <v>0</v>
      </c>
      <c r="M36" s="16">
        <f t="shared" si="1"/>
        <v>200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0.34309659581821322</v>
      </c>
      <c r="I37" s="5"/>
      <c r="J37" s="5">
        <f>J36/11574</f>
        <v>4.3200276481769485E-3</v>
      </c>
      <c r="K37" s="5">
        <f>K36/11574</f>
        <v>1.2960082944530845E-2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22" zoomScale="60" zoomScaleNormal="123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44044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213.35</v>
      </c>
      <c r="G5" s="11">
        <v>901.91</v>
      </c>
      <c r="H5" s="9">
        <v>35</v>
      </c>
      <c r="I5" s="23">
        <v>0</v>
      </c>
      <c r="J5" s="1">
        <v>35</v>
      </c>
      <c r="K5" s="1">
        <v>0</v>
      </c>
      <c r="L5" s="23">
        <v>0</v>
      </c>
      <c r="M5" s="23">
        <f>L5+K5+J5+I5</f>
        <v>35</v>
      </c>
      <c r="N5" s="2"/>
    </row>
    <row r="6" spans="1:14" ht="19.5" customHeight="1">
      <c r="A6" s="8">
        <v>44045</v>
      </c>
      <c r="B6" s="45"/>
      <c r="C6" s="45"/>
      <c r="D6" s="21">
        <v>213.8</v>
      </c>
      <c r="E6" s="26">
        <v>949</v>
      </c>
      <c r="F6" s="24">
        <v>213.38</v>
      </c>
      <c r="G6" s="11">
        <v>904.73</v>
      </c>
      <c r="H6" s="9">
        <v>84</v>
      </c>
      <c r="I6" s="23">
        <v>0</v>
      </c>
      <c r="J6" s="1">
        <v>35</v>
      </c>
      <c r="K6" s="1">
        <v>0</v>
      </c>
      <c r="L6" s="23">
        <v>0</v>
      </c>
      <c r="M6" s="23">
        <f t="shared" ref="M6:M35" si="0">L6+K6+J6+I6</f>
        <v>35</v>
      </c>
      <c r="N6" s="2"/>
    </row>
    <row r="7" spans="1:14" ht="19.5" customHeight="1">
      <c r="A7" s="8">
        <v>44046</v>
      </c>
      <c r="B7" s="45"/>
      <c r="C7" s="45"/>
      <c r="D7" s="21">
        <v>213.8</v>
      </c>
      <c r="E7" s="26">
        <v>949</v>
      </c>
      <c r="F7" s="24">
        <v>213.35</v>
      </c>
      <c r="G7" s="11">
        <v>902.97</v>
      </c>
      <c r="H7" s="9">
        <v>44</v>
      </c>
      <c r="I7" s="23">
        <v>0</v>
      </c>
      <c r="J7" s="1">
        <v>35</v>
      </c>
      <c r="K7" s="1">
        <v>0</v>
      </c>
      <c r="L7" s="23">
        <v>0</v>
      </c>
      <c r="M7" s="23">
        <f t="shared" si="0"/>
        <v>35</v>
      </c>
      <c r="N7" s="2"/>
    </row>
    <row r="8" spans="1:14" ht="19.5" customHeight="1">
      <c r="A8" s="8">
        <v>44047</v>
      </c>
      <c r="B8" s="45"/>
      <c r="C8" s="45"/>
      <c r="D8" s="21">
        <v>213.8</v>
      </c>
      <c r="E8" s="26">
        <v>949</v>
      </c>
      <c r="F8" s="24">
        <v>213.31</v>
      </c>
      <c r="G8" s="11">
        <v>897.67</v>
      </c>
      <c r="H8" s="9">
        <v>4</v>
      </c>
      <c r="I8" s="23">
        <v>0</v>
      </c>
      <c r="J8" s="1">
        <v>35</v>
      </c>
      <c r="K8" s="1">
        <v>30</v>
      </c>
      <c r="L8" s="23">
        <v>0</v>
      </c>
      <c r="M8" s="23">
        <f t="shared" si="0"/>
        <v>65</v>
      </c>
      <c r="N8" s="2"/>
    </row>
    <row r="9" spans="1:14" ht="19.5" customHeight="1">
      <c r="A9" s="8">
        <v>44048</v>
      </c>
      <c r="B9" s="45"/>
      <c r="C9" s="45"/>
      <c r="D9" s="21">
        <v>213.8</v>
      </c>
      <c r="E9" s="26">
        <v>949</v>
      </c>
      <c r="F9" s="24">
        <v>213.26</v>
      </c>
      <c r="G9" s="11">
        <v>892.38</v>
      </c>
      <c r="H9" s="9">
        <v>14</v>
      </c>
      <c r="I9" s="23">
        <v>0</v>
      </c>
      <c r="J9" s="1">
        <v>45</v>
      </c>
      <c r="K9" s="1">
        <v>30</v>
      </c>
      <c r="L9" s="23">
        <v>0</v>
      </c>
      <c r="M9" s="23">
        <f t="shared" si="0"/>
        <v>75</v>
      </c>
      <c r="N9" s="2"/>
    </row>
    <row r="10" spans="1:14" ht="19.5" customHeight="1">
      <c r="A10" s="8">
        <v>44049</v>
      </c>
      <c r="B10" s="45"/>
      <c r="C10" s="45"/>
      <c r="D10" s="21">
        <v>213.8</v>
      </c>
      <c r="E10" s="26">
        <v>949</v>
      </c>
      <c r="F10" s="24">
        <v>213.25</v>
      </c>
      <c r="G10" s="11">
        <v>886.32</v>
      </c>
      <c r="H10" s="9">
        <v>63</v>
      </c>
      <c r="I10" s="23">
        <v>0</v>
      </c>
      <c r="J10" s="1">
        <v>45</v>
      </c>
      <c r="K10" s="1">
        <v>30</v>
      </c>
      <c r="L10" s="23">
        <v>0</v>
      </c>
      <c r="M10" s="23">
        <f t="shared" si="0"/>
        <v>75</v>
      </c>
      <c r="N10" s="2"/>
    </row>
    <row r="11" spans="1:14" ht="19.5" customHeight="1">
      <c r="A11" s="8">
        <v>44050</v>
      </c>
      <c r="B11" s="45"/>
      <c r="C11" s="45"/>
      <c r="D11" s="21">
        <v>213.8</v>
      </c>
      <c r="E11" s="26">
        <v>949</v>
      </c>
      <c r="F11" s="24">
        <v>213.2</v>
      </c>
      <c r="G11" s="35">
        <v>886.03</v>
      </c>
      <c r="H11" s="9">
        <v>14</v>
      </c>
      <c r="I11" s="23">
        <v>0</v>
      </c>
      <c r="J11" s="1">
        <v>45</v>
      </c>
      <c r="K11" s="1">
        <v>30</v>
      </c>
      <c r="L11" s="23">
        <v>0</v>
      </c>
      <c r="M11" s="23">
        <f t="shared" si="0"/>
        <v>75</v>
      </c>
      <c r="N11" s="2"/>
    </row>
    <row r="12" spans="1:14" ht="19.5" customHeight="1">
      <c r="A12" s="8">
        <v>44051</v>
      </c>
      <c r="B12" s="45"/>
      <c r="C12" s="45"/>
      <c r="D12" s="21">
        <v>213.8</v>
      </c>
      <c r="E12" s="26">
        <v>949</v>
      </c>
      <c r="F12" s="24">
        <v>213.15</v>
      </c>
      <c r="G12" s="11">
        <v>880.73</v>
      </c>
      <c r="H12" s="9">
        <v>14</v>
      </c>
      <c r="I12" s="23">
        <v>0</v>
      </c>
      <c r="J12" s="1">
        <v>45</v>
      </c>
      <c r="K12" s="1">
        <v>30</v>
      </c>
      <c r="L12" s="23">
        <v>0</v>
      </c>
      <c r="M12" s="23">
        <f t="shared" si="0"/>
        <v>75</v>
      </c>
      <c r="N12" s="2"/>
    </row>
    <row r="13" spans="1:14" ht="19.5" customHeight="1">
      <c r="A13" s="8">
        <v>44052</v>
      </c>
      <c r="B13" s="45"/>
      <c r="C13" s="45"/>
      <c r="D13" s="21">
        <v>213.8</v>
      </c>
      <c r="E13" s="26">
        <v>949</v>
      </c>
      <c r="F13" s="24">
        <v>213.09</v>
      </c>
      <c r="G13" s="11">
        <v>874.73</v>
      </c>
      <c r="H13" s="9">
        <v>6</v>
      </c>
      <c r="I13" s="23">
        <v>0</v>
      </c>
      <c r="J13" s="1">
        <v>45</v>
      </c>
      <c r="K13" s="1">
        <v>30</v>
      </c>
      <c r="L13" s="23">
        <v>0</v>
      </c>
      <c r="M13" s="23">
        <f t="shared" si="0"/>
        <v>75</v>
      </c>
      <c r="N13" s="2"/>
    </row>
    <row r="14" spans="1:14" ht="19.5" customHeight="1">
      <c r="A14" s="8">
        <v>44053</v>
      </c>
      <c r="B14" s="45"/>
      <c r="C14" s="45"/>
      <c r="D14" s="21">
        <v>213.8</v>
      </c>
      <c r="E14" s="26">
        <v>949</v>
      </c>
      <c r="F14" s="25">
        <v>213.05</v>
      </c>
      <c r="G14" s="24">
        <v>870.49</v>
      </c>
      <c r="H14" s="9">
        <v>26</v>
      </c>
      <c r="I14" s="23">
        <v>0</v>
      </c>
      <c r="J14" s="1">
        <v>45</v>
      </c>
      <c r="K14" s="1">
        <v>30</v>
      </c>
      <c r="L14" s="23">
        <v>0</v>
      </c>
      <c r="M14" s="23">
        <f t="shared" si="0"/>
        <v>75</v>
      </c>
      <c r="N14" s="2"/>
    </row>
    <row r="15" spans="1:14" ht="19.5" customHeight="1">
      <c r="A15" s="8">
        <v>44054</v>
      </c>
      <c r="B15" s="45"/>
      <c r="C15" s="45"/>
      <c r="D15" s="21">
        <v>213.8</v>
      </c>
      <c r="E15" s="26">
        <v>949</v>
      </c>
      <c r="F15" s="24">
        <v>213.01</v>
      </c>
      <c r="G15" s="11">
        <v>866.26</v>
      </c>
      <c r="H15" s="9">
        <v>26</v>
      </c>
      <c r="I15" s="23">
        <v>0</v>
      </c>
      <c r="J15" s="1">
        <v>45</v>
      </c>
      <c r="K15" s="1">
        <v>30</v>
      </c>
      <c r="L15" s="23">
        <v>0</v>
      </c>
      <c r="M15" s="23">
        <f t="shared" si="0"/>
        <v>75</v>
      </c>
      <c r="N15" s="2"/>
    </row>
    <row r="16" spans="1:14" ht="19.5" customHeight="1">
      <c r="A16" s="8">
        <v>44055</v>
      </c>
      <c r="B16" s="45"/>
      <c r="C16" s="45"/>
      <c r="D16" s="21">
        <v>213.8</v>
      </c>
      <c r="E16" s="26">
        <v>949</v>
      </c>
      <c r="F16" s="24">
        <v>212.95</v>
      </c>
      <c r="G16" s="11">
        <v>859.9</v>
      </c>
      <c r="H16" s="9">
        <v>2</v>
      </c>
      <c r="I16" s="23">
        <v>0</v>
      </c>
      <c r="J16" s="1">
        <v>45</v>
      </c>
      <c r="K16" s="1">
        <v>30</v>
      </c>
      <c r="L16" s="23">
        <v>0</v>
      </c>
      <c r="M16" s="23">
        <f t="shared" si="0"/>
        <v>75</v>
      </c>
      <c r="N16" s="2"/>
    </row>
    <row r="17" spans="1:15" ht="19.5" customHeight="1">
      <c r="A17" s="8">
        <v>44056</v>
      </c>
      <c r="B17" s="45"/>
      <c r="C17" s="45"/>
      <c r="D17" s="21">
        <v>213.8</v>
      </c>
      <c r="E17" s="26">
        <v>949</v>
      </c>
      <c r="F17" s="24">
        <v>212.89</v>
      </c>
      <c r="G17" s="11">
        <v>853</v>
      </c>
      <c r="H17" s="9">
        <v>2</v>
      </c>
      <c r="I17" s="23">
        <v>0</v>
      </c>
      <c r="J17" s="1">
        <v>45</v>
      </c>
      <c r="K17" s="1">
        <v>30</v>
      </c>
      <c r="L17" s="23">
        <v>0</v>
      </c>
      <c r="M17" s="23">
        <f t="shared" si="0"/>
        <v>75</v>
      </c>
      <c r="N17" s="2"/>
    </row>
    <row r="18" spans="1:15" ht="19.5" customHeight="1">
      <c r="A18" s="8">
        <v>44057</v>
      </c>
      <c r="B18" s="45"/>
      <c r="C18" s="45"/>
      <c r="D18" s="21">
        <v>213.8</v>
      </c>
      <c r="E18" s="26">
        <v>949</v>
      </c>
      <c r="F18" s="24">
        <v>212.84</v>
      </c>
      <c r="G18" s="11">
        <v>848.61</v>
      </c>
      <c r="H18" s="9">
        <v>18</v>
      </c>
      <c r="I18" s="23">
        <v>0</v>
      </c>
      <c r="J18" s="1">
        <v>45</v>
      </c>
      <c r="K18" s="1">
        <v>30</v>
      </c>
      <c r="L18" s="23">
        <v>0</v>
      </c>
      <c r="M18" s="23">
        <f t="shared" si="0"/>
        <v>75</v>
      </c>
      <c r="N18" s="2"/>
    </row>
    <row r="19" spans="1:15" ht="19.5" customHeight="1">
      <c r="A19" s="8">
        <v>44058</v>
      </c>
      <c r="B19" s="45"/>
      <c r="C19" s="45"/>
      <c r="D19" s="21">
        <v>213.8</v>
      </c>
      <c r="E19" s="26">
        <v>949</v>
      </c>
      <c r="F19" s="24">
        <v>212.8</v>
      </c>
      <c r="G19" s="11">
        <v>844.37</v>
      </c>
      <c r="H19" s="9">
        <v>26</v>
      </c>
      <c r="I19" s="23">
        <v>0</v>
      </c>
      <c r="J19" s="1">
        <v>45</v>
      </c>
      <c r="K19" s="1">
        <v>30</v>
      </c>
      <c r="L19" s="23">
        <v>0</v>
      </c>
      <c r="M19" s="23">
        <f t="shared" si="0"/>
        <v>75</v>
      </c>
      <c r="N19" s="2"/>
    </row>
    <row r="20" spans="1:15" ht="19.5" customHeight="1">
      <c r="A20" s="8">
        <v>44059</v>
      </c>
      <c r="B20" s="45"/>
      <c r="C20" s="45"/>
      <c r="D20" s="21">
        <v>213.8</v>
      </c>
      <c r="E20" s="26">
        <v>949</v>
      </c>
      <c r="F20" s="24">
        <v>212.75</v>
      </c>
      <c r="G20" s="11">
        <v>839.08</v>
      </c>
      <c r="H20" s="9">
        <v>14</v>
      </c>
      <c r="I20" s="23">
        <v>0</v>
      </c>
      <c r="J20" s="1">
        <v>45</v>
      </c>
      <c r="K20" s="1">
        <v>30</v>
      </c>
      <c r="L20" s="23">
        <v>0</v>
      </c>
      <c r="M20" s="23">
        <f t="shared" si="0"/>
        <v>75</v>
      </c>
      <c r="N20" s="2"/>
    </row>
    <row r="21" spans="1:15" ht="19.5" customHeight="1">
      <c r="A21" s="8">
        <v>44060</v>
      </c>
      <c r="B21" s="45"/>
      <c r="C21" s="45"/>
      <c r="D21" s="21">
        <v>213.8</v>
      </c>
      <c r="E21" s="26">
        <v>949</v>
      </c>
      <c r="F21" s="24">
        <v>212.71</v>
      </c>
      <c r="G21" s="11">
        <v>834.84</v>
      </c>
      <c r="H21" s="9">
        <v>26</v>
      </c>
      <c r="I21" s="23">
        <v>0</v>
      </c>
      <c r="J21" s="1">
        <v>45</v>
      </c>
      <c r="K21" s="1">
        <v>30</v>
      </c>
      <c r="L21" s="23">
        <v>0</v>
      </c>
      <c r="M21" s="23">
        <f t="shared" si="0"/>
        <v>75</v>
      </c>
      <c r="N21" s="2"/>
    </row>
    <row r="22" spans="1:15" ht="19.5" customHeight="1">
      <c r="A22" s="8">
        <v>44061</v>
      </c>
      <c r="B22" s="45"/>
      <c r="C22" s="45"/>
      <c r="D22" s="21">
        <v>213.8</v>
      </c>
      <c r="E22" s="26">
        <v>949</v>
      </c>
      <c r="F22" s="24">
        <v>212.66</v>
      </c>
      <c r="G22" s="11">
        <v>829.55</v>
      </c>
      <c r="H22" s="9">
        <v>14</v>
      </c>
      <c r="I22" s="23">
        <v>0</v>
      </c>
      <c r="J22" s="1">
        <v>45</v>
      </c>
      <c r="K22" s="1">
        <v>30</v>
      </c>
      <c r="L22" s="23">
        <v>0</v>
      </c>
      <c r="M22" s="23">
        <f t="shared" si="0"/>
        <v>75</v>
      </c>
      <c r="N22" s="2"/>
    </row>
    <row r="23" spans="1:15" ht="19.5" customHeight="1">
      <c r="A23" s="8">
        <v>44062</v>
      </c>
      <c r="B23" s="45"/>
      <c r="C23" s="45"/>
      <c r="D23" s="21">
        <v>213.8</v>
      </c>
      <c r="E23" s="26">
        <v>949</v>
      </c>
      <c r="F23" s="24">
        <v>212.61</v>
      </c>
      <c r="G23" s="11">
        <v>824.25</v>
      </c>
      <c r="H23" s="9">
        <v>14</v>
      </c>
      <c r="I23" s="23">
        <v>0</v>
      </c>
      <c r="J23" s="1">
        <v>45</v>
      </c>
      <c r="K23" s="1">
        <v>30</v>
      </c>
      <c r="L23" s="23">
        <v>0</v>
      </c>
      <c r="M23" s="23">
        <f t="shared" si="0"/>
        <v>75</v>
      </c>
      <c r="N23" s="2"/>
    </row>
    <row r="24" spans="1:15" ht="19.5" customHeight="1">
      <c r="A24" s="8">
        <v>44063</v>
      </c>
      <c r="B24" s="45"/>
      <c r="C24" s="45"/>
      <c r="D24" s="21">
        <v>213.8</v>
      </c>
      <c r="E24" s="26">
        <v>949</v>
      </c>
      <c r="F24" s="24">
        <v>212.59</v>
      </c>
      <c r="G24" s="11">
        <v>822.49</v>
      </c>
      <c r="H24" s="9">
        <v>55</v>
      </c>
      <c r="I24" s="23">
        <v>0</v>
      </c>
      <c r="J24" s="1">
        <v>45</v>
      </c>
      <c r="K24" s="1">
        <v>30</v>
      </c>
      <c r="L24" s="23">
        <v>0</v>
      </c>
      <c r="M24" s="23">
        <f t="shared" si="0"/>
        <v>75</v>
      </c>
      <c r="N24" s="2"/>
    </row>
    <row r="25" spans="1:15" ht="19.5" customHeight="1">
      <c r="A25" s="8">
        <v>44064</v>
      </c>
      <c r="B25" s="45"/>
      <c r="C25" s="45"/>
      <c r="D25" s="21">
        <v>213.8</v>
      </c>
      <c r="E25" s="26">
        <v>949</v>
      </c>
      <c r="F25" s="24">
        <v>212.55</v>
      </c>
      <c r="G25" s="11">
        <v>818.25</v>
      </c>
      <c r="H25" s="9">
        <v>26</v>
      </c>
      <c r="I25" s="23">
        <v>0</v>
      </c>
      <c r="J25" s="1">
        <v>45</v>
      </c>
      <c r="K25" s="1">
        <v>30</v>
      </c>
      <c r="L25" s="23">
        <v>0</v>
      </c>
      <c r="M25" s="23">
        <f t="shared" si="0"/>
        <v>75</v>
      </c>
      <c r="N25" s="2"/>
    </row>
    <row r="26" spans="1:15" ht="19.5" customHeight="1">
      <c r="A26" s="8">
        <v>44065</v>
      </c>
      <c r="B26" s="45"/>
      <c r="C26" s="45"/>
      <c r="D26" s="21">
        <v>213.8</v>
      </c>
      <c r="E26" s="26">
        <v>949</v>
      </c>
      <c r="F26" s="24">
        <v>212.55</v>
      </c>
      <c r="G26" s="11">
        <v>818.25</v>
      </c>
      <c r="H26" s="9"/>
      <c r="I26" s="23">
        <v>0</v>
      </c>
      <c r="J26" s="1">
        <v>45</v>
      </c>
      <c r="K26" s="1">
        <v>30</v>
      </c>
      <c r="L26" s="23">
        <v>0</v>
      </c>
      <c r="M26" s="23">
        <f t="shared" si="0"/>
        <v>75</v>
      </c>
      <c r="N26" s="2"/>
      <c r="O26" s="18"/>
    </row>
    <row r="27" spans="1:15" ht="19.5" customHeight="1">
      <c r="A27" s="8">
        <v>44066</v>
      </c>
      <c r="B27" s="45"/>
      <c r="C27" s="45"/>
      <c r="D27" s="21">
        <v>213.8</v>
      </c>
      <c r="E27" s="26">
        <v>949</v>
      </c>
      <c r="F27" s="24">
        <f>(F26+F28)/2</f>
        <v>212.495</v>
      </c>
      <c r="G27" s="24">
        <f>(G26+G28)/2</f>
        <v>812.42499999999995</v>
      </c>
      <c r="H27" s="9"/>
      <c r="I27" s="23">
        <v>0</v>
      </c>
      <c r="J27" s="1">
        <v>45</v>
      </c>
      <c r="K27" s="1">
        <v>30</v>
      </c>
      <c r="L27" s="23">
        <v>0</v>
      </c>
      <c r="M27" s="23">
        <f t="shared" ref="M27" si="1">L27+K27+J27+I27</f>
        <v>75</v>
      </c>
      <c r="N27" s="2"/>
    </row>
    <row r="28" spans="1:15" ht="19.5" customHeight="1">
      <c r="A28" s="8">
        <v>44067</v>
      </c>
      <c r="B28" s="45"/>
      <c r="C28" s="45"/>
      <c r="D28" s="21">
        <v>213.8</v>
      </c>
      <c r="E28" s="26">
        <v>949</v>
      </c>
      <c r="F28" s="24">
        <v>212.44</v>
      </c>
      <c r="G28" s="11">
        <v>806.6</v>
      </c>
      <c r="H28" s="9">
        <v>7</v>
      </c>
      <c r="I28" s="23">
        <v>0</v>
      </c>
      <c r="J28" s="1">
        <v>45</v>
      </c>
      <c r="K28" s="1">
        <v>30</v>
      </c>
      <c r="L28" s="23">
        <v>0</v>
      </c>
      <c r="M28" s="23">
        <f t="shared" si="0"/>
        <v>75</v>
      </c>
      <c r="N28" s="2"/>
    </row>
    <row r="29" spans="1:15" ht="19.5" customHeight="1">
      <c r="A29" s="8">
        <v>44068</v>
      </c>
      <c r="B29" s="45"/>
      <c r="C29" s="45"/>
      <c r="D29" s="21">
        <v>213.8</v>
      </c>
      <c r="E29" s="26">
        <v>949</v>
      </c>
      <c r="F29" s="24">
        <v>212.4</v>
      </c>
      <c r="G29" s="11">
        <v>802.36</v>
      </c>
      <c r="H29" s="9">
        <v>31</v>
      </c>
      <c r="I29" s="23">
        <v>0</v>
      </c>
      <c r="J29" s="1">
        <v>45</v>
      </c>
      <c r="K29" s="1">
        <v>30</v>
      </c>
      <c r="L29" s="23">
        <v>0</v>
      </c>
      <c r="M29" s="23">
        <f t="shared" si="0"/>
        <v>75</v>
      </c>
      <c r="N29" s="2"/>
    </row>
    <row r="30" spans="1:15" ht="19.5" customHeight="1">
      <c r="A30" s="8">
        <v>44069</v>
      </c>
      <c r="B30" s="45"/>
      <c r="C30" s="45"/>
      <c r="D30" s="21">
        <v>213.8</v>
      </c>
      <c r="E30" s="26">
        <v>949</v>
      </c>
      <c r="F30" s="24">
        <v>212.34</v>
      </c>
      <c r="G30" s="11">
        <v>796.36</v>
      </c>
      <c r="H30" s="9">
        <v>11</v>
      </c>
      <c r="I30" s="23">
        <v>0</v>
      </c>
      <c r="J30" s="1">
        <v>45</v>
      </c>
      <c r="K30" s="1">
        <v>30</v>
      </c>
      <c r="L30" s="23">
        <v>0</v>
      </c>
      <c r="M30" s="23">
        <f t="shared" si="0"/>
        <v>75</v>
      </c>
      <c r="N30" s="2"/>
    </row>
    <row r="31" spans="1:15" ht="21" customHeight="1">
      <c r="A31" s="8">
        <v>44070</v>
      </c>
      <c r="B31" s="45"/>
      <c r="C31" s="45"/>
      <c r="D31" s="21">
        <v>213.8</v>
      </c>
      <c r="E31" s="26">
        <v>949</v>
      </c>
      <c r="F31" s="24">
        <v>212.28</v>
      </c>
      <c r="G31" s="11">
        <v>790.01</v>
      </c>
      <c r="H31" s="9">
        <v>7</v>
      </c>
      <c r="I31" s="23">
        <v>0</v>
      </c>
      <c r="J31" s="1">
        <v>45</v>
      </c>
      <c r="K31" s="1">
        <v>30</v>
      </c>
      <c r="L31" s="23">
        <v>0</v>
      </c>
      <c r="M31" s="23">
        <f t="shared" si="0"/>
        <v>75</v>
      </c>
      <c r="N31" s="2"/>
    </row>
    <row r="32" spans="1:15" ht="21" customHeight="1">
      <c r="A32" s="8">
        <v>44071</v>
      </c>
      <c r="B32" s="45"/>
      <c r="C32" s="45"/>
      <c r="D32" s="21">
        <v>213.8</v>
      </c>
      <c r="E32" s="26">
        <v>949</v>
      </c>
      <c r="F32" s="24">
        <v>212.21</v>
      </c>
      <c r="G32" s="11">
        <v>782.6</v>
      </c>
      <c r="H32" s="9"/>
      <c r="I32" s="23">
        <v>0</v>
      </c>
      <c r="J32" s="1">
        <v>45</v>
      </c>
      <c r="K32" s="1">
        <v>40</v>
      </c>
      <c r="L32" s="23">
        <v>0</v>
      </c>
      <c r="M32" s="23">
        <f t="shared" si="0"/>
        <v>85</v>
      </c>
      <c r="N32" s="2"/>
    </row>
    <row r="33" spans="1:15" ht="21" customHeight="1">
      <c r="A33" s="8">
        <v>44072</v>
      </c>
      <c r="B33" s="45"/>
      <c r="C33" s="45"/>
      <c r="D33" s="21">
        <v>213.8</v>
      </c>
      <c r="E33" s="26">
        <v>949</v>
      </c>
      <c r="F33" s="24">
        <v>212.14</v>
      </c>
      <c r="G33" s="11">
        <v>775.18799999999999</v>
      </c>
      <c r="H33" s="9"/>
      <c r="I33" s="23">
        <v>0</v>
      </c>
      <c r="J33" s="1">
        <v>45</v>
      </c>
      <c r="K33" s="1">
        <v>40</v>
      </c>
      <c r="L33" s="23">
        <v>0</v>
      </c>
      <c r="M33" s="23">
        <f t="shared" si="0"/>
        <v>85</v>
      </c>
      <c r="N33" s="2"/>
    </row>
    <row r="34" spans="1:15" ht="21" customHeight="1">
      <c r="A34" s="8">
        <v>44073</v>
      </c>
      <c r="B34" s="45"/>
      <c r="C34" s="45"/>
      <c r="D34" s="21">
        <v>213.8</v>
      </c>
      <c r="E34" s="26">
        <v>949</v>
      </c>
      <c r="F34" s="24">
        <v>212.01</v>
      </c>
      <c r="G34" s="11">
        <v>761.77</v>
      </c>
      <c r="H34" s="9">
        <v>34</v>
      </c>
      <c r="I34" s="23">
        <v>0</v>
      </c>
      <c r="J34" s="1">
        <v>50</v>
      </c>
      <c r="K34" s="1">
        <v>45</v>
      </c>
      <c r="L34" s="23">
        <v>0</v>
      </c>
      <c r="M34" s="23">
        <f t="shared" si="0"/>
        <v>95</v>
      </c>
      <c r="N34" s="2"/>
    </row>
    <row r="35" spans="1:15" ht="21" customHeight="1">
      <c r="A35" s="8">
        <v>44074</v>
      </c>
      <c r="B35" s="46"/>
      <c r="C35" s="46"/>
      <c r="D35" s="22">
        <v>213.8</v>
      </c>
      <c r="E35" s="26">
        <v>949</v>
      </c>
      <c r="F35" s="24">
        <v>212.01</v>
      </c>
      <c r="G35" s="11">
        <v>761.77</v>
      </c>
      <c r="H35" s="9">
        <v>34</v>
      </c>
      <c r="I35" s="23">
        <v>0</v>
      </c>
      <c r="J35" s="1">
        <v>50</v>
      </c>
      <c r="K35" s="1">
        <v>45</v>
      </c>
      <c r="L35" s="23">
        <v>0</v>
      </c>
      <c r="M35" s="23">
        <f t="shared" si="0"/>
        <v>95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651</v>
      </c>
      <c r="I36" s="16">
        <f t="shared" ref="I36:M36" si="2">SUM(I5:I35)</f>
        <v>0</v>
      </c>
      <c r="J36" s="16">
        <f t="shared" si="2"/>
        <v>1365</v>
      </c>
      <c r="K36" s="16">
        <f t="shared" si="2"/>
        <v>890</v>
      </c>
      <c r="L36" s="16">
        <f t="shared" si="2"/>
        <v>0</v>
      </c>
      <c r="M36" s="16">
        <f t="shared" si="2"/>
        <v>2255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5.6246759979263865E-2</v>
      </c>
      <c r="I37" s="5"/>
      <c r="J37" s="5">
        <f>J36/11574</f>
        <v>0.11793675479523069</v>
      </c>
      <c r="K37" s="5">
        <f>K36/11574</f>
        <v>7.6896492137549677E-2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1"/>
  <sheetViews>
    <sheetView view="pageBreakPreview" topLeftCell="A17" zoomScale="60" workbookViewId="0">
      <selection activeCell="N35" sqref="N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5"/>
      <c r="C4" s="45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30">
        <v>44075</v>
      </c>
      <c r="B5" s="61" t="s">
        <v>11</v>
      </c>
      <c r="C5" s="61" t="s">
        <v>12</v>
      </c>
      <c r="D5" s="32">
        <v>213.8</v>
      </c>
      <c r="E5" s="26">
        <v>949</v>
      </c>
      <c r="F5" s="24">
        <v>212.01</v>
      </c>
      <c r="G5" s="11">
        <v>761.774</v>
      </c>
      <c r="H5" s="9">
        <v>34</v>
      </c>
      <c r="I5" s="23">
        <v>0</v>
      </c>
      <c r="J5" s="1">
        <v>50</v>
      </c>
      <c r="K5" s="1">
        <v>45</v>
      </c>
      <c r="L5" s="23">
        <v>0</v>
      </c>
      <c r="M5" s="23">
        <f>L5+K5+J5+I5</f>
        <v>95</v>
      </c>
      <c r="N5" s="2"/>
    </row>
    <row r="6" spans="1:14" ht="19.5" customHeight="1">
      <c r="A6" s="30">
        <v>44076</v>
      </c>
      <c r="B6" s="62"/>
      <c r="C6" s="62"/>
      <c r="D6" s="32">
        <v>213.8</v>
      </c>
      <c r="E6" s="26">
        <v>949</v>
      </c>
      <c r="F6" s="24">
        <v>211.96</v>
      </c>
      <c r="G6" s="11">
        <v>756.47</v>
      </c>
      <c r="H6" s="9">
        <v>95</v>
      </c>
      <c r="I6" s="23">
        <v>0</v>
      </c>
      <c r="J6" s="1">
        <v>50</v>
      </c>
      <c r="K6" s="1">
        <v>45</v>
      </c>
      <c r="L6" s="23">
        <v>0</v>
      </c>
      <c r="M6" s="23">
        <f t="shared" ref="M6:M34" si="0">L6+K6+J6+I6</f>
        <v>95</v>
      </c>
      <c r="N6" s="2"/>
    </row>
    <row r="7" spans="1:14" ht="19.5" customHeight="1">
      <c r="A7" s="30">
        <v>44077</v>
      </c>
      <c r="B7" s="62"/>
      <c r="C7" s="62"/>
      <c r="D7" s="32">
        <v>213.8</v>
      </c>
      <c r="E7" s="26">
        <v>949</v>
      </c>
      <c r="F7" s="24">
        <v>211.93</v>
      </c>
      <c r="G7" s="11">
        <v>753.3</v>
      </c>
      <c r="H7" s="9">
        <v>53</v>
      </c>
      <c r="I7" s="23">
        <v>0</v>
      </c>
      <c r="J7" s="1">
        <v>50</v>
      </c>
      <c r="K7" s="1">
        <v>45</v>
      </c>
      <c r="L7" s="23">
        <v>0</v>
      </c>
      <c r="M7" s="23">
        <f t="shared" si="0"/>
        <v>95</v>
      </c>
      <c r="N7" s="2"/>
    </row>
    <row r="8" spans="1:14" ht="19.5" customHeight="1">
      <c r="A8" s="30">
        <v>44078</v>
      </c>
      <c r="B8" s="62"/>
      <c r="C8" s="62"/>
      <c r="D8" s="32">
        <v>213.8</v>
      </c>
      <c r="E8" s="26">
        <v>949</v>
      </c>
      <c r="F8" s="24">
        <v>211.86</v>
      </c>
      <c r="G8" s="11">
        <v>745.88</v>
      </c>
      <c r="H8" s="9">
        <v>53</v>
      </c>
      <c r="I8" s="23">
        <v>0</v>
      </c>
      <c r="J8" s="1">
        <v>50</v>
      </c>
      <c r="K8" s="1">
        <v>45</v>
      </c>
      <c r="L8" s="23">
        <v>0</v>
      </c>
      <c r="M8" s="23">
        <f t="shared" si="0"/>
        <v>95</v>
      </c>
      <c r="N8" s="2"/>
    </row>
    <row r="9" spans="1:14" ht="19.5" customHeight="1">
      <c r="A9" s="30">
        <v>44079</v>
      </c>
      <c r="B9" s="62"/>
      <c r="C9" s="62"/>
      <c r="D9" s="32">
        <v>213.8</v>
      </c>
      <c r="E9" s="26">
        <v>949</v>
      </c>
      <c r="F9" s="24">
        <v>211.83</v>
      </c>
      <c r="G9" s="11">
        <v>743.06</v>
      </c>
      <c r="H9" s="9">
        <v>62</v>
      </c>
      <c r="I9" s="23">
        <v>0</v>
      </c>
      <c r="J9" s="1">
        <v>50</v>
      </c>
      <c r="K9" s="1">
        <v>45</v>
      </c>
      <c r="L9" s="23">
        <v>0</v>
      </c>
      <c r="M9" s="23">
        <f t="shared" si="0"/>
        <v>95</v>
      </c>
      <c r="N9" s="2"/>
    </row>
    <row r="10" spans="1:14" ht="19.5" customHeight="1">
      <c r="A10" s="30">
        <v>44080</v>
      </c>
      <c r="B10" s="62"/>
      <c r="C10" s="62"/>
      <c r="D10" s="32">
        <v>213.8</v>
      </c>
      <c r="E10" s="26">
        <v>949</v>
      </c>
      <c r="F10" s="24">
        <v>211.8</v>
      </c>
      <c r="G10" s="11">
        <v>739.88</v>
      </c>
      <c r="H10" s="9">
        <v>58</v>
      </c>
      <c r="I10" s="23">
        <v>0</v>
      </c>
      <c r="J10" s="1">
        <v>50</v>
      </c>
      <c r="K10" s="1">
        <v>45</v>
      </c>
      <c r="L10" s="23">
        <v>0</v>
      </c>
      <c r="M10" s="23">
        <f t="shared" si="0"/>
        <v>95</v>
      </c>
      <c r="N10" s="2"/>
    </row>
    <row r="11" spans="1:14" ht="19.5" customHeight="1">
      <c r="A11" s="30">
        <v>44081</v>
      </c>
      <c r="B11" s="62"/>
      <c r="C11" s="62"/>
      <c r="D11" s="32">
        <v>213.8</v>
      </c>
      <c r="E11" s="26">
        <v>949</v>
      </c>
      <c r="F11" s="24">
        <v>211.74</v>
      </c>
      <c r="G11" s="11">
        <v>733.53</v>
      </c>
      <c r="H11" s="9">
        <v>22</v>
      </c>
      <c r="I11" s="23">
        <v>0</v>
      </c>
      <c r="J11" s="1">
        <v>50</v>
      </c>
      <c r="K11" s="1">
        <v>45</v>
      </c>
      <c r="L11" s="23">
        <v>0</v>
      </c>
      <c r="M11" s="23">
        <f t="shared" si="0"/>
        <v>95</v>
      </c>
      <c r="N11" s="2"/>
    </row>
    <row r="12" spans="1:14" ht="19.5" customHeight="1">
      <c r="A12" s="30">
        <v>44082</v>
      </c>
      <c r="B12" s="62"/>
      <c r="C12" s="62"/>
      <c r="D12" s="32">
        <v>213.8</v>
      </c>
      <c r="E12" s="26">
        <v>949</v>
      </c>
      <c r="F12" s="24">
        <v>211.74</v>
      </c>
      <c r="G12" s="36">
        <v>733.53</v>
      </c>
      <c r="H12" s="9">
        <v>22</v>
      </c>
      <c r="I12" s="23">
        <v>0</v>
      </c>
      <c r="J12" s="1">
        <v>50</v>
      </c>
      <c r="K12" s="1">
        <v>45</v>
      </c>
      <c r="L12" s="23">
        <v>0</v>
      </c>
      <c r="M12" s="23">
        <f t="shared" si="0"/>
        <v>95</v>
      </c>
      <c r="N12" s="2"/>
    </row>
    <row r="13" spans="1:14" ht="19.5" customHeight="1">
      <c r="A13" s="30">
        <v>44083</v>
      </c>
      <c r="B13" s="62"/>
      <c r="C13" s="62"/>
      <c r="D13" s="32">
        <v>213.8</v>
      </c>
      <c r="E13" s="26">
        <v>949</v>
      </c>
      <c r="F13" s="24">
        <v>211.64</v>
      </c>
      <c r="G13" s="11">
        <v>723.29</v>
      </c>
      <c r="H13" s="9">
        <v>76</v>
      </c>
      <c r="I13" s="23">
        <v>0</v>
      </c>
      <c r="J13" s="1">
        <v>50</v>
      </c>
      <c r="K13" s="1">
        <v>50</v>
      </c>
      <c r="L13" s="23">
        <v>0</v>
      </c>
      <c r="M13" s="23">
        <f t="shared" si="0"/>
        <v>100</v>
      </c>
      <c r="N13" s="2"/>
    </row>
    <row r="14" spans="1:14" ht="19.5" customHeight="1">
      <c r="A14" s="30">
        <v>44084</v>
      </c>
      <c r="B14" s="62"/>
      <c r="C14" s="62"/>
      <c r="D14" s="32">
        <v>213.8</v>
      </c>
      <c r="E14" s="26">
        <v>949</v>
      </c>
      <c r="F14" s="25">
        <v>211.58</v>
      </c>
      <c r="G14" s="24">
        <v>715.88</v>
      </c>
      <c r="H14" s="9">
        <v>15</v>
      </c>
      <c r="I14" s="23">
        <v>0</v>
      </c>
      <c r="J14" s="1">
        <v>50</v>
      </c>
      <c r="K14" s="1">
        <v>50</v>
      </c>
      <c r="L14" s="23">
        <v>0</v>
      </c>
      <c r="M14" s="23">
        <f t="shared" si="0"/>
        <v>100</v>
      </c>
      <c r="N14" s="2"/>
    </row>
    <row r="15" spans="1:14" ht="19.5" customHeight="1">
      <c r="A15" s="30">
        <v>44085</v>
      </c>
      <c r="B15" s="62"/>
      <c r="C15" s="62"/>
      <c r="D15" s="32">
        <v>213.8</v>
      </c>
      <c r="E15" s="26">
        <v>949</v>
      </c>
      <c r="F15" s="24">
        <v>211.51</v>
      </c>
      <c r="G15" s="11">
        <v>704.94</v>
      </c>
      <c r="H15" s="9">
        <v>0</v>
      </c>
      <c r="I15" s="23">
        <v>0</v>
      </c>
      <c r="J15" s="1">
        <v>55</v>
      </c>
      <c r="K15" s="1">
        <v>70</v>
      </c>
      <c r="L15" s="23">
        <v>0</v>
      </c>
      <c r="M15" s="23">
        <f t="shared" si="0"/>
        <v>125</v>
      </c>
      <c r="N15" s="2"/>
    </row>
    <row r="16" spans="1:14" ht="19.5" customHeight="1">
      <c r="A16" s="30">
        <v>44086</v>
      </c>
      <c r="B16" s="62"/>
      <c r="C16" s="62"/>
      <c r="D16" s="32">
        <v>213.8</v>
      </c>
      <c r="E16" s="26">
        <v>949</v>
      </c>
      <c r="F16" s="24">
        <v>211.44</v>
      </c>
      <c r="G16" s="11">
        <v>697.17</v>
      </c>
      <c r="H16" s="9">
        <v>36</v>
      </c>
      <c r="I16" s="23">
        <v>0</v>
      </c>
      <c r="J16" s="1">
        <v>55</v>
      </c>
      <c r="K16" s="1">
        <v>70</v>
      </c>
      <c r="L16" s="23">
        <v>0</v>
      </c>
      <c r="M16" s="23">
        <f t="shared" si="0"/>
        <v>125</v>
      </c>
      <c r="N16" s="2"/>
    </row>
    <row r="17" spans="1:15" ht="19.5" customHeight="1">
      <c r="A17" s="30">
        <v>44087</v>
      </c>
      <c r="B17" s="62"/>
      <c r="C17" s="62"/>
      <c r="D17" s="32">
        <v>213.8</v>
      </c>
      <c r="E17" s="26">
        <v>949</v>
      </c>
      <c r="F17" s="24">
        <v>211.44</v>
      </c>
      <c r="G17" s="11">
        <v>697.17</v>
      </c>
      <c r="H17" s="9">
        <v>36</v>
      </c>
      <c r="I17" s="23">
        <v>0</v>
      </c>
      <c r="J17" s="1">
        <v>55</v>
      </c>
      <c r="K17" s="1">
        <v>70</v>
      </c>
      <c r="L17" s="23">
        <v>0</v>
      </c>
      <c r="M17" s="23">
        <f t="shared" si="0"/>
        <v>125</v>
      </c>
      <c r="N17" s="2"/>
    </row>
    <row r="18" spans="1:15" ht="19.5" customHeight="1">
      <c r="A18" s="30">
        <v>44088</v>
      </c>
      <c r="B18" s="62"/>
      <c r="C18" s="62"/>
      <c r="D18" s="32">
        <v>213.8</v>
      </c>
      <c r="E18" s="26">
        <v>949</v>
      </c>
      <c r="F18" s="24">
        <v>211.36</v>
      </c>
      <c r="G18" s="11">
        <v>690.82</v>
      </c>
      <c r="H18" s="9">
        <v>112</v>
      </c>
      <c r="I18" s="23">
        <v>0</v>
      </c>
      <c r="J18" s="1">
        <v>55</v>
      </c>
      <c r="K18" s="1">
        <v>70</v>
      </c>
      <c r="L18" s="23">
        <v>0</v>
      </c>
      <c r="M18" s="23">
        <f t="shared" si="0"/>
        <v>125</v>
      </c>
      <c r="N18" s="2"/>
    </row>
    <row r="19" spans="1:15" ht="19.5" customHeight="1">
      <c r="A19" s="30">
        <v>44089</v>
      </c>
      <c r="B19" s="62"/>
      <c r="C19" s="62"/>
      <c r="D19" s="32">
        <v>213.8</v>
      </c>
      <c r="E19" s="26">
        <v>949</v>
      </c>
      <c r="F19" s="24">
        <v>211.39</v>
      </c>
      <c r="G19" s="11">
        <v>692.58</v>
      </c>
      <c r="H19" s="9">
        <v>125</v>
      </c>
      <c r="I19" s="23">
        <v>0</v>
      </c>
      <c r="J19" s="1">
        <v>55</v>
      </c>
      <c r="K19" s="1">
        <v>50</v>
      </c>
      <c r="L19" s="23">
        <v>0</v>
      </c>
      <c r="M19" s="23">
        <f t="shared" si="0"/>
        <v>105</v>
      </c>
      <c r="N19" s="2"/>
    </row>
    <row r="20" spans="1:15" ht="19.5" customHeight="1">
      <c r="A20" s="30">
        <v>44090</v>
      </c>
      <c r="B20" s="62"/>
      <c r="C20" s="62"/>
      <c r="D20" s="32">
        <v>213.8</v>
      </c>
      <c r="E20" s="26">
        <v>949</v>
      </c>
      <c r="F20" s="24">
        <v>211.49</v>
      </c>
      <c r="G20" s="11">
        <v>702.42</v>
      </c>
      <c r="H20" s="9">
        <v>219</v>
      </c>
      <c r="I20" s="23">
        <v>0</v>
      </c>
      <c r="J20" s="1">
        <v>55</v>
      </c>
      <c r="K20" s="1">
        <v>50</v>
      </c>
      <c r="L20" s="23">
        <v>0</v>
      </c>
      <c r="M20" s="23">
        <f t="shared" si="0"/>
        <v>105</v>
      </c>
      <c r="N20" s="2"/>
    </row>
    <row r="21" spans="1:15" ht="19.5" customHeight="1">
      <c r="A21" s="30">
        <v>44091</v>
      </c>
      <c r="B21" s="62"/>
      <c r="C21" s="62"/>
      <c r="D21" s="32">
        <v>213.8</v>
      </c>
      <c r="E21" s="26">
        <v>949</v>
      </c>
      <c r="F21" s="24">
        <v>211.49</v>
      </c>
      <c r="G21" s="11">
        <v>702.42</v>
      </c>
      <c r="H21" s="9">
        <v>0</v>
      </c>
      <c r="I21" s="23">
        <v>0</v>
      </c>
      <c r="J21" s="1">
        <v>55</v>
      </c>
      <c r="K21" s="1">
        <v>50</v>
      </c>
      <c r="L21" s="23">
        <v>0</v>
      </c>
      <c r="M21" s="23">
        <f t="shared" si="0"/>
        <v>105</v>
      </c>
      <c r="N21" s="2"/>
    </row>
    <row r="22" spans="1:15" ht="19.5" customHeight="1">
      <c r="A22" s="30">
        <v>44092</v>
      </c>
      <c r="B22" s="62"/>
      <c r="C22" s="62"/>
      <c r="D22" s="32">
        <v>213.8</v>
      </c>
      <c r="E22" s="26">
        <v>949</v>
      </c>
      <c r="F22" s="24">
        <v>211.71</v>
      </c>
      <c r="G22" s="11">
        <v>730.71</v>
      </c>
      <c r="H22" s="9">
        <v>166</v>
      </c>
      <c r="I22" s="23">
        <v>0</v>
      </c>
      <c r="J22" s="1">
        <v>55</v>
      </c>
      <c r="K22" s="1">
        <v>50</v>
      </c>
      <c r="L22" s="23">
        <v>0</v>
      </c>
      <c r="M22" s="23">
        <f t="shared" si="0"/>
        <v>105</v>
      </c>
      <c r="N22" s="2"/>
    </row>
    <row r="23" spans="1:15" ht="19.5" customHeight="1">
      <c r="A23" s="30">
        <v>44093</v>
      </c>
      <c r="B23" s="62"/>
      <c r="C23" s="62"/>
      <c r="D23" s="32">
        <v>213.8</v>
      </c>
      <c r="E23" s="26">
        <v>949</v>
      </c>
      <c r="F23" s="24">
        <v>211.76</v>
      </c>
      <c r="G23" s="11">
        <v>735.65</v>
      </c>
      <c r="H23" s="9">
        <v>162</v>
      </c>
      <c r="I23" s="23">
        <v>0</v>
      </c>
      <c r="J23" s="1">
        <v>55</v>
      </c>
      <c r="K23" s="1">
        <v>50</v>
      </c>
      <c r="L23" s="23">
        <v>0</v>
      </c>
      <c r="M23" s="23">
        <f t="shared" si="0"/>
        <v>105</v>
      </c>
      <c r="N23" s="2"/>
    </row>
    <row r="24" spans="1:15" ht="19.5" customHeight="1">
      <c r="A24" s="30">
        <v>44094</v>
      </c>
      <c r="B24" s="62"/>
      <c r="C24" s="62"/>
      <c r="D24" s="32">
        <v>213.8</v>
      </c>
      <c r="E24" s="26">
        <v>949</v>
      </c>
      <c r="F24" s="24">
        <v>211.83</v>
      </c>
      <c r="G24" s="11">
        <v>742.32</v>
      </c>
      <c r="H24" s="9">
        <v>146</v>
      </c>
      <c r="I24" s="23">
        <v>0</v>
      </c>
      <c r="J24" s="1">
        <v>55</v>
      </c>
      <c r="K24" s="1">
        <v>50</v>
      </c>
      <c r="L24" s="23">
        <v>0</v>
      </c>
      <c r="M24" s="23">
        <f t="shared" si="0"/>
        <v>105</v>
      </c>
      <c r="N24" s="2"/>
    </row>
    <row r="25" spans="1:15" ht="19.5" customHeight="1">
      <c r="A25" s="30">
        <v>44095</v>
      </c>
      <c r="B25" s="62"/>
      <c r="C25" s="62"/>
      <c r="D25" s="32">
        <v>213.8</v>
      </c>
      <c r="E25" s="26">
        <v>949</v>
      </c>
      <c r="F25" s="24">
        <v>211.83</v>
      </c>
      <c r="G25" s="11">
        <v>742.32</v>
      </c>
      <c r="H25" s="9">
        <v>146</v>
      </c>
      <c r="I25" s="23">
        <v>0</v>
      </c>
      <c r="J25" s="1">
        <v>55</v>
      </c>
      <c r="K25" s="1">
        <v>50</v>
      </c>
      <c r="L25" s="23">
        <v>0</v>
      </c>
      <c r="M25" s="23">
        <f t="shared" si="0"/>
        <v>105</v>
      </c>
      <c r="N25" s="2"/>
    </row>
    <row r="26" spans="1:15" ht="19.5" customHeight="1">
      <c r="A26" s="30">
        <v>44096</v>
      </c>
      <c r="B26" s="62"/>
      <c r="C26" s="62"/>
      <c r="D26" s="32">
        <v>213.8</v>
      </c>
      <c r="E26" s="26">
        <v>949</v>
      </c>
      <c r="F26" s="24">
        <v>211.79</v>
      </c>
      <c r="G26" s="11">
        <v>738.82</v>
      </c>
      <c r="H26" s="9">
        <v>65</v>
      </c>
      <c r="I26" s="23">
        <v>0</v>
      </c>
      <c r="J26" s="1">
        <v>55</v>
      </c>
      <c r="K26" s="1">
        <v>50</v>
      </c>
      <c r="L26" s="23">
        <v>0</v>
      </c>
      <c r="M26" s="23">
        <f t="shared" si="0"/>
        <v>105</v>
      </c>
      <c r="N26" s="2"/>
      <c r="O26" s="18"/>
    </row>
    <row r="27" spans="1:15" ht="19.5" customHeight="1">
      <c r="A27" s="30">
        <v>44097</v>
      </c>
      <c r="B27" s="62"/>
      <c r="C27" s="62"/>
      <c r="D27" s="32">
        <v>213.8</v>
      </c>
      <c r="E27" s="26">
        <v>949</v>
      </c>
      <c r="F27" s="24">
        <v>211.76</v>
      </c>
      <c r="G27" s="11">
        <v>736</v>
      </c>
      <c r="H27" s="9">
        <v>69</v>
      </c>
      <c r="I27" s="23">
        <v>0</v>
      </c>
      <c r="J27" s="1">
        <v>55</v>
      </c>
      <c r="K27" s="1">
        <v>50</v>
      </c>
      <c r="L27" s="23">
        <v>0</v>
      </c>
      <c r="M27" s="23">
        <f t="shared" si="0"/>
        <v>105</v>
      </c>
      <c r="N27" s="2"/>
    </row>
    <row r="28" spans="1:15" ht="19.5" customHeight="1">
      <c r="A28" s="30">
        <v>44098</v>
      </c>
      <c r="B28" s="62"/>
      <c r="C28" s="62"/>
      <c r="D28" s="32">
        <v>213.8</v>
      </c>
      <c r="E28" s="26">
        <v>949</v>
      </c>
      <c r="F28" s="24">
        <v>211.74</v>
      </c>
      <c r="G28" s="11">
        <v>733.53</v>
      </c>
      <c r="H28" s="9">
        <v>81</v>
      </c>
      <c r="I28" s="23">
        <v>0</v>
      </c>
      <c r="J28" s="1">
        <v>55</v>
      </c>
      <c r="K28" s="1">
        <v>50</v>
      </c>
      <c r="L28" s="23">
        <v>0</v>
      </c>
      <c r="M28" s="23">
        <f t="shared" si="0"/>
        <v>105</v>
      </c>
      <c r="N28" s="2"/>
    </row>
    <row r="29" spans="1:15" ht="19.5" customHeight="1">
      <c r="A29" s="30">
        <v>44099</v>
      </c>
      <c r="B29" s="62"/>
      <c r="C29" s="62"/>
      <c r="D29" s="32">
        <v>213.8</v>
      </c>
      <c r="E29" s="26">
        <v>949</v>
      </c>
      <c r="F29" s="24">
        <v>211.74</v>
      </c>
      <c r="G29" s="11">
        <v>733.53</v>
      </c>
      <c r="H29" s="9">
        <v>81</v>
      </c>
      <c r="I29" s="23">
        <v>0</v>
      </c>
      <c r="J29" s="1">
        <v>55</v>
      </c>
      <c r="K29" s="1">
        <v>50</v>
      </c>
      <c r="L29" s="23">
        <v>0</v>
      </c>
      <c r="M29" s="23">
        <f t="shared" si="0"/>
        <v>105</v>
      </c>
      <c r="N29" s="2"/>
    </row>
    <row r="30" spans="1:15" ht="19.5" customHeight="1">
      <c r="A30" s="30">
        <v>44100</v>
      </c>
      <c r="B30" s="62"/>
      <c r="C30" s="62"/>
      <c r="D30" s="32">
        <v>213.8</v>
      </c>
      <c r="E30" s="26">
        <v>949</v>
      </c>
      <c r="F30" s="24">
        <v>211.69</v>
      </c>
      <c r="G30" s="11">
        <v>728.59</v>
      </c>
      <c r="H30" s="9">
        <v>80</v>
      </c>
      <c r="I30" s="23">
        <v>0</v>
      </c>
      <c r="J30" s="1">
        <v>55</v>
      </c>
      <c r="K30" s="1">
        <v>50</v>
      </c>
      <c r="L30" s="23">
        <v>0</v>
      </c>
      <c r="M30" s="23">
        <f t="shared" si="0"/>
        <v>105</v>
      </c>
      <c r="N30" s="2"/>
    </row>
    <row r="31" spans="1:15" ht="21" customHeight="1">
      <c r="A31" s="30">
        <v>44101</v>
      </c>
      <c r="B31" s="62"/>
      <c r="C31" s="62"/>
      <c r="D31" s="32">
        <v>213.8</v>
      </c>
      <c r="E31" s="26">
        <v>949</v>
      </c>
      <c r="F31" s="24">
        <v>211.64</v>
      </c>
      <c r="G31" s="11">
        <v>723.29</v>
      </c>
      <c r="H31" s="9">
        <v>44</v>
      </c>
      <c r="I31" s="23">
        <v>0</v>
      </c>
      <c r="J31" s="1">
        <v>55</v>
      </c>
      <c r="K31" s="1">
        <v>50</v>
      </c>
      <c r="L31" s="23">
        <v>0</v>
      </c>
      <c r="M31" s="23">
        <f t="shared" si="0"/>
        <v>105</v>
      </c>
      <c r="N31" s="2"/>
    </row>
    <row r="32" spans="1:15" ht="21" customHeight="1">
      <c r="A32" s="30">
        <v>44102</v>
      </c>
      <c r="B32" s="62"/>
      <c r="C32" s="62"/>
      <c r="D32" s="32">
        <v>213.8</v>
      </c>
      <c r="E32" s="26">
        <v>949</v>
      </c>
      <c r="F32" s="24">
        <v>211.64</v>
      </c>
      <c r="G32" s="11">
        <v>723.29</v>
      </c>
      <c r="H32" s="9">
        <v>44</v>
      </c>
      <c r="I32" s="23">
        <v>0</v>
      </c>
      <c r="J32" s="1">
        <v>55</v>
      </c>
      <c r="K32" s="1">
        <v>50</v>
      </c>
      <c r="L32" s="23">
        <v>0</v>
      </c>
      <c r="M32" s="23">
        <f t="shared" si="0"/>
        <v>105</v>
      </c>
      <c r="N32" s="2"/>
    </row>
    <row r="33" spans="1:15" ht="21" customHeight="1">
      <c r="A33" s="30">
        <v>44103</v>
      </c>
      <c r="B33" s="62"/>
      <c r="C33" s="62"/>
      <c r="D33" s="32">
        <v>213.8</v>
      </c>
      <c r="E33" s="26">
        <v>949</v>
      </c>
      <c r="F33" s="24">
        <v>211.59</v>
      </c>
      <c r="G33" s="11">
        <v>723.29</v>
      </c>
      <c r="H33" s="9">
        <v>115</v>
      </c>
      <c r="I33" s="23">
        <v>0</v>
      </c>
      <c r="J33" s="1">
        <v>55</v>
      </c>
      <c r="K33" s="1">
        <v>50</v>
      </c>
      <c r="L33" s="23">
        <v>0</v>
      </c>
      <c r="M33" s="23">
        <f t="shared" si="0"/>
        <v>105</v>
      </c>
      <c r="N33" s="2"/>
    </row>
    <row r="34" spans="1:15" ht="21" customHeight="1">
      <c r="A34" s="30">
        <v>44104</v>
      </c>
      <c r="B34" s="62"/>
      <c r="C34" s="62"/>
      <c r="D34" s="32">
        <v>213.8</v>
      </c>
      <c r="E34" s="26">
        <v>949</v>
      </c>
      <c r="F34" s="24">
        <v>211.53</v>
      </c>
      <c r="G34" s="11">
        <v>708.11</v>
      </c>
      <c r="H34" s="9">
        <v>0</v>
      </c>
      <c r="I34" s="23">
        <v>0</v>
      </c>
      <c r="J34" s="1">
        <v>55</v>
      </c>
      <c r="K34" s="1">
        <v>50</v>
      </c>
      <c r="L34" s="23">
        <v>0</v>
      </c>
      <c r="M34" s="23">
        <f t="shared" si="0"/>
        <v>105</v>
      </c>
      <c r="N34" s="2"/>
    </row>
    <row r="35" spans="1:15" ht="21" customHeight="1">
      <c r="A35" s="12"/>
      <c r="B35" s="13"/>
      <c r="C35" s="13"/>
      <c r="D35" s="14"/>
      <c r="E35" s="14"/>
      <c r="F35" s="24"/>
      <c r="G35" s="14"/>
      <c r="H35" s="16">
        <f>SUM(H5:H34)</f>
        <v>2217</v>
      </c>
      <c r="I35" s="16">
        <f t="shared" ref="I35:M35" si="1">SUM(I5:I34)</f>
        <v>0</v>
      </c>
      <c r="J35" s="16">
        <f t="shared" si="1"/>
        <v>1600</v>
      </c>
      <c r="K35" s="16">
        <f t="shared" si="1"/>
        <v>1540</v>
      </c>
      <c r="L35" s="16">
        <f t="shared" si="1"/>
        <v>0</v>
      </c>
      <c r="M35" s="16">
        <f t="shared" si="1"/>
        <v>3140</v>
      </c>
      <c r="N35" s="16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0.1915500259201659</v>
      </c>
      <c r="I36" s="5"/>
      <c r="J36" s="5">
        <f>J35/11574</f>
        <v>0.13824088474166235</v>
      </c>
      <c r="K36" s="5">
        <f>K35/11574</f>
        <v>0.13305685156385</v>
      </c>
      <c r="L36" s="6"/>
      <c r="M36" s="6"/>
      <c r="N36" s="7"/>
    </row>
    <row r="37" spans="1:15" ht="15.75" customHeight="1">
      <c r="A37" s="47" t="s">
        <v>9</v>
      </c>
      <c r="B37" s="41"/>
      <c r="C37" s="41"/>
      <c r="D37" s="41"/>
      <c r="J37" s="47" t="s">
        <v>10</v>
      </c>
      <c r="K37" s="41"/>
      <c r="L37" s="41"/>
      <c r="M37" s="41"/>
      <c r="N37" s="7"/>
    </row>
    <row r="38" spans="1:15" ht="15.75" customHeight="1">
      <c r="A38" s="48" t="s">
        <v>16</v>
      </c>
      <c r="B38" s="41"/>
      <c r="C38" s="41"/>
      <c r="D38" s="41"/>
      <c r="J38" s="48" t="s">
        <v>16</v>
      </c>
      <c r="K38" s="41"/>
      <c r="L38" s="41"/>
      <c r="M38" s="41"/>
      <c r="N38" s="7"/>
    </row>
    <row r="39" spans="1:15" ht="15.75" customHeight="1">
      <c r="A39" s="40" t="s">
        <v>17</v>
      </c>
      <c r="B39" s="41"/>
      <c r="C39" s="41"/>
      <c r="D39" s="41"/>
      <c r="J39" s="40" t="s">
        <v>17</v>
      </c>
      <c r="K39" s="41"/>
      <c r="L39" s="41"/>
      <c r="M39" s="41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view="pageBreakPreview" topLeftCell="A22" zoomScale="60" workbookViewId="0">
      <selection activeCell="I36" sqref="I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44105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211.53</v>
      </c>
      <c r="G5" s="11">
        <v>708.11</v>
      </c>
      <c r="H5" s="39">
        <v>0</v>
      </c>
      <c r="I5" s="23">
        <v>0</v>
      </c>
      <c r="J5" s="1">
        <v>50</v>
      </c>
      <c r="K5" s="1">
        <v>55</v>
      </c>
      <c r="L5" s="23">
        <v>0</v>
      </c>
      <c r="M5" s="23">
        <f>L5+K5+J5+I5</f>
        <v>105</v>
      </c>
      <c r="N5" s="2"/>
    </row>
    <row r="6" spans="1:14" ht="19.5" customHeight="1">
      <c r="A6" s="8">
        <v>44106</v>
      </c>
      <c r="B6" s="45"/>
      <c r="C6" s="45"/>
      <c r="D6" s="21">
        <v>213.8</v>
      </c>
      <c r="E6" s="26">
        <v>949</v>
      </c>
      <c r="F6" s="24">
        <v>211.53</v>
      </c>
      <c r="G6" s="11">
        <v>708.11</v>
      </c>
      <c r="H6" s="9">
        <v>105</v>
      </c>
      <c r="I6" s="23">
        <v>0</v>
      </c>
      <c r="J6" s="1">
        <v>55</v>
      </c>
      <c r="K6" s="1">
        <v>50</v>
      </c>
      <c r="L6" s="23">
        <v>0</v>
      </c>
      <c r="M6" s="23">
        <f t="shared" ref="M6:M35" si="0">L6+K6+J6+I6</f>
        <v>105</v>
      </c>
      <c r="N6" s="2"/>
    </row>
    <row r="7" spans="1:14" ht="19.5" customHeight="1">
      <c r="A7" s="8">
        <v>44107</v>
      </c>
      <c r="B7" s="45"/>
      <c r="C7" s="45"/>
      <c r="D7" s="21">
        <v>213.8</v>
      </c>
      <c r="E7" s="26">
        <v>949</v>
      </c>
      <c r="F7" s="24">
        <v>211.55</v>
      </c>
      <c r="G7" s="11">
        <v>711.21</v>
      </c>
      <c r="H7" s="9">
        <v>40</v>
      </c>
      <c r="I7" s="23">
        <v>0</v>
      </c>
      <c r="J7" s="1">
        <v>20</v>
      </c>
      <c r="K7" s="1">
        <v>50</v>
      </c>
      <c r="L7" s="23">
        <v>0</v>
      </c>
      <c r="M7" s="23">
        <f t="shared" si="0"/>
        <v>70</v>
      </c>
      <c r="N7" s="2"/>
    </row>
    <row r="8" spans="1:14" ht="19.5" customHeight="1">
      <c r="A8" s="8">
        <v>44108</v>
      </c>
      <c r="B8" s="45"/>
      <c r="C8" s="45"/>
      <c r="D8" s="21">
        <v>213.8</v>
      </c>
      <c r="E8" s="26">
        <v>949</v>
      </c>
      <c r="F8" s="24">
        <v>211.58</v>
      </c>
      <c r="G8" s="11">
        <v>715.88</v>
      </c>
      <c r="H8" s="9">
        <v>130</v>
      </c>
      <c r="I8" s="23">
        <v>0</v>
      </c>
      <c r="J8" s="1">
        <v>20</v>
      </c>
      <c r="K8" s="1">
        <v>50</v>
      </c>
      <c r="L8" s="23">
        <v>0</v>
      </c>
      <c r="M8" s="23">
        <f t="shared" si="0"/>
        <v>70</v>
      </c>
      <c r="N8" s="2"/>
    </row>
    <row r="9" spans="1:14" ht="19.5" customHeight="1">
      <c r="A9" s="8">
        <v>44109</v>
      </c>
      <c r="B9" s="45"/>
      <c r="C9" s="45"/>
      <c r="D9" s="21">
        <v>213.8</v>
      </c>
      <c r="E9" s="26">
        <v>949</v>
      </c>
      <c r="F9" s="24">
        <v>212.16</v>
      </c>
      <c r="G9" s="11">
        <v>777.3</v>
      </c>
      <c r="H9" s="9">
        <v>786</v>
      </c>
      <c r="I9" s="23">
        <v>0</v>
      </c>
      <c r="J9" s="1">
        <v>10</v>
      </c>
      <c r="K9" s="1">
        <v>50</v>
      </c>
      <c r="L9" s="23">
        <v>0</v>
      </c>
      <c r="M9" s="23">
        <f t="shared" si="0"/>
        <v>60</v>
      </c>
      <c r="N9" s="2"/>
    </row>
    <row r="10" spans="1:14" ht="19.5" customHeight="1">
      <c r="A10" s="8">
        <v>44110</v>
      </c>
      <c r="B10" s="45"/>
      <c r="C10" s="45"/>
      <c r="D10" s="21">
        <v>213.8</v>
      </c>
      <c r="E10" s="26">
        <v>949</v>
      </c>
      <c r="F10" s="24">
        <v>212.41</v>
      </c>
      <c r="G10" s="11">
        <v>803.428</v>
      </c>
      <c r="H10" s="9">
        <v>358</v>
      </c>
      <c r="I10" s="23">
        <v>0</v>
      </c>
      <c r="J10" s="1">
        <v>10</v>
      </c>
      <c r="K10" s="1">
        <v>45</v>
      </c>
      <c r="L10" s="23">
        <v>0</v>
      </c>
      <c r="M10" s="23">
        <f t="shared" si="0"/>
        <v>55</v>
      </c>
      <c r="N10" s="2"/>
    </row>
    <row r="11" spans="1:14" ht="19.5" customHeight="1">
      <c r="A11" s="8">
        <v>44111</v>
      </c>
      <c r="B11" s="45"/>
      <c r="C11" s="45"/>
      <c r="D11" s="21">
        <v>213.8</v>
      </c>
      <c r="E11" s="26">
        <v>949</v>
      </c>
      <c r="F11" s="24">
        <v>212.66</v>
      </c>
      <c r="G11" s="11">
        <v>829.55</v>
      </c>
      <c r="H11" s="9">
        <v>358</v>
      </c>
      <c r="I11" s="23">
        <v>0</v>
      </c>
      <c r="J11" s="1">
        <v>40</v>
      </c>
      <c r="K11" s="1">
        <v>45</v>
      </c>
      <c r="L11" s="23">
        <v>0</v>
      </c>
      <c r="M11" s="23">
        <f t="shared" si="0"/>
        <v>85</v>
      </c>
      <c r="N11" s="2"/>
    </row>
    <row r="12" spans="1:14" ht="19.5" customHeight="1">
      <c r="A12" s="8">
        <v>44112</v>
      </c>
      <c r="B12" s="45"/>
      <c r="C12" s="45"/>
      <c r="D12" s="21">
        <v>213.8</v>
      </c>
      <c r="E12" s="26">
        <v>949</v>
      </c>
      <c r="F12" s="24">
        <v>213</v>
      </c>
      <c r="G12" s="11">
        <v>866.61</v>
      </c>
      <c r="H12" s="9">
        <v>514</v>
      </c>
      <c r="I12" s="23">
        <v>0</v>
      </c>
      <c r="J12" s="1">
        <v>45</v>
      </c>
      <c r="K12" s="1">
        <v>45</v>
      </c>
      <c r="L12" s="23">
        <v>0</v>
      </c>
      <c r="M12" s="23">
        <f t="shared" si="0"/>
        <v>90</v>
      </c>
      <c r="N12" s="2"/>
    </row>
    <row r="13" spans="1:14" ht="19.5" customHeight="1">
      <c r="A13" s="8">
        <v>44113</v>
      </c>
      <c r="B13" s="45"/>
      <c r="C13" s="45"/>
      <c r="D13" s="21">
        <v>213.8</v>
      </c>
      <c r="E13" s="26">
        <v>949</v>
      </c>
      <c r="F13" s="24">
        <v>213</v>
      </c>
      <c r="G13" s="11">
        <v>866.61</v>
      </c>
      <c r="H13" s="9">
        <v>0</v>
      </c>
      <c r="I13" s="23">
        <v>40</v>
      </c>
      <c r="J13" s="1">
        <v>70</v>
      </c>
      <c r="K13" s="1">
        <v>0</v>
      </c>
      <c r="L13" s="23">
        <v>0</v>
      </c>
      <c r="M13" s="23">
        <f t="shared" si="0"/>
        <v>110</v>
      </c>
      <c r="N13" s="2"/>
    </row>
    <row r="14" spans="1:14" ht="19.5" customHeight="1">
      <c r="A14" s="8">
        <v>44114</v>
      </c>
      <c r="B14" s="45"/>
      <c r="C14" s="45"/>
      <c r="D14" s="21">
        <v>213.8</v>
      </c>
      <c r="E14" s="26">
        <v>949</v>
      </c>
      <c r="F14" s="24">
        <v>213.15</v>
      </c>
      <c r="G14" s="11">
        <v>881.79</v>
      </c>
      <c r="H14" s="9">
        <v>185</v>
      </c>
      <c r="I14" s="23">
        <v>45</v>
      </c>
      <c r="J14" s="1">
        <v>70</v>
      </c>
      <c r="K14" s="1">
        <v>0</v>
      </c>
      <c r="L14" s="23">
        <v>0</v>
      </c>
      <c r="M14" s="23">
        <f t="shared" si="0"/>
        <v>115</v>
      </c>
      <c r="N14" s="2"/>
    </row>
    <row r="15" spans="1:14" ht="19.5" customHeight="1">
      <c r="A15" s="8">
        <v>44115</v>
      </c>
      <c r="B15" s="45"/>
      <c r="C15" s="45"/>
      <c r="D15" s="21">
        <v>213.8</v>
      </c>
      <c r="E15" s="26">
        <v>949</v>
      </c>
      <c r="F15" s="24">
        <v>213.18</v>
      </c>
      <c r="G15" s="11">
        <v>883.91</v>
      </c>
      <c r="H15" s="9">
        <v>140</v>
      </c>
      <c r="I15" s="23">
        <v>45</v>
      </c>
      <c r="J15" s="1">
        <v>70</v>
      </c>
      <c r="K15" s="1">
        <v>0</v>
      </c>
      <c r="L15" s="23">
        <v>0</v>
      </c>
      <c r="M15" s="23">
        <f t="shared" si="0"/>
        <v>115</v>
      </c>
      <c r="N15" s="2"/>
    </row>
    <row r="16" spans="1:14" ht="19.5" customHeight="1">
      <c r="A16" s="8">
        <v>44116</v>
      </c>
      <c r="B16" s="45"/>
      <c r="C16" s="45"/>
      <c r="D16" s="21">
        <v>213.8</v>
      </c>
      <c r="E16" s="26">
        <v>949</v>
      </c>
      <c r="F16" s="11">
        <v>213.24</v>
      </c>
      <c r="G16" s="9">
        <v>890.26</v>
      </c>
      <c r="H16" s="9">
        <v>189</v>
      </c>
      <c r="I16" s="23">
        <v>45</v>
      </c>
      <c r="J16" s="1">
        <v>0</v>
      </c>
      <c r="K16" s="1">
        <v>0</v>
      </c>
      <c r="L16" s="23">
        <v>0</v>
      </c>
      <c r="M16" s="23">
        <f t="shared" si="0"/>
        <v>45</v>
      </c>
      <c r="N16" s="2"/>
    </row>
    <row r="17" spans="1:15" ht="19.5" customHeight="1">
      <c r="A17" s="8">
        <v>44117</v>
      </c>
      <c r="B17" s="45"/>
      <c r="C17" s="45"/>
      <c r="D17" s="21">
        <v>213.8</v>
      </c>
      <c r="E17" s="26">
        <v>949</v>
      </c>
      <c r="F17" s="24">
        <v>213.65</v>
      </c>
      <c r="G17" s="11">
        <v>935.25</v>
      </c>
      <c r="H17" s="9">
        <v>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44118</v>
      </c>
      <c r="B18" s="45"/>
      <c r="C18" s="45"/>
      <c r="D18" s="21">
        <v>213.8</v>
      </c>
      <c r="E18" s="26">
        <v>949</v>
      </c>
      <c r="F18" s="24">
        <v>213.56</v>
      </c>
      <c r="G18" s="11">
        <v>923.44</v>
      </c>
      <c r="H18" s="9">
        <v>7823</v>
      </c>
      <c r="I18" s="23">
        <v>8000</v>
      </c>
      <c r="J18" s="1">
        <v>0</v>
      </c>
      <c r="K18" s="1">
        <v>0</v>
      </c>
      <c r="L18" s="23">
        <v>0</v>
      </c>
      <c r="M18" s="23">
        <f t="shared" si="0"/>
        <v>8000</v>
      </c>
      <c r="N18" s="2"/>
    </row>
    <row r="19" spans="1:15" ht="19.5" customHeight="1">
      <c r="A19" s="8">
        <v>44119</v>
      </c>
      <c r="B19" s="45"/>
      <c r="C19" s="45"/>
      <c r="D19" s="21">
        <v>213.8</v>
      </c>
      <c r="E19" s="26">
        <v>949</v>
      </c>
      <c r="F19" s="24">
        <v>213.68</v>
      </c>
      <c r="G19" s="11">
        <v>936.15</v>
      </c>
      <c r="H19" s="9">
        <v>2400</v>
      </c>
      <c r="I19" s="23">
        <v>2250</v>
      </c>
      <c r="J19" s="1">
        <v>0</v>
      </c>
      <c r="K19" s="1">
        <v>0</v>
      </c>
      <c r="L19" s="23">
        <v>0</v>
      </c>
      <c r="M19" s="23">
        <f t="shared" si="0"/>
        <v>2250</v>
      </c>
      <c r="N19" s="2"/>
    </row>
    <row r="20" spans="1:15" ht="19.5" customHeight="1">
      <c r="A20" s="8">
        <v>44120</v>
      </c>
      <c r="B20" s="45"/>
      <c r="C20" s="45"/>
      <c r="D20" s="21">
        <v>213.8</v>
      </c>
      <c r="E20" s="26">
        <v>949</v>
      </c>
      <c r="F20" s="24">
        <v>213.55</v>
      </c>
      <c r="G20" s="11">
        <v>922.38</v>
      </c>
      <c r="H20" s="9">
        <v>1840</v>
      </c>
      <c r="I20" s="23">
        <v>2000</v>
      </c>
      <c r="J20" s="1">
        <v>0</v>
      </c>
      <c r="K20" s="1">
        <v>0</v>
      </c>
      <c r="L20" s="23">
        <v>0</v>
      </c>
      <c r="M20" s="23">
        <f t="shared" si="0"/>
        <v>2000</v>
      </c>
      <c r="N20" s="2"/>
    </row>
    <row r="21" spans="1:15" ht="19.5" customHeight="1">
      <c r="A21" s="8">
        <v>44121</v>
      </c>
      <c r="B21" s="45"/>
      <c r="C21" s="45"/>
      <c r="D21" s="21">
        <v>213.8</v>
      </c>
      <c r="E21" s="26">
        <v>949</v>
      </c>
      <c r="F21" s="24">
        <v>213.59</v>
      </c>
      <c r="G21" s="11">
        <v>926.62</v>
      </c>
      <c r="H21" s="9">
        <v>1050</v>
      </c>
      <c r="I21" s="23">
        <v>1000</v>
      </c>
      <c r="J21" s="1">
        <v>0</v>
      </c>
      <c r="K21" s="1">
        <v>0</v>
      </c>
      <c r="L21" s="23">
        <v>0</v>
      </c>
      <c r="M21" s="23">
        <f t="shared" si="0"/>
        <v>1000</v>
      </c>
      <c r="N21" s="2"/>
    </row>
    <row r="22" spans="1:15" ht="19.5" customHeight="1">
      <c r="A22" s="8">
        <v>44122</v>
      </c>
      <c r="B22" s="45"/>
      <c r="C22" s="45"/>
      <c r="D22" s="21">
        <v>213.8</v>
      </c>
      <c r="E22" s="26">
        <v>949</v>
      </c>
      <c r="F22" s="37">
        <v>213.5</v>
      </c>
      <c r="G22" s="36">
        <v>917.82</v>
      </c>
      <c r="H22" s="9">
        <v>450</v>
      </c>
      <c r="I22" s="23">
        <v>550</v>
      </c>
      <c r="J22" s="1">
        <v>40</v>
      </c>
      <c r="K22" s="1">
        <v>0</v>
      </c>
      <c r="L22" s="23">
        <v>0</v>
      </c>
      <c r="M22" s="23">
        <f t="shared" si="0"/>
        <v>590</v>
      </c>
      <c r="N22" s="2"/>
    </row>
    <row r="23" spans="1:15" ht="19.5" customHeight="1">
      <c r="A23" s="8">
        <v>44123</v>
      </c>
      <c r="B23" s="45"/>
      <c r="C23" s="45"/>
      <c r="D23" s="21">
        <v>213.8</v>
      </c>
      <c r="E23" s="26">
        <v>949</v>
      </c>
      <c r="F23" s="24">
        <v>213.58</v>
      </c>
      <c r="G23" s="11">
        <v>925.56</v>
      </c>
      <c r="H23" s="9">
        <v>940</v>
      </c>
      <c r="I23" s="23">
        <v>800</v>
      </c>
      <c r="J23" s="1">
        <v>50</v>
      </c>
      <c r="K23" s="1">
        <v>0</v>
      </c>
      <c r="L23" s="23">
        <v>0</v>
      </c>
      <c r="M23" s="23">
        <f t="shared" si="0"/>
        <v>850</v>
      </c>
      <c r="N23" s="2"/>
    </row>
    <row r="24" spans="1:15" ht="19.5" customHeight="1">
      <c r="A24" s="8">
        <v>44124</v>
      </c>
      <c r="B24" s="45"/>
      <c r="C24" s="45"/>
      <c r="D24" s="21">
        <v>213.8</v>
      </c>
      <c r="E24" s="26">
        <v>949</v>
      </c>
      <c r="F24" s="24">
        <v>213.5</v>
      </c>
      <c r="G24" s="11">
        <v>917.82</v>
      </c>
      <c r="H24" s="9">
        <v>710</v>
      </c>
      <c r="I24" s="23">
        <v>800</v>
      </c>
      <c r="J24" s="1">
        <v>50</v>
      </c>
      <c r="K24" s="1">
        <v>0</v>
      </c>
      <c r="L24" s="23">
        <v>0</v>
      </c>
      <c r="M24" s="23">
        <f t="shared" si="0"/>
        <v>850</v>
      </c>
      <c r="N24" s="2"/>
    </row>
    <row r="25" spans="1:15" ht="19.5" customHeight="1">
      <c r="A25" s="8">
        <v>44125</v>
      </c>
      <c r="B25" s="45"/>
      <c r="C25" s="45"/>
      <c r="D25" s="21">
        <v>213.8</v>
      </c>
      <c r="E25" s="26">
        <v>949</v>
      </c>
      <c r="F25" s="24">
        <v>213.59</v>
      </c>
      <c r="G25" s="11">
        <v>929.09</v>
      </c>
      <c r="H25" s="9">
        <v>810</v>
      </c>
      <c r="I25" s="23">
        <v>500</v>
      </c>
      <c r="J25" s="1">
        <v>50</v>
      </c>
      <c r="K25" s="1">
        <v>0</v>
      </c>
      <c r="L25" s="23">
        <v>0</v>
      </c>
      <c r="M25" s="23">
        <f t="shared" si="0"/>
        <v>550</v>
      </c>
      <c r="N25" s="2"/>
    </row>
    <row r="26" spans="1:15" ht="19.5" customHeight="1">
      <c r="A26" s="8">
        <v>44126</v>
      </c>
      <c r="B26" s="45"/>
      <c r="C26" s="45"/>
      <c r="D26" s="21">
        <v>213.8</v>
      </c>
      <c r="E26" s="26">
        <v>949</v>
      </c>
      <c r="F26" s="24">
        <v>213.51</v>
      </c>
      <c r="G26" s="11">
        <v>918.15</v>
      </c>
      <c r="H26" s="9">
        <v>425</v>
      </c>
      <c r="I26" s="23">
        <v>500</v>
      </c>
      <c r="J26" s="1">
        <v>50</v>
      </c>
      <c r="K26" s="1">
        <v>0</v>
      </c>
      <c r="L26" s="23">
        <v>0</v>
      </c>
      <c r="M26" s="23">
        <f t="shared" si="0"/>
        <v>550</v>
      </c>
      <c r="N26" s="2"/>
      <c r="O26" s="18"/>
    </row>
    <row r="27" spans="1:15" ht="19.5" customHeight="1">
      <c r="A27" s="8">
        <v>44127</v>
      </c>
      <c r="B27" s="45"/>
      <c r="C27" s="45"/>
      <c r="D27" s="21">
        <v>213.8</v>
      </c>
      <c r="E27" s="26">
        <v>949</v>
      </c>
      <c r="F27" s="24">
        <v>213.54</v>
      </c>
      <c r="G27" s="11">
        <v>921.33</v>
      </c>
      <c r="H27" s="9">
        <v>390</v>
      </c>
      <c r="I27" s="23">
        <v>300</v>
      </c>
      <c r="J27" s="1">
        <v>50</v>
      </c>
      <c r="K27" s="1">
        <v>0</v>
      </c>
      <c r="L27" s="23">
        <v>0</v>
      </c>
      <c r="M27" s="23">
        <f t="shared" si="0"/>
        <v>350</v>
      </c>
      <c r="N27" s="2"/>
    </row>
    <row r="28" spans="1:15" ht="19.5" customHeight="1">
      <c r="A28" s="8">
        <v>44128</v>
      </c>
      <c r="B28" s="45"/>
      <c r="C28" s="45"/>
      <c r="D28" s="21">
        <v>213.8</v>
      </c>
      <c r="E28" s="26">
        <v>949</v>
      </c>
      <c r="F28" s="24">
        <v>213.56</v>
      </c>
      <c r="G28" s="11">
        <v>923.44</v>
      </c>
      <c r="H28" s="9">
        <v>275</v>
      </c>
      <c r="I28" s="23">
        <v>200</v>
      </c>
      <c r="J28" s="1">
        <v>50</v>
      </c>
      <c r="K28" s="1">
        <v>0</v>
      </c>
      <c r="L28" s="23">
        <v>0</v>
      </c>
      <c r="M28" s="23">
        <f t="shared" si="0"/>
        <v>250</v>
      </c>
      <c r="N28" s="2"/>
    </row>
    <row r="29" spans="1:15" ht="19.5" customHeight="1">
      <c r="A29" s="8">
        <v>44129</v>
      </c>
      <c r="B29" s="45"/>
      <c r="C29" s="45"/>
      <c r="D29" s="21">
        <v>213.8</v>
      </c>
      <c r="E29" s="26">
        <v>949</v>
      </c>
      <c r="F29" s="24">
        <v>213.56</v>
      </c>
      <c r="G29" s="11">
        <v>923.44</v>
      </c>
      <c r="H29" s="9">
        <v>150</v>
      </c>
      <c r="I29" s="23">
        <v>100</v>
      </c>
      <c r="J29" s="1">
        <v>50</v>
      </c>
      <c r="K29" s="1">
        <v>0</v>
      </c>
      <c r="L29" s="23">
        <v>0</v>
      </c>
      <c r="M29" s="23">
        <f t="shared" si="0"/>
        <v>150</v>
      </c>
      <c r="N29" s="2"/>
    </row>
    <row r="30" spans="1:15" ht="19.5" customHeight="1">
      <c r="A30" s="8">
        <v>44130</v>
      </c>
      <c r="B30" s="45"/>
      <c r="C30" s="45"/>
      <c r="D30" s="21">
        <v>213.8</v>
      </c>
      <c r="E30" s="26">
        <v>949</v>
      </c>
      <c r="F30" s="24">
        <v>213.74</v>
      </c>
      <c r="G30" s="11">
        <v>942.51</v>
      </c>
      <c r="H30" s="9">
        <v>345</v>
      </c>
      <c r="I30" s="23">
        <v>0</v>
      </c>
      <c r="J30" s="1">
        <v>50</v>
      </c>
      <c r="K30" s="1">
        <v>75</v>
      </c>
      <c r="L30" s="23">
        <v>0</v>
      </c>
      <c r="M30" s="23">
        <f t="shared" si="0"/>
        <v>125</v>
      </c>
      <c r="N30" s="2"/>
    </row>
    <row r="31" spans="1:15" ht="21" customHeight="1">
      <c r="A31" s="8">
        <v>44131</v>
      </c>
      <c r="B31" s="45"/>
      <c r="C31" s="45"/>
      <c r="D31" s="21">
        <v>213.8</v>
      </c>
      <c r="E31" s="26">
        <v>949</v>
      </c>
      <c r="F31" s="24">
        <v>213.59</v>
      </c>
      <c r="G31" s="11">
        <v>926.62</v>
      </c>
      <c r="H31" s="9">
        <v>190</v>
      </c>
      <c r="I31" s="23">
        <v>250</v>
      </c>
      <c r="J31" s="1">
        <v>75</v>
      </c>
      <c r="K31" s="1">
        <v>0</v>
      </c>
      <c r="L31" s="23">
        <v>0</v>
      </c>
      <c r="M31" s="23">
        <f t="shared" si="0"/>
        <v>325</v>
      </c>
      <c r="N31" s="2"/>
    </row>
    <row r="32" spans="1:15" ht="21" customHeight="1">
      <c r="A32" s="8">
        <v>44132</v>
      </c>
      <c r="B32" s="45"/>
      <c r="C32" s="45"/>
      <c r="D32" s="21">
        <v>213.8</v>
      </c>
      <c r="E32" s="26">
        <v>949</v>
      </c>
      <c r="F32" s="24">
        <v>213.65</v>
      </c>
      <c r="G32" s="11">
        <v>932.97</v>
      </c>
      <c r="H32" s="9">
        <v>200</v>
      </c>
      <c r="I32" s="23">
        <v>0</v>
      </c>
      <c r="J32" s="1">
        <v>50</v>
      </c>
      <c r="K32" s="1">
        <v>75</v>
      </c>
      <c r="L32" s="23">
        <v>0</v>
      </c>
      <c r="M32" s="23">
        <f t="shared" si="0"/>
        <v>125</v>
      </c>
      <c r="N32" s="2"/>
    </row>
    <row r="33" spans="1:15" ht="21" customHeight="1">
      <c r="A33" s="8">
        <v>44133</v>
      </c>
      <c r="B33" s="45"/>
      <c r="C33" s="45"/>
      <c r="D33" s="21">
        <v>213.8</v>
      </c>
      <c r="E33" s="26">
        <v>949</v>
      </c>
      <c r="F33" s="24">
        <v>213.68</v>
      </c>
      <c r="G33" s="11">
        <v>936.15</v>
      </c>
      <c r="H33" s="9">
        <v>260</v>
      </c>
      <c r="I33" s="23">
        <v>0</v>
      </c>
      <c r="J33" s="1">
        <v>125</v>
      </c>
      <c r="K33" s="1">
        <v>100</v>
      </c>
      <c r="L33" s="23">
        <v>0</v>
      </c>
      <c r="M33" s="23">
        <f t="shared" si="0"/>
        <v>225</v>
      </c>
      <c r="N33" s="2"/>
    </row>
    <row r="34" spans="1:15" ht="21" customHeight="1">
      <c r="A34" s="8">
        <v>44134</v>
      </c>
      <c r="B34" s="45"/>
      <c r="C34" s="45"/>
      <c r="D34" s="21">
        <v>213.8</v>
      </c>
      <c r="E34" s="26">
        <v>949</v>
      </c>
      <c r="F34" s="24">
        <v>213.65</v>
      </c>
      <c r="G34" s="11">
        <v>936.15</v>
      </c>
      <c r="H34" s="9">
        <v>260</v>
      </c>
      <c r="I34" s="23">
        <v>0</v>
      </c>
      <c r="J34" s="1">
        <v>50</v>
      </c>
      <c r="K34" s="1">
        <v>75</v>
      </c>
      <c r="L34" s="23">
        <v>0</v>
      </c>
      <c r="M34" s="23">
        <f t="shared" si="0"/>
        <v>125</v>
      </c>
      <c r="N34" s="2"/>
    </row>
    <row r="35" spans="1:15" ht="21" customHeight="1">
      <c r="A35" s="8">
        <v>44135</v>
      </c>
      <c r="B35" s="46"/>
      <c r="C35" s="46"/>
      <c r="D35" s="22">
        <v>213.8</v>
      </c>
      <c r="E35" s="26">
        <v>949</v>
      </c>
      <c r="F35" s="24">
        <v>213.71</v>
      </c>
      <c r="G35" s="11">
        <v>939.33</v>
      </c>
      <c r="H35" s="9">
        <v>162</v>
      </c>
      <c r="I35" s="23">
        <v>0</v>
      </c>
      <c r="J35" s="1">
        <v>50</v>
      </c>
      <c r="K35" s="1">
        <v>75</v>
      </c>
      <c r="L35" s="23">
        <v>0</v>
      </c>
      <c r="M35" s="23">
        <f t="shared" si="0"/>
        <v>125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SUM(H6:H35)</f>
        <v>21485</v>
      </c>
      <c r="I36" s="16">
        <f t="shared" ref="I36:M36" si="1">SUM(I6:I35)</f>
        <v>17425</v>
      </c>
      <c r="J36" s="16">
        <f t="shared" si="1"/>
        <v>1200</v>
      </c>
      <c r="K36" s="16">
        <f t="shared" si="1"/>
        <v>735</v>
      </c>
      <c r="L36" s="16">
        <f t="shared" si="1"/>
        <v>0</v>
      </c>
      <c r="M36" s="16">
        <f t="shared" si="1"/>
        <v>19360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1.8563158804216346</v>
      </c>
      <c r="I37" s="5"/>
      <c r="J37" s="5">
        <f>J36/11574</f>
        <v>0.10368066355624676</v>
      </c>
      <c r="K37" s="5">
        <f>K36/11574</f>
        <v>6.3504406428201141E-2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E3:E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1"/>
  <sheetViews>
    <sheetView view="pageBreakPreview" topLeftCell="A16" zoomScale="60" workbookViewId="0">
      <selection activeCell="H35" sqref="H35:M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5"/>
      <c r="C4" s="45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30">
        <v>44136</v>
      </c>
      <c r="B5" s="61" t="s">
        <v>11</v>
      </c>
      <c r="C5" s="61" t="s">
        <v>12</v>
      </c>
      <c r="D5" s="32">
        <v>213.8</v>
      </c>
      <c r="E5" s="26">
        <v>949</v>
      </c>
      <c r="F5" s="24">
        <v>213.69</v>
      </c>
      <c r="G5" s="11">
        <v>937.21</v>
      </c>
      <c r="H5" s="9">
        <v>150</v>
      </c>
      <c r="I5" s="23">
        <v>0</v>
      </c>
      <c r="J5" s="1">
        <v>50</v>
      </c>
      <c r="K5" s="1">
        <v>75</v>
      </c>
      <c r="L5" s="23">
        <v>0</v>
      </c>
      <c r="M5" s="23">
        <f>L5+K5+J5+I5</f>
        <v>125</v>
      </c>
      <c r="N5" s="2"/>
    </row>
    <row r="6" spans="1:14" ht="19.5" customHeight="1">
      <c r="A6" s="30">
        <v>44137</v>
      </c>
      <c r="B6" s="62"/>
      <c r="C6" s="62"/>
      <c r="D6" s="32">
        <v>213.8</v>
      </c>
      <c r="E6" s="26">
        <v>949</v>
      </c>
      <c r="F6" s="24">
        <v>213.69</v>
      </c>
      <c r="G6" s="11">
        <v>937.21</v>
      </c>
      <c r="H6" s="9">
        <v>125</v>
      </c>
      <c r="I6" s="23">
        <v>0</v>
      </c>
      <c r="J6" s="1">
        <v>50</v>
      </c>
      <c r="K6" s="1">
        <v>75</v>
      </c>
      <c r="L6" s="23">
        <v>0</v>
      </c>
      <c r="M6" s="23">
        <f t="shared" ref="M6:M34" si="0">L6+K6+J6+I6</f>
        <v>125</v>
      </c>
      <c r="N6" s="2"/>
    </row>
    <row r="7" spans="1:14" ht="19.5" customHeight="1">
      <c r="A7" s="30">
        <v>44138</v>
      </c>
      <c r="B7" s="62"/>
      <c r="C7" s="62"/>
      <c r="D7" s="32">
        <v>213.8</v>
      </c>
      <c r="E7" s="26">
        <v>949</v>
      </c>
      <c r="F7" s="24">
        <v>213.71</v>
      </c>
      <c r="G7" s="11">
        <v>939.33</v>
      </c>
      <c r="H7" s="9">
        <v>150</v>
      </c>
      <c r="I7" s="23">
        <v>0</v>
      </c>
      <c r="J7" s="1">
        <v>50</v>
      </c>
      <c r="K7" s="1">
        <v>75</v>
      </c>
      <c r="L7" s="23">
        <v>0</v>
      </c>
      <c r="M7" s="23">
        <f t="shared" si="0"/>
        <v>125</v>
      </c>
      <c r="N7" s="2"/>
    </row>
    <row r="8" spans="1:14" ht="19.5" customHeight="1">
      <c r="A8" s="30">
        <v>44139</v>
      </c>
      <c r="B8" s="62"/>
      <c r="C8" s="62"/>
      <c r="D8" s="32">
        <v>213.8</v>
      </c>
      <c r="E8" s="26">
        <v>949</v>
      </c>
      <c r="F8" s="24">
        <v>213.71</v>
      </c>
      <c r="G8" s="11">
        <v>939.33</v>
      </c>
      <c r="H8" s="9">
        <v>162</v>
      </c>
      <c r="I8" s="23">
        <v>0</v>
      </c>
      <c r="J8" s="1">
        <v>75</v>
      </c>
      <c r="K8" s="1">
        <v>50</v>
      </c>
      <c r="L8" s="23">
        <v>0</v>
      </c>
      <c r="M8" s="23">
        <f t="shared" si="0"/>
        <v>125</v>
      </c>
      <c r="N8" s="2"/>
    </row>
    <row r="9" spans="1:14" ht="19.5" customHeight="1">
      <c r="A9" s="30">
        <v>44140</v>
      </c>
      <c r="B9" s="62"/>
      <c r="C9" s="62"/>
      <c r="D9" s="32">
        <v>213.8</v>
      </c>
      <c r="E9" s="26">
        <v>949</v>
      </c>
      <c r="F9" s="24">
        <v>213.71</v>
      </c>
      <c r="G9" s="11">
        <v>939.33</v>
      </c>
      <c r="H9" s="9">
        <v>125</v>
      </c>
      <c r="I9" s="23">
        <v>0</v>
      </c>
      <c r="J9" s="1">
        <v>75</v>
      </c>
      <c r="K9" s="1">
        <v>50</v>
      </c>
      <c r="L9" s="23">
        <v>0</v>
      </c>
      <c r="M9" s="23">
        <f t="shared" si="0"/>
        <v>125</v>
      </c>
      <c r="N9" s="2"/>
    </row>
    <row r="10" spans="1:14" ht="19.5" customHeight="1">
      <c r="A10" s="30">
        <v>44141</v>
      </c>
      <c r="B10" s="62"/>
      <c r="C10" s="62"/>
      <c r="D10" s="32">
        <v>213.8</v>
      </c>
      <c r="E10" s="26">
        <v>949</v>
      </c>
      <c r="F10" s="24">
        <v>213.71</v>
      </c>
      <c r="G10" s="11">
        <v>939.33</v>
      </c>
      <c r="H10" s="9">
        <v>125</v>
      </c>
      <c r="I10" s="23">
        <v>0</v>
      </c>
      <c r="J10" s="1">
        <v>75</v>
      </c>
      <c r="K10" s="1">
        <v>50</v>
      </c>
      <c r="L10" s="23">
        <v>0</v>
      </c>
      <c r="M10" s="23">
        <f t="shared" si="0"/>
        <v>125</v>
      </c>
      <c r="N10" s="2"/>
    </row>
    <row r="11" spans="1:14" ht="19.5" customHeight="1">
      <c r="A11" s="30">
        <v>44142</v>
      </c>
      <c r="B11" s="62"/>
      <c r="C11" s="62"/>
      <c r="D11" s="32">
        <v>213.8</v>
      </c>
      <c r="E11" s="26">
        <v>949</v>
      </c>
      <c r="F11" s="24">
        <v>213.68</v>
      </c>
      <c r="G11" s="11">
        <v>936.15</v>
      </c>
      <c r="H11" s="9">
        <v>88</v>
      </c>
      <c r="I11" s="23">
        <v>0</v>
      </c>
      <c r="J11" s="1">
        <v>75</v>
      </c>
      <c r="K11" s="1">
        <v>50</v>
      </c>
      <c r="L11" s="23">
        <v>0</v>
      </c>
      <c r="M11" s="23">
        <f t="shared" si="0"/>
        <v>125</v>
      </c>
      <c r="N11" s="2"/>
    </row>
    <row r="12" spans="1:14" ht="19.5" customHeight="1">
      <c r="A12" s="30">
        <v>44143</v>
      </c>
      <c r="B12" s="62"/>
      <c r="C12" s="62"/>
      <c r="D12" s="32">
        <v>213.8</v>
      </c>
      <c r="E12" s="26">
        <v>949</v>
      </c>
      <c r="F12" s="24">
        <v>213.65</v>
      </c>
      <c r="G12" s="11">
        <v>932.97</v>
      </c>
      <c r="H12" s="9">
        <v>88</v>
      </c>
      <c r="I12" s="23">
        <v>0</v>
      </c>
      <c r="J12" s="1">
        <v>75</v>
      </c>
      <c r="K12" s="1">
        <v>50</v>
      </c>
      <c r="L12" s="23">
        <v>0</v>
      </c>
      <c r="M12" s="23">
        <f t="shared" si="0"/>
        <v>125</v>
      </c>
      <c r="N12" s="2"/>
    </row>
    <row r="13" spans="1:14" ht="19.5" customHeight="1">
      <c r="A13" s="30">
        <v>44144</v>
      </c>
      <c r="B13" s="62"/>
      <c r="C13" s="62"/>
      <c r="D13" s="32">
        <v>213.8</v>
      </c>
      <c r="E13" s="26">
        <v>949</v>
      </c>
      <c r="F13" s="25">
        <v>213.61</v>
      </c>
      <c r="G13" s="24">
        <v>929.09</v>
      </c>
      <c r="H13" s="9">
        <v>80</v>
      </c>
      <c r="I13" s="23">
        <v>0</v>
      </c>
      <c r="J13" s="1">
        <v>75</v>
      </c>
      <c r="K13" s="1">
        <v>50</v>
      </c>
      <c r="L13" s="23">
        <v>0</v>
      </c>
      <c r="M13" s="23">
        <f t="shared" si="0"/>
        <v>125</v>
      </c>
      <c r="N13" s="2"/>
    </row>
    <row r="14" spans="1:14" ht="19.5" customHeight="1">
      <c r="A14" s="30">
        <v>44145</v>
      </c>
      <c r="B14" s="62"/>
      <c r="C14" s="62"/>
      <c r="D14" s="32">
        <v>213.8</v>
      </c>
      <c r="E14" s="26">
        <v>949</v>
      </c>
      <c r="F14" s="24">
        <v>213.58</v>
      </c>
      <c r="G14" s="11">
        <v>925.56</v>
      </c>
      <c r="H14" s="9">
        <v>84</v>
      </c>
      <c r="I14" s="23">
        <v>0</v>
      </c>
      <c r="J14" s="1">
        <v>75</v>
      </c>
      <c r="K14" s="1">
        <v>50</v>
      </c>
      <c r="L14" s="23">
        <v>0</v>
      </c>
      <c r="M14" s="23">
        <f t="shared" si="0"/>
        <v>125</v>
      </c>
      <c r="N14" s="2"/>
    </row>
    <row r="15" spans="1:14" ht="19.5" customHeight="1">
      <c r="A15" s="30">
        <v>44146</v>
      </c>
      <c r="B15" s="62"/>
      <c r="C15" s="62"/>
      <c r="D15" s="32">
        <v>213.8</v>
      </c>
      <c r="E15" s="26">
        <v>949</v>
      </c>
      <c r="F15" s="24">
        <v>213.55</v>
      </c>
      <c r="G15" s="11">
        <v>922.38</v>
      </c>
      <c r="H15" s="9">
        <v>88</v>
      </c>
      <c r="I15" s="23">
        <v>0</v>
      </c>
      <c r="J15" s="1">
        <v>75</v>
      </c>
      <c r="K15" s="1">
        <v>50</v>
      </c>
      <c r="L15" s="23">
        <v>0</v>
      </c>
      <c r="M15" s="23">
        <f t="shared" si="0"/>
        <v>125</v>
      </c>
      <c r="N15" s="2"/>
    </row>
    <row r="16" spans="1:14" ht="19.5" customHeight="1">
      <c r="A16" s="30">
        <v>44147</v>
      </c>
      <c r="B16" s="62"/>
      <c r="C16" s="62"/>
      <c r="D16" s="32">
        <v>213.8</v>
      </c>
      <c r="E16" s="26">
        <v>949</v>
      </c>
      <c r="F16" s="24">
        <v>213.53</v>
      </c>
      <c r="G16" s="11">
        <v>920.27</v>
      </c>
      <c r="H16" s="9">
        <v>100</v>
      </c>
      <c r="I16" s="23">
        <v>0</v>
      </c>
      <c r="J16" s="1">
        <v>75</v>
      </c>
      <c r="K16" s="1">
        <v>50</v>
      </c>
      <c r="L16" s="23">
        <v>0</v>
      </c>
      <c r="M16" s="23">
        <f t="shared" si="0"/>
        <v>125</v>
      </c>
      <c r="N16" s="2"/>
    </row>
    <row r="17" spans="1:15" ht="19.5" customHeight="1">
      <c r="A17" s="30">
        <v>44148</v>
      </c>
      <c r="B17" s="62"/>
      <c r="C17" s="62"/>
      <c r="D17" s="32">
        <v>213.8</v>
      </c>
      <c r="E17" s="26">
        <v>949</v>
      </c>
      <c r="F17" s="24">
        <v>213.53</v>
      </c>
      <c r="G17" s="11">
        <v>920.27</v>
      </c>
      <c r="H17" s="9">
        <v>100</v>
      </c>
      <c r="I17" s="23">
        <v>0</v>
      </c>
      <c r="J17" s="1">
        <v>75</v>
      </c>
      <c r="K17" s="1">
        <v>50</v>
      </c>
      <c r="L17" s="23">
        <v>0</v>
      </c>
      <c r="M17" s="23">
        <f t="shared" si="0"/>
        <v>125</v>
      </c>
      <c r="N17" s="2"/>
    </row>
    <row r="18" spans="1:15" ht="19.5" customHeight="1">
      <c r="A18" s="30">
        <v>44149</v>
      </c>
      <c r="B18" s="62"/>
      <c r="C18" s="62"/>
      <c r="D18" s="32">
        <v>213.8</v>
      </c>
      <c r="E18" s="26">
        <v>949</v>
      </c>
      <c r="F18" s="24">
        <v>213.49</v>
      </c>
      <c r="G18" s="11">
        <v>916.03</v>
      </c>
      <c r="H18" s="9">
        <v>76</v>
      </c>
      <c r="I18" s="23">
        <v>0</v>
      </c>
      <c r="J18" s="1">
        <v>75</v>
      </c>
      <c r="K18" s="1">
        <v>50</v>
      </c>
      <c r="L18" s="23">
        <v>0</v>
      </c>
      <c r="M18" s="23">
        <f t="shared" si="0"/>
        <v>125</v>
      </c>
      <c r="N18" s="2"/>
    </row>
    <row r="19" spans="1:15" ht="19.5" customHeight="1">
      <c r="A19" s="30">
        <v>44150</v>
      </c>
      <c r="B19" s="62"/>
      <c r="C19" s="62"/>
      <c r="D19" s="32">
        <v>213.8</v>
      </c>
      <c r="E19" s="26">
        <v>949</v>
      </c>
      <c r="F19" s="24">
        <v>213.46</v>
      </c>
      <c r="G19" s="11">
        <v>912.85</v>
      </c>
      <c r="H19" s="9">
        <v>88</v>
      </c>
      <c r="I19" s="23">
        <v>0</v>
      </c>
      <c r="J19" s="1">
        <v>75</v>
      </c>
      <c r="K19" s="1">
        <v>50</v>
      </c>
      <c r="L19" s="23">
        <v>0</v>
      </c>
      <c r="M19" s="23">
        <f t="shared" si="0"/>
        <v>125</v>
      </c>
      <c r="N19" s="2"/>
    </row>
    <row r="20" spans="1:15" ht="19.5" customHeight="1">
      <c r="A20" s="30">
        <v>44151</v>
      </c>
      <c r="B20" s="62"/>
      <c r="C20" s="62"/>
      <c r="D20" s="32">
        <v>213.8</v>
      </c>
      <c r="E20" s="26">
        <v>949</v>
      </c>
      <c r="F20" s="24">
        <v>213.44</v>
      </c>
      <c r="G20" s="11">
        <v>911.09</v>
      </c>
      <c r="H20" s="9">
        <v>80</v>
      </c>
      <c r="I20" s="23">
        <v>0</v>
      </c>
      <c r="J20" s="1">
        <v>50</v>
      </c>
      <c r="K20" s="1">
        <v>50</v>
      </c>
      <c r="L20" s="23">
        <v>0</v>
      </c>
      <c r="M20" s="23">
        <f t="shared" si="0"/>
        <v>100</v>
      </c>
      <c r="N20" s="2"/>
    </row>
    <row r="21" spans="1:15" ht="19.5" customHeight="1">
      <c r="A21" s="30">
        <v>44152</v>
      </c>
      <c r="B21" s="62"/>
      <c r="C21" s="62"/>
      <c r="D21" s="32">
        <v>213.8</v>
      </c>
      <c r="E21" s="26">
        <v>949</v>
      </c>
      <c r="F21" s="24">
        <v>213.4</v>
      </c>
      <c r="G21" s="11">
        <v>906.85</v>
      </c>
      <c r="H21" s="9">
        <v>50</v>
      </c>
      <c r="I21" s="23">
        <v>0</v>
      </c>
      <c r="J21" s="1">
        <v>50</v>
      </c>
      <c r="K21" s="1">
        <v>50</v>
      </c>
      <c r="L21" s="23">
        <v>0</v>
      </c>
      <c r="M21" s="23">
        <f t="shared" si="0"/>
        <v>100</v>
      </c>
      <c r="N21" s="2"/>
    </row>
    <row r="22" spans="1:15" ht="19.5" customHeight="1">
      <c r="A22" s="30">
        <v>44153</v>
      </c>
      <c r="B22" s="62"/>
      <c r="C22" s="62"/>
      <c r="D22" s="32">
        <v>213.8</v>
      </c>
      <c r="E22" s="26">
        <v>949</v>
      </c>
      <c r="F22" s="24">
        <v>213.39</v>
      </c>
      <c r="G22" s="11">
        <v>905.79</v>
      </c>
      <c r="H22" s="9">
        <v>78</v>
      </c>
      <c r="I22" s="23">
        <v>0</v>
      </c>
      <c r="J22" s="1">
        <v>50</v>
      </c>
      <c r="K22" s="1">
        <v>40</v>
      </c>
      <c r="L22" s="23">
        <v>0</v>
      </c>
      <c r="M22" s="23">
        <f t="shared" si="0"/>
        <v>90</v>
      </c>
      <c r="N22" s="2"/>
    </row>
    <row r="23" spans="1:15" ht="19.5" customHeight="1">
      <c r="A23" s="30">
        <v>44154</v>
      </c>
      <c r="B23" s="62"/>
      <c r="C23" s="62"/>
      <c r="D23" s="32">
        <v>213.8</v>
      </c>
      <c r="E23" s="26">
        <v>949</v>
      </c>
      <c r="F23" s="11">
        <v>213.36</v>
      </c>
      <c r="G23" s="9">
        <v>902.97</v>
      </c>
      <c r="H23" s="38">
        <v>58</v>
      </c>
      <c r="I23" s="23">
        <v>0</v>
      </c>
      <c r="J23" s="1">
        <v>50</v>
      </c>
      <c r="K23" s="1">
        <v>40</v>
      </c>
      <c r="L23" s="23">
        <v>0</v>
      </c>
      <c r="M23" s="23">
        <f t="shared" si="0"/>
        <v>90</v>
      </c>
      <c r="N23" s="2"/>
    </row>
    <row r="24" spans="1:15" ht="19.5" customHeight="1">
      <c r="A24" s="30">
        <v>44155</v>
      </c>
      <c r="B24" s="62"/>
      <c r="C24" s="62"/>
      <c r="D24" s="32">
        <v>213.8</v>
      </c>
      <c r="E24" s="26">
        <v>949</v>
      </c>
      <c r="F24" s="11">
        <v>213.36</v>
      </c>
      <c r="G24" s="9">
        <v>902.97</v>
      </c>
      <c r="H24" s="9">
        <v>58</v>
      </c>
      <c r="I24" s="23">
        <v>0</v>
      </c>
      <c r="J24" s="1">
        <v>50</v>
      </c>
      <c r="K24" s="1">
        <v>40</v>
      </c>
      <c r="L24" s="23">
        <v>0</v>
      </c>
      <c r="M24" s="23">
        <f t="shared" si="0"/>
        <v>90</v>
      </c>
      <c r="N24" s="2"/>
    </row>
    <row r="25" spans="1:15" ht="19.5" customHeight="1">
      <c r="A25" s="30">
        <v>44156</v>
      </c>
      <c r="B25" s="62"/>
      <c r="C25" s="62"/>
      <c r="D25" s="32">
        <v>213.8</v>
      </c>
      <c r="E25" s="26">
        <v>949</v>
      </c>
      <c r="F25" s="24">
        <v>213.34</v>
      </c>
      <c r="G25" s="11">
        <v>900.85</v>
      </c>
      <c r="H25" s="9">
        <v>70</v>
      </c>
      <c r="I25" s="23">
        <v>0</v>
      </c>
      <c r="J25" s="1">
        <v>50</v>
      </c>
      <c r="K25" s="1">
        <v>20</v>
      </c>
      <c r="L25" s="23">
        <v>0</v>
      </c>
      <c r="M25" s="23">
        <f t="shared" si="0"/>
        <v>70</v>
      </c>
      <c r="N25" s="2"/>
    </row>
    <row r="26" spans="1:15" ht="19.5" customHeight="1">
      <c r="A26" s="30">
        <v>44157</v>
      </c>
      <c r="B26" s="62"/>
      <c r="C26" s="62"/>
      <c r="D26" s="32">
        <v>213.8</v>
      </c>
      <c r="E26" s="26">
        <v>949</v>
      </c>
      <c r="F26" s="24">
        <v>213.36</v>
      </c>
      <c r="G26" s="11">
        <v>902.97</v>
      </c>
      <c r="H26" s="9">
        <v>94</v>
      </c>
      <c r="I26" s="23">
        <v>0</v>
      </c>
      <c r="J26" s="1">
        <v>50</v>
      </c>
      <c r="K26" s="1">
        <v>20</v>
      </c>
      <c r="L26" s="23">
        <v>0</v>
      </c>
      <c r="M26" s="23">
        <f t="shared" si="0"/>
        <v>70</v>
      </c>
      <c r="N26" s="2"/>
      <c r="O26" s="18"/>
    </row>
    <row r="27" spans="1:15" ht="19.5" customHeight="1">
      <c r="A27" s="30">
        <v>44158</v>
      </c>
      <c r="B27" s="62"/>
      <c r="C27" s="62"/>
      <c r="D27" s="32">
        <v>213.8</v>
      </c>
      <c r="E27" s="26">
        <v>949</v>
      </c>
      <c r="F27" s="24">
        <v>213.4</v>
      </c>
      <c r="G27" s="11">
        <v>906.85</v>
      </c>
      <c r="H27" s="9">
        <v>84</v>
      </c>
      <c r="I27" s="23">
        <v>0</v>
      </c>
      <c r="J27" s="1">
        <v>20</v>
      </c>
      <c r="K27" s="1">
        <v>20</v>
      </c>
      <c r="L27" s="23">
        <v>0</v>
      </c>
      <c r="M27" s="23">
        <f t="shared" si="0"/>
        <v>40</v>
      </c>
      <c r="N27" s="2"/>
    </row>
    <row r="28" spans="1:15" ht="19.5" customHeight="1">
      <c r="A28" s="30">
        <v>44159</v>
      </c>
      <c r="B28" s="62"/>
      <c r="C28" s="62"/>
      <c r="D28" s="32">
        <v>213.8</v>
      </c>
      <c r="E28" s="26">
        <v>949</v>
      </c>
      <c r="F28" s="24">
        <v>213.4</v>
      </c>
      <c r="G28" s="11">
        <v>906.85</v>
      </c>
      <c r="H28" s="9">
        <v>84</v>
      </c>
      <c r="I28" s="23">
        <v>0</v>
      </c>
      <c r="J28" s="1">
        <v>20</v>
      </c>
      <c r="K28" s="1">
        <v>20</v>
      </c>
      <c r="L28" s="23">
        <v>0</v>
      </c>
      <c r="M28" s="23">
        <f t="shared" si="0"/>
        <v>40</v>
      </c>
      <c r="N28" s="2"/>
    </row>
    <row r="29" spans="1:15" ht="19.5" customHeight="1">
      <c r="A29" s="30">
        <v>44160</v>
      </c>
      <c r="B29" s="62"/>
      <c r="C29" s="62"/>
      <c r="D29" s="32">
        <v>213.8</v>
      </c>
      <c r="E29" s="26">
        <v>949</v>
      </c>
      <c r="F29" s="24">
        <v>213.43</v>
      </c>
      <c r="G29" s="11">
        <v>911.09</v>
      </c>
      <c r="H29" s="9">
        <v>88</v>
      </c>
      <c r="I29" s="23">
        <v>0</v>
      </c>
      <c r="J29" s="1">
        <v>20</v>
      </c>
      <c r="K29" s="1">
        <v>20</v>
      </c>
      <c r="L29" s="23">
        <v>0</v>
      </c>
      <c r="M29" s="23">
        <f t="shared" si="0"/>
        <v>40</v>
      </c>
      <c r="N29" s="2"/>
    </row>
    <row r="30" spans="1:15" ht="19.5" customHeight="1">
      <c r="A30" s="30">
        <v>44161</v>
      </c>
      <c r="B30" s="62"/>
      <c r="C30" s="62"/>
      <c r="D30" s="32">
        <v>213.8</v>
      </c>
      <c r="E30" s="26">
        <v>949</v>
      </c>
      <c r="F30" s="24">
        <v>213.45</v>
      </c>
      <c r="G30" s="11">
        <v>907.79</v>
      </c>
      <c r="H30" s="9">
        <v>28</v>
      </c>
      <c r="I30" s="23">
        <v>0</v>
      </c>
      <c r="J30" s="1">
        <v>10</v>
      </c>
      <c r="K30" s="1">
        <v>10</v>
      </c>
      <c r="L30" s="23">
        <v>0</v>
      </c>
      <c r="M30" s="23">
        <f t="shared" si="0"/>
        <v>20</v>
      </c>
      <c r="N30" s="2"/>
    </row>
    <row r="31" spans="1:15" ht="21" customHeight="1">
      <c r="A31" s="30">
        <v>44162</v>
      </c>
      <c r="B31" s="62"/>
      <c r="C31" s="62"/>
      <c r="D31" s="32">
        <v>213.8</v>
      </c>
      <c r="E31" s="26">
        <v>949</v>
      </c>
      <c r="F31" s="24">
        <v>213.48</v>
      </c>
      <c r="G31" s="11">
        <v>914.97</v>
      </c>
      <c r="H31" s="9">
        <v>46</v>
      </c>
      <c r="I31" s="23">
        <v>0</v>
      </c>
      <c r="J31" s="1">
        <v>10</v>
      </c>
      <c r="K31" s="1">
        <v>0</v>
      </c>
      <c r="L31" s="23">
        <v>0</v>
      </c>
      <c r="M31" s="23">
        <f t="shared" si="0"/>
        <v>10</v>
      </c>
      <c r="N31" s="2"/>
    </row>
    <row r="32" spans="1:15" ht="21" customHeight="1">
      <c r="A32" s="30">
        <v>44163</v>
      </c>
      <c r="B32" s="62"/>
      <c r="C32" s="62"/>
      <c r="D32" s="32">
        <v>213.8</v>
      </c>
      <c r="E32" s="26">
        <v>949</v>
      </c>
      <c r="F32" s="24">
        <v>213.51</v>
      </c>
      <c r="G32" s="11">
        <v>918.15</v>
      </c>
      <c r="H32" s="9">
        <v>46</v>
      </c>
      <c r="I32" s="23">
        <v>0</v>
      </c>
      <c r="J32" s="1">
        <v>10</v>
      </c>
      <c r="K32" s="1">
        <v>0</v>
      </c>
      <c r="L32" s="23">
        <v>0</v>
      </c>
      <c r="M32" s="23">
        <f t="shared" si="0"/>
        <v>10</v>
      </c>
      <c r="N32" s="2"/>
    </row>
    <row r="33" spans="1:15" ht="21" customHeight="1">
      <c r="A33" s="30">
        <v>44164</v>
      </c>
      <c r="B33" s="62"/>
      <c r="C33" s="62"/>
      <c r="D33" s="32">
        <v>213.8</v>
      </c>
      <c r="E33" s="26">
        <v>949</v>
      </c>
      <c r="F33" s="24">
        <v>213.53</v>
      </c>
      <c r="G33" s="11">
        <v>921.33</v>
      </c>
      <c r="H33" s="9">
        <v>0</v>
      </c>
      <c r="I33" s="23">
        <v>0</v>
      </c>
      <c r="J33" s="1">
        <v>10</v>
      </c>
      <c r="K33" s="1">
        <v>0</v>
      </c>
      <c r="L33" s="23">
        <v>0</v>
      </c>
      <c r="M33" s="23">
        <f t="shared" si="0"/>
        <v>10</v>
      </c>
      <c r="N33" s="2"/>
    </row>
    <row r="34" spans="1:15" ht="21" customHeight="1">
      <c r="A34" s="30">
        <v>44165</v>
      </c>
      <c r="B34" s="62"/>
      <c r="C34" s="62"/>
      <c r="D34" s="32">
        <v>213.8</v>
      </c>
      <c r="E34" s="26">
        <v>949</v>
      </c>
      <c r="F34" s="24">
        <v>213.53</v>
      </c>
      <c r="G34" s="11">
        <v>921.33</v>
      </c>
      <c r="H34" s="9">
        <v>46</v>
      </c>
      <c r="I34" s="23">
        <v>0</v>
      </c>
      <c r="J34" s="1">
        <v>10</v>
      </c>
      <c r="K34" s="1">
        <v>0</v>
      </c>
      <c r="L34" s="23">
        <v>0</v>
      </c>
      <c r="M34" s="23">
        <f t="shared" si="0"/>
        <v>10</v>
      </c>
      <c r="N34" s="2"/>
    </row>
    <row r="35" spans="1:15" ht="21" customHeight="1">
      <c r="A35" s="12"/>
      <c r="B35" s="13"/>
      <c r="C35" s="13"/>
      <c r="D35" s="14"/>
      <c r="E35" s="14"/>
      <c r="F35" s="15"/>
      <c r="G35" s="14"/>
      <c r="H35" s="16">
        <f>SUM(H5:H34)</f>
        <v>2539</v>
      </c>
      <c r="I35" s="16">
        <f t="shared" ref="I35:M35" si="1">SUM(I5:I34)</f>
        <v>0</v>
      </c>
      <c r="J35" s="16">
        <f t="shared" si="1"/>
        <v>1510</v>
      </c>
      <c r="K35" s="16">
        <f t="shared" si="1"/>
        <v>1155</v>
      </c>
      <c r="L35" s="16">
        <f t="shared" si="1"/>
        <v>0</v>
      </c>
      <c r="M35" s="16">
        <f t="shared" si="1"/>
        <v>2665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0.21937100397442544</v>
      </c>
      <c r="I36" s="5"/>
      <c r="J36" s="5">
        <f>J35/11574</f>
        <v>0.13046483497494385</v>
      </c>
      <c r="K36" s="5">
        <f>K35/11574</f>
        <v>9.9792638672887513E-2</v>
      </c>
      <c r="L36" s="6"/>
      <c r="M36" s="6"/>
      <c r="N36" s="7"/>
    </row>
    <row r="37" spans="1:15" ht="15.75" customHeight="1">
      <c r="A37" s="47" t="s">
        <v>9</v>
      </c>
      <c r="B37" s="41"/>
      <c r="C37" s="41"/>
      <c r="D37" s="41"/>
      <c r="J37" s="47" t="s">
        <v>10</v>
      </c>
      <c r="K37" s="41"/>
      <c r="L37" s="41"/>
      <c r="M37" s="41"/>
      <c r="N37" s="7"/>
    </row>
    <row r="38" spans="1:15" ht="15.75" customHeight="1">
      <c r="A38" s="48" t="s">
        <v>16</v>
      </c>
      <c r="B38" s="41"/>
      <c r="C38" s="41"/>
      <c r="D38" s="41"/>
      <c r="J38" s="48" t="s">
        <v>16</v>
      </c>
      <c r="K38" s="41"/>
      <c r="L38" s="41"/>
      <c r="M38" s="41"/>
      <c r="N38" s="7"/>
    </row>
    <row r="39" spans="1:15" ht="15.75" customHeight="1">
      <c r="A39" s="40" t="s">
        <v>17</v>
      </c>
      <c r="B39" s="41"/>
      <c r="C39" s="41"/>
      <c r="D39" s="41"/>
      <c r="J39" s="40" t="s">
        <v>17</v>
      </c>
      <c r="K39" s="41"/>
      <c r="L39" s="41"/>
      <c r="M39" s="41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E3:E4"/>
  </mergeCells>
  <pageMargins left="0.7" right="0.7" top="0.75" bottom="0.75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O102"/>
  <sheetViews>
    <sheetView tabSelected="1" view="pageBreakPreview" topLeftCell="A16" zoomScale="60" workbookViewId="0">
      <selection activeCell="H36" sqref="H36: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5" width="10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1" t="s">
        <v>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>
      <c r="A3" s="49" t="s">
        <v>0</v>
      </c>
      <c r="B3" s="57" t="s">
        <v>1</v>
      </c>
      <c r="C3" s="57" t="s">
        <v>2</v>
      </c>
      <c r="D3" s="49" t="s">
        <v>3</v>
      </c>
      <c r="E3" s="49" t="s">
        <v>32</v>
      </c>
      <c r="F3" s="49" t="s">
        <v>4</v>
      </c>
      <c r="G3" s="49" t="s">
        <v>19</v>
      </c>
      <c r="H3" s="49" t="s">
        <v>5</v>
      </c>
      <c r="I3" s="58" t="s">
        <v>6</v>
      </c>
      <c r="J3" s="59"/>
      <c r="K3" s="59"/>
      <c r="L3" s="59"/>
      <c r="M3" s="60" t="s">
        <v>7</v>
      </c>
      <c r="N3" s="42" t="s">
        <v>8</v>
      </c>
    </row>
    <row r="4" spans="1:14" ht="51.75" customHeight="1">
      <c r="A4" s="43"/>
      <c r="B4" s="43"/>
      <c r="C4" s="43"/>
      <c r="D4" s="43"/>
      <c r="E4" s="50"/>
      <c r="F4" s="43"/>
      <c r="G4" s="43"/>
      <c r="H4" s="43"/>
      <c r="I4" s="10" t="s">
        <v>15</v>
      </c>
      <c r="J4" s="10" t="s">
        <v>13</v>
      </c>
      <c r="K4" s="20" t="s">
        <v>18</v>
      </c>
      <c r="L4" s="10" t="s">
        <v>14</v>
      </c>
      <c r="M4" s="43"/>
      <c r="N4" s="43"/>
    </row>
    <row r="5" spans="1:14" ht="19.5" customHeight="1">
      <c r="A5" s="8">
        <v>44166</v>
      </c>
      <c r="B5" s="44" t="s">
        <v>11</v>
      </c>
      <c r="C5" s="44" t="s">
        <v>12</v>
      </c>
      <c r="D5" s="21">
        <v>213.8</v>
      </c>
      <c r="E5" s="26">
        <v>949</v>
      </c>
      <c r="F5" s="24">
        <v>213.59</v>
      </c>
      <c r="G5" s="11">
        <v>926.62</v>
      </c>
      <c r="H5" s="9">
        <v>37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44167</v>
      </c>
      <c r="B6" s="45"/>
      <c r="C6" s="45"/>
      <c r="D6" s="21">
        <v>213.8</v>
      </c>
      <c r="E6" s="26">
        <v>949</v>
      </c>
      <c r="F6" s="24">
        <v>213.6</v>
      </c>
      <c r="G6" s="11">
        <v>928.03</v>
      </c>
      <c r="H6" s="9">
        <v>17</v>
      </c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44168</v>
      </c>
      <c r="B7" s="45"/>
      <c r="C7" s="45"/>
      <c r="D7" s="21">
        <v>213.8</v>
      </c>
      <c r="E7" s="26">
        <v>949</v>
      </c>
      <c r="F7" s="24">
        <v>213.63</v>
      </c>
      <c r="G7" s="11">
        <v>930.86</v>
      </c>
      <c r="H7" s="9">
        <v>33</v>
      </c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44169</v>
      </c>
      <c r="B8" s="45"/>
      <c r="C8" s="45"/>
      <c r="D8" s="21">
        <v>213.8</v>
      </c>
      <c r="E8" s="26">
        <v>949</v>
      </c>
      <c r="F8" s="24">
        <v>213.63</v>
      </c>
      <c r="G8" s="11">
        <v>930.86</v>
      </c>
      <c r="H8" s="9">
        <v>33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44170</v>
      </c>
      <c r="B9" s="45"/>
      <c r="C9" s="45"/>
      <c r="D9" s="21">
        <v>213.8</v>
      </c>
      <c r="E9" s="26">
        <v>949</v>
      </c>
      <c r="F9" s="24">
        <v>213.64</v>
      </c>
      <c r="G9" s="11">
        <v>931.92</v>
      </c>
      <c r="H9" s="9">
        <v>13</v>
      </c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44171</v>
      </c>
      <c r="B10" s="45"/>
      <c r="C10" s="45"/>
      <c r="D10" s="21">
        <v>213.8</v>
      </c>
      <c r="E10" s="26">
        <v>949</v>
      </c>
      <c r="F10" s="24">
        <v>213.65</v>
      </c>
      <c r="G10" s="11">
        <v>932.97</v>
      </c>
      <c r="H10" s="9">
        <v>13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44172</v>
      </c>
      <c r="B11" s="45"/>
      <c r="C11" s="45"/>
      <c r="D11" s="21">
        <v>213.8</v>
      </c>
      <c r="E11" s="26">
        <v>949</v>
      </c>
      <c r="F11" s="24">
        <v>213.66</v>
      </c>
      <c r="G11" s="11">
        <v>934.03</v>
      </c>
      <c r="H11" s="9">
        <v>13</v>
      </c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44173</v>
      </c>
      <c r="B12" s="45"/>
      <c r="C12" s="45"/>
      <c r="D12" s="21">
        <v>213.8</v>
      </c>
      <c r="E12" s="26">
        <v>949</v>
      </c>
      <c r="F12" s="24">
        <v>213.66</v>
      </c>
      <c r="G12" s="11">
        <v>934.03</v>
      </c>
      <c r="H12" s="9">
        <v>0</v>
      </c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44174</v>
      </c>
      <c r="B13" s="45"/>
      <c r="C13" s="45"/>
      <c r="D13" s="21">
        <v>213.8</v>
      </c>
      <c r="E13" s="26">
        <v>949</v>
      </c>
      <c r="F13" s="24">
        <v>213.68</v>
      </c>
      <c r="G13" s="24">
        <v>936.15</v>
      </c>
      <c r="H13" s="9">
        <v>25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44175</v>
      </c>
      <c r="B14" s="45"/>
      <c r="C14" s="45"/>
      <c r="D14" s="21">
        <v>213.8</v>
      </c>
      <c r="E14" s="26">
        <v>949</v>
      </c>
      <c r="F14" s="24">
        <v>213.68</v>
      </c>
      <c r="G14" s="24">
        <v>936.15</v>
      </c>
      <c r="H14" s="9">
        <v>0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44176</v>
      </c>
      <c r="B15" s="45"/>
      <c r="C15" s="45"/>
      <c r="D15" s="21">
        <v>213.8</v>
      </c>
      <c r="E15" s="26">
        <v>949</v>
      </c>
      <c r="F15" s="25">
        <v>213.68</v>
      </c>
      <c r="G15" s="24">
        <v>936.15</v>
      </c>
      <c r="H15" s="9">
        <v>0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44177</v>
      </c>
      <c r="B16" s="45"/>
      <c r="C16" s="45"/>
      <c r="D16" s="21">
        <v>213.8</v>
      </c>
      <c r="E16" s="26">
        <v>949</v>
      </c>
      <c r="F16" s="24">
        <v>213.7</v>
      </c>
      <c r="G16" s="11">
        <v>938.27</v>
      </c>
      <c r="H16" s="9">
        <v>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44178</v>
      </c>
      <c r="B17" s="45"/>
      <c r="C17" s="45"/>
      <c r="D17" s="21">
        <v>213.8</v>
      </c>
      <c r="E17" s="26">
        <v>949</v>
      </c>
      <c r="F17" s="24">
        <v>213.7</v>
      </c>
      <c r="G17" s="11">
        <v>938.27</v>
      </c>
      <c r="H17" s="9">
        <v>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44179</v>
      </c>
      <c r="B18" s="45"/>
      <c r="C18" s="45"/>
      <c r="D18" s="21">
        <v>213.8</v>
      </c>
      <c r="E18" s="26">
        <v>949</v>
      </c>
      <c r="F18" s="24">
        <v>213.7</v>
      </c>
      <c r="G18" s="11">
        <v>938.27</v>
      </c>
      <c r="H18" s="9">
        <v>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44180</v>
      </c>
      <c r="B19" s="45"/>
      <c r="C19" s="45"/>
      <c r="D19" s="21">
        <v>213.8</v>
      </c>
      <c r="E19" s="26">
        <v>949</v>
      </c>
      <c r="F19" s="24">
        <v>213.7</v>
      </c>
      <c r="G19" s="11">
        <v>938.27</v>
      </c>
      <c r="H19" s="9">
        <v>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44181</v>
      </c>
      <c r="B20" s="45"/>
      <c r="C20" s="45"/>
      <c r="D20" s="21">
        <v>213.8</v>
      </c>
      <c r="E20" s="26">
        <v>949</v>
      </c>
      <c r="F20" s="24">
        <v>213.7</v>
      </c>
      <c r="G20" s="11">
        <v>938.27</v>
      </c>
      <c r="H20" s="9">
        <v>0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44182</v>
      </c>
      <c r="B21" s="45"/>
      <c r="C21" s="45"/>
      <c r="D21" s="21">
        <v>213.8</v>
      </c>
      <c r="E21" s="26">
        <v>949</v>
      </c>
      <c r="F21" s="24">
        <v>213.7</v>
      </c>
      <c r="G21" s="11">
        <v>938.27</v>
      </c>
      <c r="H21" s="9">
        <v>0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44183</v>
      </c>
      <c r="B22" s="45"/>
      <c r="C22" s="45"/>
      <c r="D22" s="21">
        <v>213.8</v>
      </c>
      <c r="E22" s="26">
        <v>949</v>
      </c>
      <c r="F22" s="24">
        <v>213.7</v>
      </c>
      <c r="G22" s="11">
        <v>938.27</v>
      </c>
      <c r="H22" s="9">
        <v>0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44184</v>
      </c>
      <c r="B23" s="45"/>
      <c r="C23" s="45"/>
      <c r="D23" s="21">
        <v>213.8</v>
      </c>
      <c r="E23" s="26">
        <v>949</v>
      </c>
      <c r="F23" s="24">
        <v>213.7</v>
      </c>
      <c r="G23" s="11">
        <v>938.27</v>
      </c>
      <c r="H23" s="9">
        <v>0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44185</v>
      </c>
      <c r="B24" s="45"/>
      <c r="C24" s="45"/>
      <c r="D24" s="21">
        <v>213.8</v>
      </c>
      <c r="E24" s="26">
        <v>949</v>
      </c>
      <c r="F24" s="24">
        <v>213.7</v>
      </c>
      <c r="G24" s="11">
        <v>938.27</v>
      </c>
      <c r="H24" s="9">
        <v>0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44186</v>
      </c>
      <c r="B25" s="45"/>
      <c r="C25" s="45"/>
      <c r="D25" s="21">
        <v>213.8</v>
      </c>
      <c r="E25" s="26">
        <v>949</v>
      </c>
      <c r="F25" s="24">
        <v>213.68</v>
      </c>
      <c r="G25" s="11">
        <v>936.15</v>
      </c>
      <c r="H25" s="9">
        <v>0</v>
      </c>
      <c r="I25" s="23">
        <v>0</v>
      </c>
      <c r="J25" s="1">
        <v>0</v>
      </c>
      <c r="K25" s="1">
        <v>25</v>
      </c>
      <c r="L25" s="23">
        <v>0</v>
      </c>
      <c r="M25" s="23">
        <f t="shared" si="0"/>
        <v>25</v>
      </c>
      <c r="N25" s="2"/>
    </row>
    <row r="26" spans="1:15" ht="19.5" customHeight="1">
      <c r="A26" s="8">
        <v>44187</v>
      </c>
      <c r="B26" s="45"/>
      <c r="C26" s="45"/>
      <c r="D26" s="21">
        <v>213.8</v>
      </c>
      <c r="E26" s="26">
        <v>949</v>
      </c>
      <c r="F26" s="24">
        <v>213.64</v>
      </c>
      <c r="G26" s="11">
        <v>931.92</v>
      </c>
      <c r="H26" s="9">
        <v>0</v>
      </c>
      <c r="I26" s="23">
        <v>0</v>
      </c>
      <c r="J26" s="1">
        <v>0</v>
      </c>
      <c r="K26" s="1">
        <v>50</v>
      </c>
      <c r="L26" s="23">
        <v>0</v>
      </c>
      <c r="M26" s="23">
        <f t="shared" si="0"/>
        <v>50</v>
      </c>
      <c r="N26" s="2"/>
      <c r="O26" s="18"/>
    </row>
    <row r="27" spans="1:15" ht="19.5" customHeight="1">
      <c r="A27" s="8">
        <v>44188</v>
      </c>
      <c r="B27" s="45"/>
      <c r="C27" s="45"/>
      <c r="D27" s="21">
        <v>213.8</v>
      </c>
      <c r="E27" s="26">
        <v>949</v>
      </c>
      <c r="F27" s="24">
        <v>213.6</v>
      </c>
      <c r="G27" s="11">
        <v>928.03</v>
      </c>
      <c r="H27" s="9">
        <v>0</v>
      </c>
      <c r="I27" s="23">
        <v>0</v>
      </c>
      <c r="J27" s="1">
        <v>0</v>
      </c>
      <c r="K27" s="1">
        <v>45</v>
      </c>
      <c r="L27" s="23">
        <v>0</v>
      </c>
      <c r="M27" s="23">
        <f t="shared" si="0"/>
        <v>45</v>
      </c>
      <c r="N27" s="2"/>
    </row>
    <row r="28" spans="1:15" ht="19.5" customHeight="1">
      <c r="A28" s="8">
        <v>44189</v>
      </c>
      <c r="B28" s="45"/>
      <c r="C28" s="45"/>
      <c r="D28" s="21">
        <v>213.8</v>
      </c>
      <c r="E28" s="26">
        <v>949</v>
      </c>
      <c r="F28" s="24">
        <v>213.6</v>
      </c>
      <c r="G28" s="11">
        <v>928.03</v>
      </c>
      <c r="H28" s="9">
        <v>0</v>
      </c>
      <c r="I28" s="23">
        <v>0</v>
      </c>
      <c r="J28" s="1">
        <v>0</v>
      </c>
      <c r="K28" s="1">
        <v>45</v>
      </c>
      <c r="L28" s="23">
        <v>0</v>
      </c>
      <c r="M28" s="23">
        <f t="shared" si="0"/>
        <v>45</v>
      </c>
      <c r="N28" s="2"/>
    </row>
    <row r="29" spans="1:15" ht="19.5" customHeight="1">
      <c r="A29" s="8">
        <v>44190</v>
      </c>
      <c r="B29" s="45"/>
      <c r="C29" s="45"/>
      <c r="D29" s="21">
        <v>213.8</v>
      </c>
      <c r="E29" s="26">
        <v>949</v>
      </c>
      <c r="F29" s="24">
        <v>213.53</v>
      </c>
      <c r="G29" s="11">
        <v>920.27</v>
      </c>
      <c r="H29" s="9">
        <v>0</v>
      </c>
      <c r="I29" s="23">
        <v>0</v>
      </c>
      <c r="J29" s="1">
        <v>0</v>
      </c>
      <c r="K29" s="1">
        <v>35</v>
      </c>
      <c r="L29" s="23">
        <v>0</v>
      </c>
      <c r="M29" s="23">
        <f t="shared" si="0"/>
        <v>35</v>
      </c>
      <c r="N29" s="2"/>
    </row>
    <row r="30" spans="1:15" ht="19.5" customHeight="1">
      <c r="A30" s="8">
        <v>44191</v>
      </c>
      <c r="B30" s="45"/>
      <c r="C30" s="45"/>
      <c r="D30" s="21">
        <v>213.8</v>
      </c>
      <c r="E30" s="26">
        <v>949</v>
      </c>
      <c r="F30" s="24">
        <v>213.53</v>
      </c>
      <c r="G30" s="11">
        <v>920.27</v>
      </c>
      <c r="H30" s="9">
        <v>0</v>
      </c>
      <c r="I30" s="23">
        <v>0</v>
      </c>
      <c r="J30" s="1">
        <v>0</v>
      </c>
      <c r="K30" s="1">
        <v>35</v>
      </c>
      <c r="L30" s="23">
        <v>0</v>
      </c>
      <c r="M30" s="23">
        <f t="shared" si="0"/>
        <v>35</v>
      </c>
      <c r="N30" s="2"/>
    </row>
    <row r="31" spans="1:15" ht="21" customHeight="1">
      <c r="A31" s="8">
        <v>44192</v>
      </c>
      <c r="B31" s="45"/>
      <c r="C31" s="45"/>
      <c r="D31" s="21">
        <v>213.8</v>
      </c>
      <c r="E31" s="26">
        <v>949</v>
      </c>
      <c r="F31" s="24">
        <v>213.46</v>
      </c>
      <c r="G31" s="11">
        <v>912.85</v>
      </c>
      <c r="H31" s="9">
        <v>0</v>
      </c>
      <c r="I31" s="23">
        <v>0</v>
      </c>
      <c r="J31" s="1">
        <v>0</v>
      </c>
      <c r="K31" s="1">
        <v>50</v>
      </c>
      <c r="L31" s="23">
        <v>0</v>
      </c>
      <c r="M31" s="23">
        <f t="shared" si="0"/>
        <v>50</v>
      </c>
      <c r="N31" s="2"/>
    </row>
    <row r="32" spans="1:15" ht="21" customHeight="1">
      <c r="A32" s="8">
        <v>44193</v>
      </c>
      <c r="B32" s="45"/>
      <c r="C32" s="45"/>
      <c r="D32" s="21">
        <v>213.8</v>
      </c>
      <c r="E32" s="26">
        <v>949</v>
      </c>
      <c r="F32" s="24">
        <v>213.43</v>
      </c>
      <c r="G32" s="11">
        <v>910.03</v>
      </c>
      <c r="H32" s="9">
        <v>0</v>
      </c>
      <c r="I32" s="23">
        <v>0</v>
      </c>
      <c r="J32" s="1">
        <v>0</v>
      </c>
      <c r="K32" s="1">
        <v>35</v>
      </c>
      <c r="L32" s="23">
        <v>0</v>
      </c>
      <c r="M32" s="23">
        <f t="shared" si="0"/>
        <v>35</v>
      </c>
      <c r="N32" s="2"/>
    </row>
    <row r="33" spans="1:15" ht="21" customHeight="1">
      <c r="A33" s="8">
        <v>44194</v>
      </c>
      <c r="B33" s="45"/>
      <c r="C33" s="45"/>
      <c r="D33" s="21">
        <v>213.8</v>
      </c>
      <c r="E33" s="26">
        <v>949</v>
      </c>
      <c r="F33" s="24">
        <v>213.43</v>
      </c>
      <c r="G33" s="11">
        <v>910.03</v>
      </c>
      <c r="H33" s="9">
        <v>0</v>
      </c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44195</v>
      </c>
      <c r="B34" s="45"/>
      <c r="C34" s="45"/>
      <c r="D34" s="21">
        <v>213.8</v>
      </c>
      <c r="E34" s="26">
        <v>949</v>
      </c>
      <c r="F34" s="24">
        <v>213.39</v>
      </c>
      <c r="G34" s="11">
        <v>905.79</v>
      </c>
      <c r="H34" s="9">
        <v>0</v>
      </c>
      <c r="I34" s="23">
        <v>0</v>
      </c>
      <c r="J34" s="1">
        <v>0</v>
      </c>
      <c r="K34" s="1">
        <v>50</v>
      </c>
      <c r="L34" s="23">
        <v>0</v>
      </c>
      <c r="M34" s="23">
        <f t="shared" ref="M34" si="1">L34+K34+J34+I34</f>
        <v>50</v>
      </c>
      <c r="N34" s="2"/>
    </row>
    <row r="35" spans="1:15" ht="21" customHeight="1">
      <c r="A35" s="8">
        <v>44196</v>
      </c>
      <c r="B35" s="46"/>
      <c r="C35" s="46"/>
      <c r="D35" s="22">
        <v>213.8</v>
      </c>
      <c r="E35" s="26">
        <v>949</v>
      </c>
      <c r="F35" s="24">
        <v>213.38</v>
      </c>
      <c r="G35" s="11">
        <v>904.73</v>
      </c>
      <c r="H35" s="9">
        <v>18</v>
      </c>
      <c r="I35" s="23">
        <v>0</v>
      </c>
      <c r="J35" s="1">
        <v>0</v>
      </c>
      <c r="K35" s="1">
        <v>30</v>
      </c>
      <c r="L35" s="23">
        <v>0</v>
      </c>
      <c r="M35" s="23">
        <f t="shared" si="0"/>
        <v>30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202</v>
      </c>
      <c r="I36" s="16">
        <f t="shared" ref="I36:M36" si="2">SUM(I5:I35)</f>
        <v>0</v>
      </c>
      <c r="J36" s="16">
        <f t="shared" si="2"/>
        <v>0</v>
      </c>
      <c r="K36" s="16">
        <f t="shared" si="2"/>
        <v>400</v>
      </c>
      <c r="L36" s="16">
        <f t="shared" si="2"/>
        <v>0</v>
      </c>
      <c r="M36" s="16">
        <f t="shared" si="2"/>
        <v>400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1.745291169863487E-2</v>
      </c>
      <c r="I37" s="5"/>
      <c r="J37" s="5">
        <f>J36/11574</f>
        <v>0</v>
      </c>
      <c r="K37" s="5">
        <f>K36/11574</f>
        <v>3.4560221185415588E-2</v>
      </c>
      <c r="L37" s="6"/>
      <c r="M37" s="6"/>
      <c r="N37" s="7"/>
    </row>
    <row r="38" spans="1:15" ht="15.75" customHeight="1">
      <c r="A38" s="47" t="s">
        <v>9</v>
      </c>
      <c r="B38" s="41"/>
      <c r="C38" s="41"/>
      <c r="D38" s="41"/>
      <c r="J38" s="47" t="s">
        <v>10</v>
      </c>
      <c r="K38" s="41"/>
      <c r="L38" s="41"/>
      <c r="M38" s="41"/>
      <c r="N38" s="7"/>
    </row>
    <row r="39" spans="1:15" ht="15.75" customHeight="1">
      <c r="A39" s="48" t="s">
        <v>16</v>
      </c>
      <c r="B39" s="41"/>
      <c r="C39" s="41"/>
      <c r="D39" s="41"/>
      <c r="J39" s="48" t="s">
        <v>16</v>
      </c>
      <c r="K39" s="41"/>
      <c r="L39" s="41"/>
      <c r="M39" s="41"/>
      <c r="N39" s="7"/>
    </row>
    <row r="40" spans="1:15" ht="15.75" customHeight="1">
      <c r="A40" s="40" t="s">
        <v>17</v>
      </c>
      <c r="B40" s="41"/>
      <c r="C40" s="41"/>
      <c r="D40" s="41"/>
      <c r="J40" s="40" t="s">
        <v>17</v>
      </c>
      <c r="K40" s="41"/>
      <c r="L40" s="41"/>
      <c r="M40" s="41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1:N2"/>
    <mergeCell ref="N3:N4"/>
    <mergeCell ref="A3:A4"/>
    <mergeCell ref="B3:B4"/>
    <mergeCell ref="I3:L3"/>
    <mergeCell ref="A40:D40"/>
    <mergeCell ref="J40:M40"/>
    <mergeCell ref="A38:D38"/>
    <mergeCell ref="J38:M38"/>
    <mergeCell ref="A39:D39"/>
    <mergeCell ref="J39:M39"/>
    <mergeCell ref="B5:B35"/>
    <mergeCell ref="C5:C35"/>
    <mergeCell ref="M3:M4"/>
    <mergeCell ref="C3:C4"/>
    <mergeCell ref="D3:D4"/>
    <mergeCell ref="F3:F4"/>
    <mergeCell ref="G3:G4"/>
    <mergeCell ref="H3:H4"/>
    <mergeCell ref="E3:E4"/>
  </mergeCells>
  <pageMargins left="0.7" right="0.7" top="0.75" bottom="0.75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2020</vt:lpstr>
      <vt:lpstr>FEBRUARY 2020</vt:lpstr>
      <vt:lpstr>MARCH 2020</vt:lpstr>
      <vt:lpstr>APRIL 2020</vt:lpstr>
      <vt:lpstr>MAY 2020</vt:lpstr>
      <vt:lpstr>JUNE 2020</vt:lpstr>
      <vt:lpstr>JULY 2020</vt:lpstr>
      <vt:lpstr>AUGUST 2020</vt:lpstr>
      <vt:lpstr>SEPTEMBER 2020</vt:lpstr>
      <vt:lpstr>OCTOBER 2020</vt:lpstr>
      <vt:lpstr>NOVEMBER 2020 </vt:lpstr>
      <vt:lpstr>DECEMBER 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2024-04-26T09:45:24Z</dcterms:modified>
</cp:coreProperties>
</file>